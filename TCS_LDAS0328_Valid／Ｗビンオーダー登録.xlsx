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D:\tcs\"/>
    </mc:Choice>
  </mc:AlternateContent>
  <xr:revisionPtr revIDLastSave="0" documentId="13_ncr:1_{A4129AC3-13DD-45DB-8BA8-91890A904431}" xr6:coauthVersionLast="47" xr6:coauthVersionMax="47" xr10:uidLastSave="{00000000-0000-0000-0000-000000000000}"/>
  <bookViews>
    <workbookView xWindow="28680" yWindow="-120" windowWidth="38640" windowHeight="21120" tabRatio="815" xr2:uid="{00000000-000D-0000-FFFF-FFFF00000000}"/>
  </bookViews>
  <sheets>
    <sheet name="Cover" sheetId="115" r:id="rId1"/>
    <sheet name="更新履歴" sheetId="116" r:id="rId2"/>
    <sheet name="TCS" sheetId="117" r:id="rId3"/>
    <sheet name="テストデータ" sheetId="120" r:id="rId4"/>
    <sheet name="引数チェック" sheetId="121" r:id="rId5"/>
    <sheet name="主処理" sheetId="128" r:id="rId6"/>
    <sheet name="⇒参考資料用雛形" sheetId="118" r:id="rId7"/>
    <sheet name="確認資料1" sheetId="119" r:id="rId8"/>
    <sheet name="検索" sheetId="122" r:id="rId9"/>
    <sheet name="更新" sheetId="123" r:id="rId10"/>
    <sheet name="処理ﾊﾟﾀｰﾝ" sheetId="124" r:id="rId11"/>
    <sheet name="追加" sheetId="125" r:id="rId12"/>
    <sheet name="削除" sheetId="126" r:id="rId13"/>
    <sheet name="その他" sheetId="127" r:id="rId14"/>
  </sheets>
  <externalReferences>
    <externalReference r:id="rId15"/>
    <externalReference r:id="rId16"/>
    <externalReference r:id="rId17"/>
    <externalReference r:id="rId18"/>
    <externalReference r:id="rId19"/>
    <externalReference r:id="rId20"/>
    <externalReference r:id="rId21"/>
  </externalReferences>
  <definedNames>
    <definedName name="_xlnm._FilterDatabase" localSheetId="2" hidden="1">#REF!</definedName>
    <definedName name="_xlnm._FilterDatabase" hidden="1">#REF!</definedName>
    <definedName name="_Key1" localSheetId="2" hidden="1">#REF!</definedName>
    <definedName name="_Key1" hidden="1">#REF!</definedName>
    <definedName name="_Order1" hidden="1">255</definedName>
    <definedName name="_Regression_X" localSheetId="2" hidden="1">#REF!</definedName>
    <definedName name="_Regression_X" hidden="1">#REF!</definedName>
    <definedName name="_Sort" localSheetId="2" hidden="1">#REF!</definedName>
    <definedName name="_Sort" hidden="1">#REF!</definedName>
    <definedName name="Access_Button" hidden="1">"名簿_ｱｸｾｽ_List1"</definedName>
    <definedName name="AccessDatabase" hidden="1">"G:\_資金部\1総括\総括庶務\ｱｸｾｽ\ｱﾅｱｸｾｽ.MDB"</definedName>
    <definedName name="AS2DocOpenMode" hidden="1">"AS2DocumentEdit"</definedName>
    <definedName name="BS入力">[1]!BS入力</definedName>
    <definedName name="EditBack" localSheetId="2">#REF!</definedName>
    <definedName name="EditBack">#REF!</definedName>
    <definedName name="EditBar" localSheetId="2">#REF!</definedName>
    <definedName name="EditBar">#REF!</definedName>
    <definedName name="EditCommon" localSheetId="2">#REF!</definedName>
    <definedName name="EditCommon">#REF!</definedName>
    <definedName name="EditConf" localSheetId="2">#REF!</definedName>
    <definedName name="EditConf">#REF!</definedName>
    <definedName name="EditConfirm" localSheetId="2">#REF!</definedName>
    <definedName name="EditConfirm">#REF!</definedName>
    <definedName name="EditCopyUpdate" localSheetId="2">#REF!</definedName>
    <definedName name="EditCopyUpdate">#REF!</definedName>
    <definedName name="EditDelete" localSheetId="2">#REF!</definedName>
    <definedName name="EditDelete">#REF!</definedName>
    <definedName name="EditDeleteS" localSheetId="2">#REF!</definedName>
    <definedName name="EditDeleteS">#REF!</definedName>
    <definedName name="EditDeleteUpdate" localSheetId="2">#REF!</definedName>
    <definedName name="EditDeleteUpdate">#REF!</definedName>
    <definedName name="EditDetail" localSheetId="2">#REF!</definedName>
    <definedName name="EditDetail">#REF!</definedName>
    <definedName name="EditDetailTran" localSheetId="2">#REF!</definedName>
    <definedName name="EditDetailTran">#REF!</definedName>
    <definedName name="EditDetailTransaction" localSheetId="2">#REF!</definedName>
    <definedName name="EditDetailTransaction">#REF!</definedName>
    <definedName name="EditDownload" localSheetId="2">#REF!</definedName>
    <definedName name="EditDownload">#REF!</definedName>
    <definedName name="EditEdit" localSheetId="2">#REF!</definedName>
    <definedName name="EditEdit">#REF!</definedName>
    <definedName name="EditEditTran" localSheetId="2">#REF!</definedName>
    <definedName name="EditEditTran">#REF!</definedName>
    <definedName name="EditEditUpdate" localSheetId="2">#REF!</definedName>
    <definedName name="EditEditUpdate">#REF!</definedName>
    <definedName name="EditInitial" localSheetId="2">#REF!</definedName>
    <definedName name="EditInitial">#REF!</definedName>
    <definedName name="EditInsert" localSheetId="2">#REF!</definedName>
    <definedName name="EditInsert">#REF!</definedName>
    <definedName name="EditItemChange" localSheetId="2">#REF!</definedName>
    <definedName name="EditItemChange">#REF!</definedName>
    <definedName name="EditLoseFocus" localSheetId="2">#REF!</definedName>
    <definedName name="EditLoseFocus">#REF!</definedName>
    <definedName name="EditLoseFocus1" localSheetId="2">#REF!</definedName>
    <definedName name="EditLoseFocus1">#REF!</definedName>
    <definedName name="EditLoseFocus2" localSheetId="2">#REF!</definedName>
    <definedName name="EditLoseFocus2">#REF!</definedName>
    <definedName name="EditLoseFocus3" localSheetId="2">#REF!</definedName>
    <definedName name="EditLoseFocus3">#REF!</definedName>
    <definedName name="EditLoseFocus4" localSheetId="2">#REF!</definedName>
    <definedName name="EditLoseFocus4">#REF!</definedName>
    <definedName name="EditLoseFocus5" localSheetId="2">#REF!</definedName>
    <definedName name="EditLoseFocus5">#REF!</definedName>
    <definedName name="EditNew" localSheetId="2">#REF!</definedName>
    <definedName name="EditNew">#REF!</definedName>
    <definedName name="EditNewS" localSheetId="2">#REF!</definedName>
    <definedName name="EditNewS">#REF!</definedName>
    <definedName name="EditNewTran" localSheetId="2">#REF!</definedName>
    <definedName name="EditNewTran">#REF!</definedName>
    <definedName name="EditPrev" localSheetId="2">#REF!</definedName>
    <definedName name="EditPrev">#REF!</definedName>
    <definedName name="EditPrint" localSheetId="2">#REF!</definedName>
    <definedName name="EditPrint">#REF!</definedName>
    <definedName name="EditReset" localSheetId="2">#REF!</definedName>
    <definedName name="EditReset">#REF!</definedName>
    <definedName name="EditRetrieve" localSheetId="2">#REF!</definedName>
    <definedName name="EditRetrieve">#REF!</definedName>
    <definedName name="EditUpdateS" localSheetId="2">#REF!</definedName>
    <definedName name="EditUpdateS">#REF!</definedName>
    <definedName name="EditUpload" localSheetId="2">#REF!</definedName>
    <definedName name="EditUpload">#REF!</definedName>
    <definedName name="EditValuesList" localSheetId="2">#REF!</definedName>
    <definedName name="EditValuesList">#REF!</definedName>
    <definedName name="Event" localSheetId="2">#REF!</definedName>
    <definedName name="Event">#REF!</definedName>
    <definedName name="fl01AS1" localSheetId="2" hidden="1">[2]分录!#REF!</definedName>
    <definedName name="fl01AS1" hidden="1">[2]分录!#REF!</definedName>
    <definedName name="fl04AF1" localSheetId="2" hidden="1">[3]分录!#REF!</definedName>
    <definedName name="fl04AF1" hidden="1">[3]分录!#REF!</definedName>
    <definedName name="HeaderItemChanged" localSheetId="2">#REF!</definedName>
    <definedName name="HeaderItemChanged">#REF!</definedName>
    <definedName name="PL入力">[1]!PL入力</definedName>
    <definedName name="test" localSheetId="2">#REF!</definedName>
    <definedName name="test">#REF!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pdateConfirm" localSheetId="2">#REF!</definedName>
    <definedName name="UpdateConfirm">#REF!</definedName>
    <definedName name="UpdatePrint" localSheetId="2">#REF!</definedName>
    <definedName name="UpdatePrint">#REF!</definedName>
    <definedName name="ValidationCommon" localSheetId="2">#REF!</definedName>
    <definedName name="ValidationCommon">#REF!</definedName>
    <definedName name="ValidationConfirm" localSheetId="2">#REF!</definedName>
    <definedName name="ValidationConfirm">#REF!</definedName>
    <definedName name="ValidationDelete" localSheetId="2">#REF!</definedName>
    <definedName name="ValidationDelete">#REF!</definedName>
    <definedName name="ValidationDetail" localSheetId="2">#REF!</definedName>
    <definedName name="ValidationDetail">#REF!</definedName>
    <definedName name="ValidationEdit" localSheetId="2">#REF!</definedName>
    <definedName name="ValidationEdit">#REF!</definedName>
    <definedName name="ValidationLoseFocus" localSheetId="2">#REF!</definedName>
    <definedName name="ValidationLoseFocus">#REF!</definedName>
    <definedName name="ValidationPrint" localSheetId="2">#REF!</definedName>
    <definedName name="ValidationPrint">#REF!</definedName>
    <definedName name="ValidationRetrieve" localSheetId="2">#REF!</definedName>
    <definedName name="ValidationRetrieve">#REF!</definedName>
    <definedName name="ValidRet" localSheetId="2">#REF!</definedName>
    <definedName name="ValidRet">#REF!</definedName>
    <definedName name="xxjj36" localSheetId="2">[4]已审CF!#REF!</definedName>
    <definedName name="xxjj36">[4]已审CF!#REF!</definedName>
    <definedName name="xxjj44" localSheetId="2">[4]已审CF!#REF!</definedName>
    <definedName name="xxjj44">[4]已审CF!#REF!</definedName>
    <definedName name="xxjj48" localSheetId="2">[4]已审CF!#REF!</definedName>
    <definedName name="xxjj48">[4]已审CF!#REF!</definedName>
    <definedName name="コメント入力">[1]!コメント入力</definedName>
    <definedName name="データ形式">[5]!テーブル56[ファイルデータ形式]</definedName>
    <definedName name="データ型">[5]!テーブル5[データ型]</definedName>
    <definedName name="データ型2">[5]!テーブル69[データ型]</definedName>
    <definedName name="デリミタ">[5]!テーブル3[デリミタ]</definedName>
    <definedName name="改行コード">[5]!テーブル6[改行コード]</definedName>
    <definedName name="固定可変">[5]!テーブル43[固定長/可変長]</definedName>
    <definedName name="関連表" localSheetId="2" hidden="1">#REF!</definedName>
    <definedName name="関連表" hidden="1">#REF!</definedName>
    <definedName name="稼働日" localSheetId="2">#REF!</definedName>
    <definedName name="稼働日">#REF!</definedName>
    <definedName name="客户">[6]索引!$C$4</definedName>
    <definedName name="栏目设置">[6]索引!$C$8</definedName>
    <definedName name="売上入力">[1]!売上入力</definedName>
    <definedName name="末尾デリミタ">[5]!テーブル7[末尾デリミタ文字]</definedName>
    <definedName name="期间">[6]索引!$C$6</definedName>
    <definedName name="人員入力">[1]!人員入力</definedName>
    <definedName name="入出力対象">[5]!テーブル4[入出力対象]</definedName>
    <definedName name="深夜開始">[7]初期値!$G$3</definedName>
    <definedName name="始業時間">[7]初期値!$C$3</definedName>
    <definedName name="文字コード">[5]!テーブル1[文字コード]</definedName>
    <definedName name="曜日" localSheetId="2">#REF!</definedName>
    <definedName name="曜日">#REF!</definedName>
    <definedName name="应付票据mxb" localSheetId="2" hidden="1">#REF!</definedName>
    <definedName name="应付票据mxb" hidden="1">#REF!</definedName>
    <definedName name="終業時間">[7]初期値!$F$3</definedName>
    <definedName name="総表印刷">[1]!総表印刷</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2" i="117" l="1"/>
  <c r="J2" i="117"/>
  <c r="G2" i="117"/>
  <c r="L2" i="117" l="1"/>
  <c r="G3" i="117"/>
  <c r="J3" i="1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Suzuki Yusuke</author>
  </authors>
  <commentList>
    <comment ref="F5" authorId="0" shapeId="0" xr:uid="{5C1326A4-549E-413B-BE9E-ED5283DCD2F7}">
      <text>
        <r>
          <rPr>
            <sz val="9"/>
            <color indexed="81"/>
            <rFont val="MS P ゴシック"/>
            <family val="3"/>
            <charset val="128"/>
          </rPr>
          <t>結果が保存されているシート名を記載する。
ファイルがない場合は「なし」と記載してください</t>
        </r>
      </text>
    </comment>
  </commentList>
</comments>
</file>

<file path=xl/sharedStrings.xml><?xml version="1.0" encoding="utf-8"?>
<sst xmlns="http://schemas.openxmlformats.org/spreadsheetml/2006/main" count="3003" uniqueCount="583">
  <si>
    <t>確認者</t>
    <rPh sb="0" eb="2">
      <t>カクニン</t>
    </rPh>
    <rPh sb="2" eb="3">
      <t>シャ</t>
    </rPh>
    <phoneticPr fontId="3"/>
  </si>
  <si>
    <t>作成者</t>
    <rPh sb="0" eb="3">
      <t>サクセイシャ</t>
    </rPh>
    <phoneticPr fontId="3"/>
  </si>
  <si>
    <t>日付</t>
    <rPh sb="0" eb="2">
      <t>ヒヅケ</t>
    </rPh>
    <phoneticPr fontId="3"/>
  </si>
  <si>
    <t>供給者</t>
  </si>
  <si>
    <t>IC</t>
    <phoneticPr fontId="3"/>
  </si>
  <si>
    <t>更新者</t>
    <rPh sb="0" eb="3">
      <t>コウシンシャ</t>
    </rPh>
    <phoneticPr fontId="3"/>
  </si>
  <si>
    <t>モジュール名</t>
    <rPh sb="5" eb="6">
      <t>メイ</t>
    </rPh>
    <phoneticPr fontId="12"/>
  </si>
  <si>
    <t>プログラムID</t>
    <phoneticPr fontId="12"/>
  </si>
  <si>
    <t>プログラム名</t>
    <phoneticPr fontId="12"/>
  </si>
  <si>
    <t>Project Name</t>
    <phoneticPr fontId="12"/>
  </si>
  <si>
    <t>Yamaha-motor Next Stage</t>
    <phoneticPr fontId="12"/>
  </si>
  <si>
    <t>Workstream</t>
    <phoneticPr fontId="12"/>
  </si>
  <si>
    <t>Document Scope</t>
    <phoneticPr fontId="12"/>
  </si>
  <si>
    <t>TCS作成</t>
    <rPh sb="3" eb="5">
      <t>サクセイ</t>
    </rPh>
    <phoneticPr fontId="12"/>
  </si>
  <si>
    <t>承認者</t>
    <rPh sb="0" eb="3">
      <t>ショウニンシャ</t>
    </rPh>
    <phoneticPr fontId="3"/>
  </si>
  <si>
    <t>名前</t>
    <rPh sb="0" eb="2">
      <t>ナマエ</t>
    </rPh>
    <phoneticPr fontId="3"/>
  </si>
  <si>
    <t>テスト実施</t>
    <rPh sb="3" eb="5">
      <t>ジッシ</t>
    </rPh>
    <phoneticPr fontId="12"/>
  </si>
  <si>
    <t>テスト担当者</t>
    <rPh sb="3" eb="6">
      <t>タントウシャ</t>
    </rPh>
    <phoneticPr fontId="3"/>
  </si>
  <si>
    <t>Ver</t>
    <phoneticPr fontId="3"/>
  </si>
  <si>
    <t>更新日</t>
    <rPh sb="0" eb="2">
      <t>コウシン</t>
    </rPh>
    <rPh sb="2" eb="3">
      <t>ビ</t>
    </rPh>
    <phoneticPr fontId="3"/>
  </si>
  <si>
    <t>更新シート</t>
    <rPh sb="0" eb="2">
      <t>コウシン</t>
    </rPh>
    <phoneticPr fontId="3"/>
  </si>
  <si>
    <t>更新内容</t>
    <rPh sb="0" eb="2">
      <t>コウシン</t>
    </rPh>
    <rPh sb="2" eb="4">
      <t>ナイヨウ</t>
    </rPh>
    <phoneticPr fontId="3"/>
  </si>
  <si>
    <t>確認日</t>
    <rPh sb="0" eb="2">
      <t>カクニン</t>
    </rPh>
    <rPh sb="2" eb="3">
      <t>ビ</t>
    </rPh>
    <phoneticPr fontId="12"/>
  </si>
  <si>
    <t>確認者</t>
    <rPh sb="0" eb="2">
      <t>カクニン</t>
    </rPh>
    <rPh sb="2" eb="3">
      <t>シャ</t>
    </rPh>
    <phoneticPr fontId="12"/>
  </si>
  <si>
    <t>承認日</t>
    <rPh sb="0" eb="2">
      <t>ショウニン</t>
    </rPh>
    <rPh sb="2" eb="3">
      <t>ビ</t>
    </rPh>
    <phoneticPr fontId="12"/>
  </si>
  <si>
    <t>承認者</t>
    <rPh sb="0" eb="2">
      <t>ショウニン</t>
    </rPh>
    <rPh sb="2" eb="3">
      <t>シャ</t>
    </rPh>
    <phoneticPr fontId="12"/>
  </si>
  <si>
    <t>備考</t>
    <rPh sb="0" eb="2">
      <t>ビコウ</t>
    </rPh>
    <phoneticPr fontId="3"/>
  </si>
  <si>
    <t>*</t>
    <phoneticPr fontId="12"/>
  </si>
  <si>
    <t>テスト概要</t>
    <rPh sb="3" eb="5">
      <t>ｶﾞｲﾖｳ</t>
    </rPh>
    <phoneticPr fontId="19" type="noConversion"/>
  </si>
  <si>
    <t>テストケース数</t>
    <rPh sb="6" eb="7">
      <t>ｽｳ</t>
    </rPh>
    <phoneticPr fontId="19" type="noConversion"/>
  </si>
  <si>
    <t>テスト実施数</t>
    <rPh sb="3" eb="5">
      <t>ｼﾞｯｼ</t>
    </rPh>
    <rPh sb="5" eb="6">
      <t>ｽｳ</t>
    </rPh>
    <phoneticPr fontId="19" type="noConversion"/>
  </si>
  <si>
    <t>テスト未実施数</t>
    <rPh sb="3" eb="6">
      <t>ﾐｼﾞｯｼ</t>
    </rPh>
    <rPh sb="6" eb="7">
      <t>ｽｳ</t>
    </rPh>
    <phoneticPr fontId="19" type="noConversion"/>
  </si>
  <si>
    <t>合格ケース数</t>
    <rPh sb="0" eb="2">
      <t>ｺﾞｳｶｸ</t>
    </rPh>
    <rPh sb="5" eb="6">
      <t>ｽｳ</t>
    </rPh>
    <phoneticPr fontId="19" type="noConversion"/>
  </si>
  <si>
    <t>進捗率</t>
    <rPh sb="0" eb="2">
      <t>ｼﾝﾁｮｸ</t>
    </rPh>
    <rPh sb="2" eb="3">
      <t>ﾘﾂ</t>
    </rPh>
    <phoneticPr fontId="19" type="noConversion"/>
  </si>
  <si>
    <t>ケース合格率</t>
    <rPh sb="3" eb="5">
      <t>ｺﾞｳｶｸ</t>
    </rPh>
    <rPh sb="5" eb="6">
      <t>ﾘﾂ</t>
    </rPh>
    <phoneticPr fontId="19" type="noConversion"/>
  </si>
  <si>
    <t>開発者</t>
    <rPh sb="0" eb="3">
      <t>ｶｲﾊﾂｼｬ</t>
    </rPh>
    <phoneticPr fontId="19" type="noConversion"/>
  </si>
  <si>
    <t>検収者</t>
    <rPh sb="0" eb="2">
      <t>ｹﾝｼｭｳ</t>
    </rPh>
    <rPh sb="2" eb="3">
      <t>ｼｬ</t>
    </rPh>
    <phoneticPr fontId="19" type="noConversion"/>
  </si>
  <si>
    <t>No</t>
    <phoneticPr fontId="19" type="noConversion"/>
  </si>
  <si>
    <t>項目名</t>
    <rPh sb="0" eb="2">
      <t>ｺｳﾓｸ</t>
    </rPh>
    <rPh sb="2" eb="3">
      <t>ﾒｲ</t>
    </rPh>
    <phoneticPr fontId="19" type="noConversion"/>
  </si>
  <si>
    <t>テストケース</t>
    <phoneticPr fontId="19" type="noConversion"/>
  </si>
  <si>
    <t>チェックポイント</t>
    <phoneticPr fontId="19" type="noConversion"/>
  </si>
  <si>
    <t>確認資料</t>
    <rPh sb="0" eb="4">
      <t>ｶｸﾆﾝｼﾘｮｳ</t>
    </rPh>
    <phoneticPr fontId="19" type="noConversion"/>
  </si>
  <si>
    <t>生成AI/手動</t>
    <rPh sb="0" eb="2">
      <t>ｾｲｾｲ</t>
    </rPh>
    <rPh sb="5" eb="7">
      <t>ｼｭﾄﾞｳ</t>
    </rPh>
    <phoneticPr fontId="19" type="noConversion"/>
  </si>
  <si>
    <t>テスト方法</t>
    <rPh sb="3" eb="5">
      <t>ﾎｳﾎｳ</t>
    </rPh>
    <phoneticPr fontId="19" type="noConversion"/>
  </si>
  <si>
    <t>エビデンス
要否</t>
    <rPh sb="6" eb="8">
      <t>ﾖｳﾋ</t>
    </rPh>
    <phoneticPr fontId="19" type="noConversion"/>
  </si>
  <si>
    <t>ケース
レビュー</t>
    <phoneticPr fontId="19" type="noConversion"/>
  </si>
  <si>
    <t>テスト担当者</t>
    <rPh sb="3" eb="6">
      <t>ﾀﾝﾄｳｼｬ</t>
    </rPh>
    <phoneticPr fontId="19" type="noConversion"/>
  </si>
  <si>
    <t>テスト
結果</t>
    <rPh sb="4" eb="6">
      <t>ｹｯｶ</t>
    </rPh>
    <phoneticPr fontId="19" type="noConversion"/>
  </si>
  <si>
    <t>テスト実施
レビュー</t>
    <rPh sb="3" eb="5">
      <t>ｼﾞｯｼ</t>
    </rPh>
    <phoneticPr fontId="19" type="noConversion"/>
  </si>
  <si>
    <t>コメント</t>
    <phoneticPr fontId="19" type="noConversion"/>
  </si>
  <si>
    <t>生成AI</t>
  </si>
  <si>
    <t>正常終了</t>
  </si>
  <si>
    <t>処理ステータス</t>
  </si>
  <si>
    <t>正常終了時の処理ステータス</t>
  </si>
  <si>
    <t>処理ステータスが0で設定されている</t>
  </si>
  <si>
    <t>SQLコード</t>
  </si>
  <si>
    <t>正常終了時のSQLコード</t>
  </si>
  <si>
    <t>エラーコード</t>
  </si>
  <si>
    <t>正常終了時のエラーコード</t>
  </si>
  <si>
    <t>エラーメッセージ</t>
  </si>
  <si>
    <t>正常終了時のエラーメッセージ</t>
  </si>
  <si>
    <t>エラーメッセージがスペースで設定されている</t>
  </si>
  <si>
    <t>エラー位置</t>
  </si>
  <si>
    <t>正常終了時のエラー位置</t>
  </si>
  <si>
    <t>エラー位置がスペースで設定されている</t>
  </si>
  <si>
    <t>SQLエラー発生時の処理ステータス</t>
  </si>
  <si>
    <t>処理ステータスが-1で設定されている</t>
  </si>
  <si>
    <t>PGMエラー発生時の処理ステータス</t>
  </si>
  <si>
    <t>処理ステータスが-2で設定されている</t>
  </si>
  <si>
    <t>エラー発生時のエラー位置</t>
  </si>
  <si>
    <t>正常に処理されている</t>
  </si>
  <si>
    <t>SQLコードがスペースで設定されている</t>
  </si>
  <si>
    <t>エラーコードがスペースで設定されている</t>
  </si>
  <si>
    <t>使用者がブランクの場合</t>
  </si>
  <si>
    <t>オーダー番号の先頭が'W'以外の場合</t>
  </si>
  <si>
    <t>警告終了</t>
  </si>
  <si>
    <t>警告発生時の処理ステータス</t>
  </si>
  <si>
    <t>処理ステータスが1で設定されている</t>
  </si>
  <si>
    <t>2. 検索(select)</t>
  </si>
  <si>
    <t>3. 処理パターン</t>
    <phoneticPr fontId="3"/>
  </si>
  <si>
    <t>LDAS0328</t>
    <phoneticPr fontId="3"/>
  </si>
  <si>
    <t>Valid／Ｗビンオーダー登録</t>
    <phoneticPr fontId="3"/>
  </si>
  <si>
    <t>1. 引数チェック</t>
    <phoneticPr fontId="3"/>
  </si>
  <si>
    <t>引数</t>
    <phoneticPr fontId="3"/>
  </si>
  <si>
    <t>余</t>
    <phoneticPr fontId="3"/>
  </si>
  <si>
    <t>戻る</t>
    <rPh sb="0" eb="1">
      <t>モド</t>
    </rPh>
    <phoneticPr fontId="3"/>
  </si>
  <si>
    <t>引数チェック</t>
    <phoneticPr fontId="3"/>
  </si>
  <si>
    <t>No.</t>
    <phoneticPr fontId="3"/>
  </si>
  <si>
    <t>テスト項目</t>
    <rPh sb="3" eb="5">
      <t>コウモク</t>
    </rPh>
    <phoneticPr fontId="3"/>
  </si>
  <si>
    <t>引数としてNULLを受け取った場合</t>
  </si>
  <si>
    <t>a1</t>
    <phoneticPr fontId="3"/>
  </si>
  <si>
    <t>● 仕様：</t>
    <rPh sb="2" eb="4">
      <t>シヨウ</t>
    </rPh>
    <phoneticPr fontId="3"/>
  </si>
  <si>
    <t>引数.拠点コード が スペース または NULL の場合</t>
  </si>
  <si>
    <t>【実行形式】</t>
    <rPh sb="1" eb="3">
      <t>ジッコウ</t>
    </rPh>
    <rPh sb="3" eb="5">
      <t>ケイシキ</t>
    </rPh>
    <phoneticPr fontId="3"/>
  </si>
  <si>
    <t>SELECT</t>
  </si>
  <si>
    <t>*</t>
  </si>
  <si>
    <t xml:space="preserve">FROM </t>
  </si>
  <si>
    <t>DHBS9002</t>
  </si>
  <si>
    <t>拠点コード</t>
  </si>
  <si>
    <t>(</t>
  </si>
  <si>
    <t>NULL</t>
  </si>
  <si>
    <t>部品番号</t>
  </si>
  <si>
    <t>,</t>
  </si>
  <si>
    <t>'PARTS-NO'</t>
  </si>
  <si>
    <t>工程</t>
  </si>
  <si>
    <t>'00'</t>
  </si>
  <si>
    <t>色</t>
  </si>
  <si>
    <t>'1234'</t>
  </si>
  <si>
    <t>変更前 部品別調達担当</t>
  </si>
  <si>
    <t>'11A'</t>
  </si>
  <si>
    <t>変更後 部品別調達担当</t>
  </si>
  <si>
    <t>'22B'</t>
  </si>
  <si>
    <t>更新日時</t>
  </si>
  <si>
    <t>'2019-02-15 00:00:00'</t>
  </si>
  <si>
    <t>更新者</t>
  </si>
  <si>
    <t>'AL00238'</t>
  </si>
  <si>
    <t>更新ＰＧＩＤ</t>
  </si>
  <si>
    <t>'dhbs9002'</t>
  </si>
  <si>
    <t>);</t>
  </si>
  <si>
    <t>【戻り値】</t>
    <rPh sb="1" eb="2">
      <t>モド</t>
    </rPh>
    <rPh sb="3" eb="4">
      <t>チ</t>
    </rPh>
    <phoneticPr fontId="3"/>
  </si>
  <si>
    <t>rn_status</t>
  </si>
  <si>
    <t>rs_sql_code</t>
  </si>
  <si>
    <t xml:space="preserve"> </t>
  </si>
  <si>
    <t>rs_err_code</t>
  </si>
  <si>
    <t>E.DHP10002</t>
  </si>
  <si>
    <t>rs_err_msg</t>
  </si>
  <si>
    <t>Argument Error : [ ps_site_code ] = NULL</t>
  </si>
  <si>
    <t>引数.部品番号 が スペース または NULL の場合</t>
  </si>
  <si>
    <t>'0000'</t>
  </si>
  <si>
    <t>E.DHP10031</t>
  </si>
  <si>
    <t>Argument Error : [ ps_part_no ] = NULL</t>
  </si>
  <si>
    <t>引数.工程 が スペース または NULL の場合</t>
  </si>
  <si>
    <t>E.DHP10089</t>
  </si>
  <si>
    <t>Argument Error : [ ps_process_no ] = NULL</t>
  </si>
  <si>
    <t>引数.色 が スペース または NULL の場合</t>
  </si>
  <si>
    <t>E.DHP10092</t>
  </si>
  <si>
    <t>Argument Error : [ ps_color_indicat_no ] = NULL</t>
  </si>
  <si>
    <t>引数.供給者 が NULL の場合 (※1)</t>
  </si>
  <si>
    <t>(※1)：スペースの場合があるため、NULL判定のみ行う</t>
  </si>
  <si>
    <t>'01'</t>
  </si>
  <si>
    <t>E.DHP10075</t>
  </si>
  <si>
    <t>Argument Error : [ ps_supplier ] = NULL</t>
  </si>
  <si>
    <t>引数.変更前部品別調達担当 が NULL の場合 (※1)</t>
  </si>
  <si>
    <t>E.DHP10100</t>
  </si>
  <si>
    <t>Argument Error : [ ps_before_su_charge_cd ] = NULL</t>
  </si>
  <si>
    <t>引数.変更後部品別調達担当 が スペース または NULL の場合</t>
  </si>
  <si>
    <t>Argument Error : [ ps_after_su_charge_cd ] = NULL</t>
  </si>
  <si>
    <t>引数.更新日時 が NULL の場合</t>
    <phoneticPr fontId="3"/>
  </si>
  <si>
    <t>invalid input syntax for type timestamp: "NULL"</t>
  </si>
  <si>
    <t>引数.更新者 が スペース または NULL の場合</t>
  </si>
  <si>
    <t>E.DHP10068</t>
  </si>
  <si>
    <t>Argument Error : [ ps_update_author ] = NULL</t>
  </si>
  <si>
    <t>引数.更新ＰＧＩＤ が スペース または NULL の場合</t>
  </si>
  <si>
    <t>E.DHP10085</t>
  </si>
  <si>
    <t>Argument Error : [ ps_update_pgmid ] = NULL</t>
  </si>
  <si>
    <t>⇒</t>
    <phoneticPr fontId="3"/>
  </si>
  <si>
    <t>仕様通りの処理を行っている（エラー出力して終了）</t>
    <rPh sb="17" eb="19">
      <t>シュツリョク</t>
    </rPh>
    <rPh sb="21" eb="23">
      <t>シュウリョウ</t>
    </rPh>
    <phoneticPr fontId="2"/>
  </si>
  <si>
    <t>引数としてスペースを受け取った場合</t>
  </si>
  <si>
    <t>a2</t>
    <phoneticPr fontId="3"/>
  </si>
  <si>
    <t>''</t>
  </si>
  <si>
    <t xml:space="preserve">Argument Error : [ ps_site_code ] = </t>
  </si>
  <si>
    <t xml:space="preserve">Argument Error : [ ps_part_no ] = </t>
  </si>
  <si>
    <t xml:space="preserve">Argument Error : [ ps_process_no ] = </t>
  </si>
  <si>
    <t xml:space="preserve">Argument Error : [ ps_color_indicat_no ] = </t>
  </si>
  <si>
    <t>⇒ スペースの判定は無し、正常に処理が続行している</t>
    <rPh sb="7" eb="9">
      <t>ハンテイ</t>
    </rPh>
    <rPh sb="10" eb="11">
      <t>ナ</t>
    </rPh>
    <rPh sb="13" eb="15">
      <t>セイジョウ</t>
    </rPh>
    <rPh sb="16" eb="18">
      <t>ショリ</t>
    </rPh>
    <rPh sb="19" eb="21">
      <t>ゾッコウ</t>
    </rPh>
    <phoneticPr fontId="3"/>
  </si>
  <si>
    <t>Update Count  : [ dh_job_seq_detail ] = 0 : [ dh_pre_unit_assy_master ] = 0 : [ dh_price_reg_status ] = 0 : [ dh_novelty_survey_request ] = 0 : [ dh_su_charge_cd_chg_history ] = 1</t>
  </si>
  <si>
    <t xml:space="preserve">Argument Error : [ ps_after_su_charge_cd ] = </t>
  </si>
  <si>
    <t>⇒ Timeｓtamp型の引数にブランクは渡せないため、実行エラーになる。</t>
    <rPh sb="11" eb="12">
      <t>ガタ</t>
    </rPh>
    <rPh sb="13" eb="15">
      <t>ヒキスウ</t>
    </rPh>
    <rPh sb="21" eb="22">
      <t>ワタ</t>
    </rPh>
    <rPh sb="28" eb="30">
      <t>ジッコウ</t>
    </rPh>
    <phoneticPr fontId="3"/>
  </si>
  <si>
    <t>拠点コード</t>
    <phoneticPr fontId="3"/>
  </si>
  <si>
    <t>部品番号</t>
    <phoneticPr fontId="3"/>
  </si>
  <si>
    <t>工程</t>
    <phoneticPr fontId="3"/>
  </si>
  <si>
    <t>rs_err_code</t>
    <phoneticPr fontId="3"/>
  </si>
  <si>
    <t xml:space="preserve">Argument Error : [ ps_update_author ] = </t>
  </si>
  <si>
    <t xml:space="preserve">Argument Error : [ ps_update_pgmid ] = </t>
  </si>
  <si>
    <t>テストデータ</t>
    <phoneticPr fontId="3"/>
  </si>
  <si>
    <t>色説明 ：</t>
    <rPh sb="0" eb="1">
      <t>イロ</t>
    </rPh>
    <rPh sb="1" eb="3">
      <t>セツメイ</t>
    </rPh>
    <phoneticPr fontId="3"/>
  </si>
  <si>
    <t>条件項目</t>
    <rPh sb="0" eb="2">
      <t>ジョウケン</t>
    </rPh>
    <rPh sb="2" eb="4">
      <t>コウモク</t>
    </rPh>
    <phoneticPr fontId="3"/>
  </si>
  <si>
    <t>使用しない項目</t>
    <rPh sb="0" eb="2">
      <t>シヨウ</t>
    </rPh>
    <rPh sb="5" eb="7">
      <t>コウモク</t>
    </rPh>
    <phoneticPr fontId="3"/>
  </si>
  <si>
    <t>対象外の値</t>
    <rPh sb="0" eb="3">
      <t>タイショウガイ</t>
    </rPh>
    <rPh sb="4" eb="5">
      <t>アタイ</t>
    </rPh>
    <phoneticPr fontId="3"/>
  </si>
  <si>
    <t>更新項目</t>
    <rPh sb="0" eb="2">
      <t>コウシン</t>
    </rPh>
    <rPh sb="2" eb="4">
      <t>コウモク</t>
    </rPh>
    <phoneticPr fontId="3"/>
  </si>
  <si>
    <t>追加項目</t>
    <rPh sb="0" eb="2">
      <t>ツイカ</t>
    </rPh>
    <rPh sb="2" eb="4">
      <t>コウモク</t>
    </rPh>
    <phoneticPr fontId="3"/>
  </si>
  <si>
    <t>削除項目</t>
    <rPh sb="0" eb="2">
      <t>サクジョ</t>
    </rPh>
    <rPh sb="2" eb="4">
      <t>コウモク</t>
    </rPh>
    <phoneticPr fontId="3"/>
  </si>
  <si>
    <r>
      <t>【ﾁｪｯｸﾘｽﾄの解説資料】　</t>
    </r>
    <r>
      <rPr>
        <b/>
        <sz val="18"/>
        <color indexed="18"/>
        <rFont val="Meiryo UI"/>
        <family val="3"/>
        <charset val="128"/>
      </rPr>
      <t>検索</t>
    </r>
    <rPh sb="9" eb="11">
      <t>カイセツ</t>
    </rPh>
    <rPh sb="11" eb="13">
      <t>シリョウ</t>
    </rPh>
    <rPh sb="15" eb="17">
      <t>ケンサク</t>
    </rPh>
    <phoneticPr fontId="3"/>
  </si>
  <si>
    <t>b1～b2</t>
    <phoneticPr fontId="3"/>
  </si>
  <si>
    <t>　検索条件がある場合</t>
    <phoneticPr fontId="3"/>
  </si>
  <si>
    <t>実行結果：</t>
    <rPh sb="0" eb="2">
      <t>ジッコウ</t>
    </rPh>
    <rPh sb="2" eb="4">
      <t>ケッカ</t>
    </rPh>
    <phoneticPr fontId="3"/>
  </si>
  <si>
    <t>b3</t>
    <phoneticPr fontId="3"/>
  </si>
  <si>
    <t>　グループ化を行う場合</t>
    <rPh sb="5" eb="6">
      <t>カ</t>
    </rPh>
    <rPh sb="7" eb="8">
      <t>オコナ</t>
    </rPh>
    <rPh sb="9" eb="11">
      <t>バアイ</t>
    </rPh>
    <phoneticPr fontId="3"/>
  </si>
  <si>
    <t>b4～b6</t>
    <phoneticPr fontId="3"/>
  </si>
  <si>
    <t>　複数のテーブルを結合する場合</t>
  </si>
  <si>
    <t>■内部（単純） 結合</t>
    <rPh sb="1" eb="3">
      <t>ナイブ</t>
    </rPh>
    <rPh sb="4" eb="6">
      <t>タンジュン</t>
    </rPh>
    <rPh sb="8" eb="10">
      <t>ケツゴウ</t>
    </rPh>
    <phoneticPr fontId="3"/>
  </si>
  <si>
    <t>■外部（OUTER ) 結合</t>
    <rPh sb="1" eb="3">
      <t>ガイブ</t>
    </rPh>
    <rPh sb="12" eb="14">
      <t>ケツゴウ</t>
    </rPh>
    <phoneticPr fontId="3"/>
  </si>
  <si>
    <t>■UNION 結合</t>
    <rPh sb="7" eb="9">
      <t>ケツゴウ</t>
    </rPh>
    <phoneticPr fontId="3"/>
  </si>
  <si>
    <t>b7</t>
    <phoneticPr fontId="3"/>
  </si>
  <si>
    <t>　検索対象レコードが存在しない場合</t>
  </si>
  <si>
    <r>
      <t>　　　　　◆　例として示すプログラムは、検索対象レコードが存在しない場合に　</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20" eb="22">
      <t>ケンサク</t>
    </rPh>
    <rPh sb="22" eb="24">
      <t>タイショウ</t>
    </rPh>
    <rPh sb="29" eb="31">
      <t>ソンザイ</t>
    </rPh>
    <rPh sb="34" eb="36">
      <t>バアイ</t>
    </rPh>
    <rPh sb="77" eb="79">
      <t>ジッコウ</t>
    </rPh>
    <phoneticPr fontId="3"/>
  </si>
  <si>
    <t>→　仕様通りの戻り値を確認。</t>
    <rPh sb="2" eb="4">
      <t>シヨウ</t>
    </rPh>
    <rPh sb="4" eb="5">
      <t>トオ</t>
    </rPh>
    <rPh sb="7" eb="8">
      <t>モド</t>
    </rPh>
    <rPh sb="9" eb="10">
      <t>チ</t>
    </rPh>
    <rPh sb="11" eb="13">
      <t>カクニン</t>
    </rPh>
    <phoneticPr fontId="3"/>
  </si>
  <si>
    <t>b8</t>
    <phoneticPr fontId="3"/>
  </si>
  <si>
    <t>　1件しか入っていないはずのテーブルに複数件のデータが存在する場合</t>
    <rPh sb="2" eb="3">
      <t>ケン</t>
    </rPh>
    <rPh sb="5" eb="6">
      <t>ハイ</t>
    </rPh>
    <rPh sb="19" eb="21">
      <t>フクスウ</t>
    </rPh>
    <rPh sb="21" eb="22">
      <t>ケン</t>
    </rPh>
    <rPh sb="27" eb="29">
      <t>ソンザイ</t>
    </rPh>
    <rPh sb="31" eb="33">
      <t>バアイ</t>
    </rPh>
    <phoneticPr fontId="3"/>
  </si>
  <si>
    <t>→　SQLエラーコードの戻り値を確認。</t>
    <rPh sb="12" eb="13">
      <t>モド</t>
    </rPh>
    <rPh sb="14" eb="15">
      <t>チ</t>
    </rPh>
    <rPh sb="16" eb="18">
      <t>カクニン</t>
    </rPh>
    <phoneticPr fontId="3"/>
  </si>
  <si>
    <t>b9</t>
    <phoneticPr fontId="3"/>
  </si>
  <si>
    <t>　検索対象テーブルが存在しない場合</t>
  </si>
  <si>
    <t>b10</t>
    <phoneticPr fontId="3"/>
  </si>
  <si>
    <t>　検索対象テーブルがロックされている場合</t>
  </si>
  <si>
    <r>
      <t>【ﾁｪｯｸﾘｽﾄの解説資料】　</t>
    </r>
    <r>
      <rPr>
        <b/>
        <sz val="18"/>
        <color indexed="18"/>
        <rFont val="Meiryo UI"/>
        <family val="3"/>
        <charset val="128"/>
      </rPr>
      <t>更新</t>
    </r>
    <rPh sb="9" eb="11">
      <t>カイセツ</t>
    </rPh>
    <rPh sb="11" eb="13">
      <t>シリョウ</t>
    </rPh>
    <rPh sb="15" eb="17">
      <t>コウシン</t>
    </rPh>
    <phoneticPr fontId="3"/>
  </si>
  <si>
    <t>d1～d5</t>
    <phoneticPr fontId="3"/>
  </si>
  <si>
    <t>　更新</t>
  </si>
  <si>
    <t>　</t>
    <phoneticPr fontId="3"/>
  </si>
  <si>
    <t>実行前</t>
    <rPh sb="0" eb="2">
      <t>ジッコウ</t>
    </rPh>
    <rPh sb="2" eb="3">
      <t>マエ</t>
    </rPh>
    <phoneticPr fontId="3"/>
  </si>
  <si>
    <t xml:space="preserve">　　在庫マスタ　　kkzaiko </t>
    <rPh sb="2" eb="4">
      <t>ザイコ</t>
    </rPh>
    <phoneticPr fontId="3"/>
  </si>
  <si>
    <t>倉庫番号</t>
  </si>
  <si>
    <t>商品コード</t>
  </si>
  <si>
    <t>在庫台数</t>
  </si>
  <si>
    <t>登録日時</t>
    <rPh sb="0" eb="2">
      <t>トウロク</t>
    </rPh>
    <rPh sb="2" eb="4">
      <t>ニチジ</t>
    </rPh>
    <phoneticPr fontId="80"/>
  </si>
  <si>
    <t>登録者</t>
    <rPh sb="0" eb="2">
      <t>トウロク</t>
    </rPh>
    <rPh sb="2" eb="3">
      <t>モノ</t>
    </rPh>
    <phoneticPr fontId="80"/>
  </si>
  <si>
    <t>更新日時</t>
    <rPh sb="0" eb="2">
      <t>コウシン</t>
    </rPh>
    <rPh sb="2" eb="4">
      <t>ニチジ</t>
    </rPh>
    <phoneticPr fontId="80"/>
  </si>
  <si>
    <t>更新者</t>
    <rPh sb="0" eb="2">
      <t>コウシン</t>
    </rPh>
    <rPh sb="2" eb="3">
      <t>シャ</t>
    </rPh>
    <phoneticPr fontId="80"/>
  </si>
  <si>
    <t>char （4）</t>
    <phoneticPr fontId="3"/>
  </si>
  <si>
    <t>char （10）</t>
    <phoneticPr fontId="3"/>
  </si>
  <si>
    <t>decimal(15,0)</t>
    <phoneticPr fontId="3"/>
  </si>
  <si>
    <t>regdate</t>
  </si>
  <si>
    <t>regid</t>
  </si>
  <si>
    <t>upddate</t>
    <phoneticPr fontId="80"/>
  </si>
  <si>
    <t>updid</t>
  </si>
  <si>
    <t>W001</t>
    <phoneticPr fontId="3"/>
  </si>
  <si>
    <t>Y_BIKE_002</t>
    <phoneticPr fontId="3"/>
  </si>
  <si>
    <t>2006-08-24 08:49:44</t>
  </si>
  <si>
    <t>LE_M010</t>
    <phoneticPr fontId="3"/>
  </si>
  <si>
    <t>Y_SHIP_001</t>
    <phoneticPr fontId="3"/>
  </si>
  <si>
    <t>W002</t>
    <phoneticPr fontId="3"/>
  </si>
  <si>
    <t>Y_BIKE_003</t>
    <phoneticPr fontId="3"/>
  </si>
  <si>
    <t>Y_BIKE_004</t>
    <phoneticPr fontId="3"/>
  </si>
  <si>
    <t>Y_SHIP_002</t>
    <phoneticPr fontId="3"/>
  </si>
  <si>
    <t>W003</t>
    <phoneticPr fontId="3"/>
  </si>
  <si>
    <t>LE_M010</t>
  </si>
  <si>
    <t>W004</t>
    <phoneticPr fontId="3"/>
  </si>
  <si>
    <t>W005</t>
    <phoneticPr fontId="3"/>
  </si>
  <si>
    <t>Y_BIKE_001</t>
    <phoneticPr fontId="3"/>
  </si>
  <si>
    <t>Y_SHIP_003</t>
    <phoneticPr fontId="3"/>
  </si>
  <si>
    <t>Y_SHIP_004</t>
    <phoneticPr fontId="3"/>
  </si>
  <si>
    <t>Y_SHIP_005</t>
    <phoneticPr fontId="3"/>
  </si>
  <si>
    <t>Y_SHIP_006</t>
    <phoneticPr fontId="3"/>
  </si>
  <si>
    <t>Y_ZZZZ_001</t>
    <phoneticPr fontId="3"/>
  </si>
  <si>
    <t>W006</t>
    <phoneticPr fontId="3"/>
  </si>
  <si>
    <t>Y_ｱa1*_002</t>
    <phoneticPr fontId="3"/>
  </si>
  <si>
    <t>実行後</t>
    <rPh sb="0" eb="2">
      <t>ジッコウ</t>
    </rPh>
    <rPh sb="2" eb="3">
      <t>ゴ</t>
    </rPh>
    <phoneticPr fontId="3"/>
  </si>
  <si>
    <t>2006-10-25 15:03:28</t>
    <phoneticPr fontId="3"/>
  </si>
  <si>
    <t>SYSTEM</t>
  </si>
  <si>
    <t>2006-10-25 15:03:28</t>
  </si>
  <si>
    <t>d6</t>
    <phoneticPr fontId="3"/>
  </si>
  <si>
    <t>　正常に処理が終了した場合の戻り値</t>
  </si>
  <si>
    <r>
      <t>　　　　　◆　例として示すプログラムは、　</t>
    </r>
    <r>
      <rPr>
        <b/>
        <sz val="9"/>
        <color indexed="48"/>
        <rFont val="Meiryo UI"/>
        <family val="3"/>
        <charset val="128"/>
      </rPr>
      <t>return 0,　0,　0,　" ",  " ",  " ",  0;</t>
    </r>
    <r>
      <rPr>
        <b/>
        <sz val="9"/>
        <color indexed="59"/>
        <rFont val="Meiryo UI"/>
        <family val="3"/>
        <charset val="128"/>
      </rPr>
      <t>　</t>
    </r>
    <r>
      <rPr>
        <sz val="9"/>
        <color indexed="59"/>
        <rFont val="Meiryo UI"/>
        <family val="3"/>
        <charset val="128"/>
      </rPr>
      <t>を実行する</t>
    </r>
    <rPh sb="7" eb="8">
      <t>レイ</t>
    </rPh>
    <rPh sb="11" eb="12">
      <t>シメ</t>
    </rPh>
    <rPh sb="59" eb="61">
      <t>ジッコウ</t>
    </rPh>
    <phoneticPr fontId="3"/>
  </si>
  <si>
    <t>d7</t>
    <phoneticPr fontId="3"/>
  </si>
  <si>
    <t>　更新対象レコードが存在しない場合</t>
    <phoneticPr fontId="3"/>
  </si>
  <si>
    <r>
      <t>　　　　　◆　例として示すプログラムは、　</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60" eb="62">
      <t>ジッコウ</t>
    </rPh>
    <phoneticPr fontId="3"/>
  </si>
  <si>
    <t>d8</t>
    <phoneticPr fontId="3"/>
  </si>
  <si>
    <t>　更新対象テーブルが存在しない場合</t>
    <phoneticPr fontId="3"/>
  </si>
  <si>
    <t>d9</t>
    <phoneticPr fontId="3"/>
  </si>
  <si>
    <t>　更新対象テーブルがロックされている場合</t>
    <phoneticPr fontId="3"/>
  </si>
  <si>
    <r>
      <t>【ﾁｪｯｸﾘｽﾄの解説資料】　</t>
    </r>
    <r>
      <rPr>
        <b/>
        <sz val="18"/>
        <color indexed="18"/>
        <rFont val="Meiryo UI"/>
        <family val="3"/>
        <charset val="128"/>
      </rPr>
      <t>処理パターン</t>
    </r>
    <rPh sb="9" eb="11">
      <t>カイセツ</t>
    </rPh>
    <rPh sb="11" eb="13">
      <t>シリョウ</t>
    </rPh>
    <rPh sb="15" eb="17">
      <t>ショリ</t>
    </rPh>
    <phoneticPr fontId="3"/>
  </si>
  <si>
    <t>c1</t>
    <phoneticPr fontId="3"/>
  </si>
  <si>
    <t>　受け取った引数によって処理が分岐する場合</t>
    <rPh sb="1" eb="2">
      <t>ウ</t>
    </rPh>
    <rPh sb="3" eb="4">
      <t>ト</t>
    </rPh>
    <rPh sb="6" eb="8">
      <t>ヒキスウ</t>
    </rPh>
    <rPh sb="12" eb="14">
      <t>ショリ</t>
    </rPh>
    <rPh sb="15" eb="17">
      <t>ブンキ</t>
    </rPh>
    <rPh sb="19" eb="21">
      <t>バアイ</t>
    </rPh>
    <phoneticPr fontId="3"/>
  </si>
  <si>
    <t>　計算値</t>
    <rPh sb="1" eb="4">
      <t>ケイサンチ</t>
    </rPh>
    <phoneticPr fontId="3"/>
  </si>
  <si>
    <r>
      <t>　　　</t>
    </r>
    <r>
      <rPr>
        <b/>
        <sz val="10"/>
        <color indexed="8"/>
        <rFont val="Meiryo UI"/>
        <family val="3"/>
        <charset val="128"/>
      </rPr>
      <t>第1引数</t>
    </r>
    <r>
      <rPr>
        <sz val="10"/>
        <color indexed="8"/>
        <rFont val="Meiryo UI"/>
        <family val="3"/>
        <charset val="128"/>
      </rPr>
      <t>が1の時はテーブルに追加し、２の時はテーブルから削除する</t>
    </r>
    <rPh sb="3" eb="4">
      <t>ダイ</t>
    </rPh>
    <rPh sb="5" eb="7">
      <t>ヒキスウ</t>
    </rPh>
    <rPh sb="10" eb="11">
      <t>トキ</t>
    </rPh>
    <rPh sb="17" eb="19">
      <t>ツイカ</t>
    </rPh>
    <rPh sb="23" eb="24">
      <t>トキ</t>
    </rPh>
    <rPh sb="31" eb="33">
      <t>サクジョ</t>
    </rPh>
    <phoneticPr fontId="3"/>
  </si>
  <si>
    <r>
      <t>lh0slm330(</t>
    </r>
    <r>
      <rPr>
        <b/>
        <sz val="10"/>
        <color indexed="59"/>
        <rFont val="Meiryo UI"/>
        <family val="3"/>
        <charset val="128"/>
      </rPr>
      <t>処理区分</t>
    </r>
    <r>
      <rPr>
        <sz val="10"/>
        <color indexed="59"/>
        <rFont val="Meiryo UI"/>
        <family val="3"/>
        <charset val="128"/>
      </rPr>
      <t>、</t>
    </r>
    <r>
      <rPr>
        <sz val="10"/>
        <color indexed="12"/>
        <rFont val="Meiryo UI"/>
        <family val="3"/>
        <charset val="128"/>
      </rPr>
      <t>倉庫番号</t>
    </r>
    <r>
      <rPr>
        <sz val="10"/>
        <color indexed="59"/>
        <rFont val="Meiryo UI"/>
        <family val="3"/>
        <charset val="128"/>
      </rPr>
      <t>、</t>
    </r>
    <r>
      <rPr>
        <sz val="10"/>
        <color indexed="12"/>
        <rFont val="Meiryo UI"/>
        <family val="3"/>
        <charset val="128"/>
      </rPr>
      <t>商品コード</t>
    </r>
    <r>
      <rPr>
        <sz val="10"/>
        <color indexed="59"/>
        <rFont val="Meiryo UI"/>
        <family val="3"/>
        <charset val="128"/>
      </rPr>
      <t>、在庫台数)</t>
    </r>
    <rPh sb="10" eb="12">
      <t>ショリ</t>
    </rPh>
    <rPh sb="12" eb="14">
      <t>クブン</t>
    </rPh>
    <rPh sb="15" eb="17">
      <t>ソウコ</t>
    </rPh>
    <rPh sb="17" eb="19">
      <t>バンゴウ</t>
    </rPh>
    <rPh sb="20" eb="22">
      <t>ショウヒン</t>
    </rPh>
    <rPh sb="26" eb="28">
      <t>ザイコ</t>
    </rPh>
    <rPh sb="28" eb="30">
      <t>ダイスウ</t>
    </rPh>
    <phoneticPr fontId="3"/>
  </si>
  <si>
    <t>※第2，3引数はそれぞれ倉庫番号、商品コードを表し、追加、削除の条件キーとする</t>
    <rPh sb="1" eb="2">
      <t>ダイ</t>
    </rPh>
    <rPh sb="5" eb="7">
      <t>ヒキスウ</t>
    </rPh>
    <rPh sb="12" eb="14">
      <t>ソウコ</t>
    </rPh>
    <rPh sb="14" eb="16">
      <t>バンゴウ</t>
    </rPh>
    <rPh sb="17" eb="19">
      <t>ショウヒン</t>
    </rPh>
    <rPh sb="23" eb="24">
      <t>アラワ</t>
    </rPh>
    <rPh sb="26" eb="28">
      <t>ツイカ</t>
    </rPh>
    <rPh sb="29" eb="31">
      <t>サクジョ</t>
    </rPh>
    <rPh sb="32" eb="34">
      <t>ジョウケン</t>
    </rPh>
    <phoneticPr fontId="3"/>
  </si>
  <si>
    <t xml:space="preserve">    実行例１</t>
    <rPh sb="4" eb="6">
      <t>ジッコウ</t>
    </rPh>
    <rPh sb="6" eb="7">
      <t>レイ</t>
    </rPh>
    <phoneticPr fontId="3"/>
  </si>
  <si>
    <t>execute　procedure　lh0slm330("1", " W001", "Y_BIKE_003", "100")</t>
    <phoneticPr fontId="3"/>
  </si>
  <si>
    <t>　execute　procedure　lh0slm330("1", " W001", "Y_BIKE_003", "100")</t>
    <phoneticPr fontId="3"/>
  </si>
  <si>
    <t xml:space="preserve">    実行例2</t>
    <rPh sb="4" eb="6">
      <t>ジッコウ</t>
    </rPh>
    <rPh sb="6" eb="7">
      <t>レイ</t>
    </rPh>
    <phoneticPr fontId="3"/>
  </si>
  <si>
    <t>　execute　procedure　lh0slm330("2", " W001", "Y_BIKE_002", "")</t>
    <phoneticPr fontId="3"/>
  </si>
  <si>
    <t>c2</t>
    <phoneticPr fontId="3"/>
  </si>
  <si>
    <t>例として示すプログラムでは、レコードを1件ずつ読み込んで、計算結果をreturnする仕様になっている</t>
    <rPh sb="0" eb="1">
      <t>レイ</t>
    </rPh>
    <rPh sb="4" eb="5">
      <t>シメ</t>
    </rPh>
    <rPh sb="20" eb="21">
      <t>ケン</t>
    </rPh>
    <rPh sb="23" eb="24">
      <t>ヨ</t>
    </rPh>
    <rPh sb="25" eb="26">
      <t>コ</t>
    </rPh>
    <rPh sb="29" eb="31">
      <t>ケイサン</t>
    </rPh>
    <rPh sb="31" eb="33">
      <t>ケッカ</t>
    </rPh>
    <rPh sb="42" eb="44">
      <t>シヨウ</t>
    </rPh>
    <phoneticPr fontId="3"/>
  </si>
  <si>
    <r>
      <t xml:space="preserve">　　　計算後のデータ </t>
    </r>
    <r>
      <rPr>
        <sz val="10"/>
        <color indexed="59"/>
        <rFont val="Meiryo UI"/>
        <family val="3"/>
        <charset val="128"/>
      </rPr>
      <t>( 売上高 ＝ 営業価格 ＊ 数量 )</t>
    </r>
    <rPh sb="3" eb="5">
      <t>ケイサン</t>
    </rPh>
    <rPh sb="5" eb="6">
      <t>ゴ</t>
    </rPh>
    <rPh sb="13" eb="15">
      <t>ウリアゲ</t>
    </rPh>
    <rPh sb="15" eb="16">
      <t>ダカ</t>
    </rPh>
    <rPh sb="19" eb="21">
      <t>エイギョウ</t>
    </rPh>
    <rPh sb="21" eb="23">
      <t>カカク</t>
    </rPh>
    <rPh sb="26" eb="28">
      <t>スウリョウ</t>
    </rPh>
    <phoneticPr fontId="3"/>
  </si>
  <si>
    <t>c3</t>
    <phoneticPr fontId="3"/>
  </si>
  <si>
    <t>　小数の計算</t>
    <rPh sb="1" eb="3">
      <t>ショウスウ</t>
    </rPh>
    <rPh sb="4" eb="6">
      <t>ケイサン</t>
    </rPh>
    <phoneticPr fontId="3"/>
  </si>
  <si>
    <t>　小数点計算</t>
    <rPh sb="1" eb="4">
      <t>ショウスウテン</t>
    </rPh>
    <rPh sb="4" eb="6">
      <t>ケイサン</t>
    </rPh>
    <phoneticPr fontId="3"/>
  </si>
  <si>
    <r>
      <t xml:space="preserve">　　　計算後のデータ </t>
    </r>
    <r>
      <rPr>
        <sz val="10"/>
        <color indexed="59"/>
        <rFont val="Meiryo UI"/>
        <family val="3"/>
        <charset val="128"/>
      </rPr>
      <t xml:space="preserve">( </t>
    </r>
    <r>
      <rPr>
        <sz val="10"/>
        <color indexed="53"/>
        <rFont val="Meiryo UI"/>
        <family val="3"/>
        <charset val="128"/>
      </rPr>
      <t>調達合計費</t>
    </r>
    <r>
      <rPr>
        <sz val="10"/>
        <color indexed="59"/>
        <rFont val="Meiryo UI"/>
        <family val="3"/>
        <charset val="128"/>
      </rPr>
      <t xml:space="preserve"> ＝ 調達材料費 ＋ 調達加工費 ＋ 調達２４回型費 )</t>
    </r>
    <rPh sb="3" eb="5">
      <t>ケイサン</t>
    </rPh>
    <rPh sb="5" eb="6">
      <t>ゴ</t>
    </rPh>
    <phoneticPr fontId="3"/>
  </si>
  <si>
    <t>c4</t>
    <phoneticPr fontId="3"/>
  </si>
  <si>
    <t>　端数処理</t>
    <rPh sb="1" eb="3">
      <t>ハスウ</t>
    </rPh>
    <rPh sb="3" eb="5">
      <t>ショリ</t>
    </rPh>
    <phoneticPr fontId="3"/>
  </si>
  <si>
    <t>　四捨五入</t>
    <rPh sb="1" eb="5">
      <t>シシャゴニュウ</t>
    </rPh>
    <phoneticPr fontId="3"/>
  </si>
  <si>
    <r>
      <t>例として示すプログラムでは、レコードを1件ずつ読み込んで、3つの小数型データを少数第1位で</t>
    </r>
    <r>
      <rPr>
        <sz val="10"/>
        <color indexed="10"/>
        <rFont val="Meiryo UI"/>
        <family val="3"/>
        <charset val="128"/>
      </rPr>
      <t>四捨五入</t>
    </r>
    <r>
      <rPr>
        <sz val="10"/>
        <color indexed="8"/>
        <rFont val="Meiryo UI"/>
        <family val="3"/>
        <charset val="128"/>
      </rPr>
      <t>し、returnする仕様になっている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ダイ</t>
    </rPh>
    <rPh sb="43" eb="44">
      <t>イ</t>
    </rPh>
    <rPh sb="45" eb="49">
      <t>シシャゴニュウ</t>
    </rPh>
    <rPh sb="59" eb="61">
      <t>シヨウ</t>
    </rPh>
    <phoneticPr fontId="3"/>
  </si>
  <si>
    <r>
      <t>例として示すプログラムでは、レコードを1件ずつ読み込んで、3つの小数型データの少数点以下を</t>
    </r>
    <r>
      <rPr>
        <sz val="10"/>
        <color indexed="10"/>
        <rFont val="Meiryo UI"/>
        <family val="3"/>
        <charset val="128"/>
      </rPr>
      <t>切り上げて</t>
    </r>
    <r>
      <rPr>
        <sz val="10"/>
        <color indexed="8"/>
        <rFont val="Meiryo UI"/>
        <family val="3"/>
        <charset val="128"/>
      </rPr>
      <t>、returnする仕様になっている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テン</t>
    </rPh>
    <rPh sb="42" eb="44">
      <t>イカ</t>
    </rPh>
    <rPh sb="45" eb="46">
      <t>キ</t>
    </rPh>
    <rPh sb="47" eb="48">
      <t>ア</t>
    </rPh>
    <rPh sb="59" eb="61">
      <t>シヨウ</t>
    </rPh>
    <phoneticPr fontId="3"/>
  </si>
  <si>
    <r>
      <t>例として示すプログラムでは、レコードを1件ずつ読み込んで、3つの小数型データの少数点以下を</t>
    </r>
    <r>
      <rPr>
        <sz val="10"/>
        <color indexed="10"/>
        <rFont val="Meiryo UI"/>
        <family val="3"/>
        <charset val="128"/>
      </rPr>
      <t>切り捨て</t>
    </r>
    <r>
      <rPr>
        <sz val="10"/>
        <color indexed="8"/>
        <rFont val="Meiryo UI"/>
        <family val="3"/>
        <charset val="128"/>
      </rPr>
      <t>、returnする仕様になっている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テン</t>
    </rPh>
    <rPh sb="42" eb="44">
      <t>イカ</t>
    </rPh>
    <rPh sb="45" eb="46">
      <t>キ</t>
    </rPh>
    <rPh sb="47" eb="48">
      <t>ス</t>
    </rPh>
    <rPh sb="58" eb="60">
      <t>シヨウ</t>
    </rPh>
    <phoneticPr fontId="3"/>
  </si>
  <si>
    <t>c5</t>
    <phoneticPr fontId="3"/>
  </si>
  <si>
    <t>　日付型の計算</t>
  </si>
  <si>
    <t xml:space="preserve"> 日付型の増減</t>
    <rPh sb="1" eb="4">
      <t>ヒヅケガタ</t>
    </rPh>
    <rPh sb="5" eb="7">
      <t>ゾウゲン</t>
    </rPh>
    <phoneticPr fontId="3"/>
  </si>
  <si>
    <r>
      <t>例として示すプログラムでは、レコードを1件ずつ読み込んで、貸出日から</t>
    </r>
    <r>
      <rPr>
        <sz val="10"/>
        <color indexed="10"/>
        <rFont val="Meiryo UI"/>
        <family val="3"/>
        <charset val="128"/>
      </rPr>
      <t>1週間後の日付を計算</t>
    </r>
    <r>
      <rPr>
        <sz val="10"/>
        <color indexed="8"/>
        <rFont val="Meiryo UI"/>
        <family val="3"/>
        <charset val="128"/>
      </rPr>
      <t>し、returnする仕様になっている</t>
    </r>
    <rPh sb="0" eb="1">
      <t>レイ</t>
    </rPh>
    <rPh sb="4" eb="5">
      <t>シメ</t>
    </rPh>
    <rPh sb="20" eb="21">
      <t>ケン</t>
    </rPh>
    <rPh sb="23" eb="24">
      <t>ヨ</t>
    </rPh>
    <rPh sb="25" eb="26">
      <t>コ</t>
    </rPh>
    <rPh sb="29" eb="32">
      <t>カシダシビ</t>
    </rPh>
    <rPh sb="35" eb="37">
      <t>シュウカン</t>
    </rPh>
    <rPh sb="37" eb="38">
      <t>ゴ</t>
    </rPh>
    <rPh sb="39" eb="41">
      <t>ヒヅケ</t>
    </rPh>
    <rPh sb="42" eb="44">
      <t>ケイサン</t>
    </rPh>
    <rPh sb="54" eb="56">
      <t>シヨウ</t>
    </rPh>
    <phoneticPr fontId="3"/>
  </si>
  <si>
    <t>c6</t>
    <phoneticPr fontId="3"/>
  </si>
  <si>
    <t>　オーバフロー</t>
  </si>
  <si>
    <t>　オーバフロー</t>
    <phoneticPr fontId="3"/>
  </si>
  <si>
    <r>
      <t>例として示すプログラムでは、レコードを1件ずつ読み込んで、</t>
    </r>
    <r>
      <rPr>
        <sz val="10"/>
        <color indexed="10"/>
        <rFont val="Meiryo UI"/>
        <family val="3"/>
        <charset val="128"/>
      </rPr>
      <t>調達合計費を計算</t>
    </r>
    <r>
      <rPr>
        <sz val="10"/>
        <color indexed="8"/>
        <rFont val="Meiryo UI"/>
        <family val="3"/>
        <charset val="128"/>
      </rPr>
      <t>し、returnする仕様になっている</t>
    </r>
    <rPh sb="0" eb="1">
      <t>レイ</t>
    </rPh>
    <rPh sb="4" eb="5">
      <t>シメ</t>
    </rPh>
    <rPh sb="20" eb="21">
      <t>ケン</t>
    </rPh>
    <rPh sb="23" eb="24">
      <t>ヨ</t>
    </rPh>
    <rPh sb="25" eb="26">
      <t>コ</t>
    </rPh>
    <rPh sb="29" eb="31">
      <t>チョウタツ</t>
    </rPh>
    <rPh sb="31" eb="33">
      <t>ゴウケイ</t>
    </rPh>
    <rPh sb="33" eb="34">
      <t>ヒ</t>
    </rPh>
    <rPh sb="35" eb="37">
      <t>ケイサン</t>
    </rPh>
    <rPh sb="47" eb="49">
      <t>シヨウ</t>
    </rPh>
    <phoneticPr fontId="3"/>
  </si>
  <si>
    <r>
      <t>　　計算後のデータ</t>
    </r>
    <r>
      <rPr>
        <sz val="10"/>
        <color indexed="59"/>
        <rFont val="Meiryo UI"/>
        <family val="3"/>
        <charset val="128"/>
      </rPr>
      <t xml:space="preserve"> ( 調達合計費 ＝ 調達材料費 ＋ 調達加工費 ＋ 調達２４回型費 )</t>
    </r>
    <rPh sb="2" eb="4">
      <t>ケイサン</t>
    </rPh>
    <rPh sb="4" eb="5">
      <t>ゴ</t>
    </rPh>
    <rPh sb="12" eb="14">
      <t>チョウタツ</t>
    </rPh>
    <rPh sb="14" eb="16">
      <t>ゴウケイ</t>
    </rPh>
    <rPh sb="16" eb="17">
      <t>ヒ</t>
    </rPh>
    <rPh sb="20" eb="22">
      <t>チョウタツ</t>
    </rPh>
    <rPh sb="22" eb="25">
      <t>ザイリョウヒ</t>
    </rPh>
    <rPh sb="28" eb="30">
      <t>チョウタツ</t>
    </rPh>
    <rPh sb="30" eb="33">
      <t>カコウヒ</t>
    </rPh>
    <rPh sb="36" eb="38">
      <t>チョウタツ</t>
    </rPh>
    <rPh sb="40" eb="41">
      <t>カイ</t>
    </rPh>
    <rPh sb="41" eb="42">
      <t>カタ</t>
    </rPh>
    <rPh sb="42" eb="43">
      <t>ヒ</t>
    </rPh>
    <phoneticPr fontId="3"/>
  </si>
  <si>
    <t>c7</t>
    <phoneticPr fontId="3"/>
  </si>
  <si>
    <t>　変数を分母とする割り算を行う場合</t>
    <phoneticPr fontId="3"/>
  </si>
  <si>
    <t>　　入力データ</t>
    <rPh sb="2" eb="4">
      <t>ニュウリョク</t>
    </rPh>
    <phoneticPr fontId="3"/>
  </si>
  <si>
    <t>　　実行後の伝票出力</t>
    <rPh sb="2" eb="4">
      <t>ジッコウ</t>
    </rPh>
    <rPh sb="4" eb="5">
      <t>ゴ</t>
    </rPh>
    <rPh sb="6" eb="8">
      <t>デンピョウ</t>
    </rPh>
    <rPh sb="8" eb="10">
      <t>シュツリョク</t>
    </rPh>
    <phoneticPr fontId="3"/>
  </si>
  <si>
    <r>
      <t>( 売上高割合　＝ 各商品の売上高／</t>
    </r>
    <r>
      <rPr>
        <b/>
        <sz val="11"/>
        <color indexed="10"/>
        <rFont val="Meiryo UI"/>
        <family val="3"/>
        <charset val="128"/>
      </rPr>
      <t>合計の売上高</t>
    </r>
    <r>
      <rPr>
        <sz val="11"/>
        <rFont val="Meiryo UI"/>
        <family val="3"/>
        <charset val="128"/>
      </rPr>
      <t xml:space="preserve"> )</t>
    </r>
    <phoneticPr fontId="3"/>
  </si>
  <si>
    <t>　　0除算テスト用入力データ</t>
    <rPh sb="3" eb="5">
      <t>ジョザン</t>
    </rPh>
    <rPh sb="8" eb="9">
      <t>ヨウ</t>
    </rPh>
    <rPh sb="9" eb="11">
      <t>ニュウリョク</t>
    </rPh>
    <phoneticPr fontId="3"/>
  </si>
  <si>
    <t>c8～c10</t>
    <phoneticPr fontId="3"/>
  </si>
  <si>
    <t xml:space="preserve">  マッチング処理</t>
  </si>
  <si>
    <t>・商品単価マスタと商品単価変更ＴＢＬの２つのテーブルでマッチングを行なう場合</t>
    <rPh sb="1" eb="3">
      <t>ショウヒン</t>
    </rPh>
    <rPh sb="3" eb="5">
      <t>タンカ</t>
    </rPh>
    <rPh sb="9" eb="11">
      <t>ショウヒン</t>
    </rPh>
    <rPh sb="11" eb="13">
      <t>タンカ</t>
    </rPh>
    <rPh sb="13" eb="15">
      <t>ヘンコウ</t>
    </rPh>
    <rPh sb="33" eb="34">
      <t>オコ</t>
    </rPh>
    <rPh sb="36" eb="38">
      <t>バアイ</t>
    </rPh>
    <phoneticPr fontId="3"/>
  </si>
  <si>
    <t>～仕様～</t>
    <rPh sb="1" eb="3">
      <t>シヨウ</t>
    </rPh>
    <phoneticPr fontId="3"/>
  </si>
  <si>
    <t>　　商品マスタにあって、商品単価変更ＴＢＬにない場合　　　→　そのまま</t>
    <rPh sb="2" eb="4">
      <t>ショウヒン</t>
    </rPh>
    <rPh sb="12" eb="14">
      <t>ショウヒン</t>
    </rPh>
    <rPh sb="14" eb="16">
      <t>タンカ</t>
    </rPh>
    <rPh sb="16" eb="18">
      <t>ヘンコウ</t>
    </rPh>
    <rPh sb="24" eb="26">
      <t>バアイ</t>
    </rPh>
    <phoneticPr fontId="3"/>
  </si>
  <si>
    <t>　　商品マスタにはないが、商品単価変更ＴＢＬにある場合　→　商品マスタへ追加</t>
    <rPh sb="2" eb="4">
      <t>ショウヒン</t>
    </rPh>
    <rPh sb="13" eb="15">
      <t>ショウヒン</t>
    </rPh>
    <rPh sb="15" eb="17">
      <t>タンカ</t>
    </rPh>
    <rPh sb="17" eb="19">
      <t>ヘンコウ</t>
    </rPh>
    <rPh sb="25" eb="27">
      <t>バアイ</t>
    </rPh>
    <rPh sb="30" eb="32">
      <t>ショウヒン</t>
    </rPh>
    <rPh sb="36" eb="38">
      <t>ツイカ</t>
    </rPh>
    <phoneticPr fontId="3"/>
  </si>
  <si>
    <t>　　両方にある場合　　　　　　　　　　　　　　　　　　　　　　　　→　　商品マスタの単価を商品単価変更ＴＢＬで更新する</t>
    <rPh sb="2" eb="4">
      <t>リョウホウ</t>
    </rPh>
    <rPh sb="7" eb="9">
      <t>バアイ</t>
    </rPh>
    <rPh sb="36" eb="38">
      <t>ショウヒン</t>
    </rPh>
    <rPh sb="42" eb="44">
      <t>タンカ</t>
    </rPh>
    <rPh sb="45" eb="47">
      <t>ショウヒン</t>
    </rPh>
    <rPh sb="47" eb="49">
      <t>タンカ</t>
    </rPh>
    <rPh sb="49" eb="51">
      <t>ヘンコウ</t>
    </rPh>
    <rPh sb="55" eb="57">
      <t>コウシン</t>
    </rPh>
    <phoneticPr fontId="3"/>
  </si>
  <si>
    <r>
      <t>マッチング処理を行なう場合、テーブルのデータ数が</t>
    </r>
    <r>
      <rPr>
        <b/>
        <sz val="10"/>
        <color indexed="10"/>
        <rFont val="Meiryo UI"/>
        <family val="3"/>
        <charset val="128"/>
      </rPr>
      <t>１：１　　１：Ｎ　　Ｎ：Ｎ</t>
    </r>
    <r>
      <rPr>
        <sz val="10"/>
        <color indexed="8"/>
        <rFont val="Meiryo UI"/>
        <family val="3"/>
        <charset val="128"/>
      </rPr>
      <t>　　について、テストを行なう</t>
    </r>
    <rPh sb="5" eb="7">
      <t>ショリ</t>
    </rPh>
    <rPh sb="8" eb="9">
      <t>オコ</t>
    </rPh>
    <rPh sb="11" eb="13">
      <t>バアイ</t>
    </rPh>
    <rPh sb="22" eb="23">
      <t>スウ</t>
    </rPh>
    <rPh sb="48" eb="49">
      <t>オコ</t>
    </rPh>
    <phoneticPr fontId="3"/>
  </si>
  <si>
    <t>c8</t>
    <phoneticPr fontId="3"/>
  </si>
  <si>
    <t xml:space="preserve">   １：１のテスト</t>
    <phoneticPr fontId="3"/>
  </si>
  <si>
    <t>　　　実行前データ</t>
    <rPh sb="3" eb="5">
      <t>ジッコウ</t>
    </rPh>
    <rPh sb="5" eb="6">
      <t>マエ</t>
    </rPh>
    <phoneticPr fontId="3"/>
  </si>
  <si>
    <t>　　実行後データ</t>
    <rPh sb="2" eb="4">
      <t>ジッコウ</t>
    </rPh>
    <rPh sb="4" eb="5">
      <t>ゴ</t>
    </rPh>
    <phoneticPr fontId="3"/>
  </si>
  <si>
    <t>c9</t>
    <phoneticPr fontId="3"/>
  </si>
  <si>
    <t xml:space="preserve">   １：Nのテスト</t>
    <phoneticPr fontId="3"/>
  </si>
  <si>
    <t>　　　実行後データ</t>
    <rPh sb="3" eb="5">
      <t>ジッコウ</t>
    </rPh>
    <rPh sb="5" eb="6">
      <t>ゴ</t>
    </rPh>
    <phoneticPr fontId="3"/>
  </si>
  <si>
    <t>c10</t>
    <phoneticPr fontId="3"/>
  </si>
  <si>
    <t xml:space="preserve">   N：Nのテスト</t>
    <phoneticPr fontId="3"/>
  </si>
  <si>
    <t>　　実行前データ</t>
    <rPh sb="2" eb="4">
      <t>ジッコウ</t>
    </rPh>
    <rPh sb="4" eb="5">
      <t>マエ</t>
    </rPh>
    <phoneticPr fontId="3"/>
  </si>
  <si>
    <r>
      <t>【ﾁｪｯｸﾘｽﾄの解説資料】　</t>
    </r>
    <r>
      <rPr>
        <b/>
        <sz val="18"/>
        <color indexed="18"/>
        <rFont val="Meiryo UI"/>
        <family val="3"/>
        <charset val="128"/>
      </rPr>
      <t>追加</t>
    </r>
    <rPh sb="9" eb="11">
      <t>カイセツ</t>
    </rPh>
    <rPh sb="11" eb="13">
      <t>シリョウ</t>
    </rPh>
    <rPh sb="15" eb="17">
      <t>ツイカ</t>
    </rPh>
    <phoneticPr fontId="3"/>
  </si>
  <si>
    <t>e1～e3</t>
    <phoneticPr fontId="3"/>
  </si>
  <si>
    <t>　追加</t>
  </si>
  <si>
    <t>e4</t>
    <phoneticPr fontId="3"/>
  </si>
  <si>
    <t>e5</t>
    <phoneticPr fontId="3"/>
  </si>
  <si>
    <t>　追加レコードと同じキーのレコードが既に存在する場合</t>
    <phoneticPr fontId="3"/>
  </si>
  <si>
    <t>e6</t>
    <phoneticPr fontId="3"/>
  </si>
  <si>
    <t>　追加対象テーブルが存在しない場合</t>
  </si>
  <si>
    <t>e7</t>
    <phoneticPr fontId="3"/>
  </si>
  <si>
    <t>　追加対象テーブルがロックされている場合</t>
  </si>
  <si>
    <r>
      <t>【ﾁｪｯｸﾘｽﾄの解説資料】　</t>
    </r>
    <r>
      <rPr>
        <b/>
        <sz val="18"/>
        <color indexed="18"/>
        <rFont val="Meiryo UI"/>
        <family val="3"/>
        <charset val="128"/>
      </rPr>
      <t>削除</t>
    </r>
    <rPh sb="9" eb="11">
      <t>カイセツ</t>
    </rPh>
    <rPh sb="11" eb="13">
      <t>シリョウ</t>
    </rPh>
    <rPh sb="15" eb="17">
      <t>サクジョ</t>
    </rPh>
    <phoneticPr fontId="3"/>
  </si>
  <si>
    <t>f1</t>
    <phoneticPr fontId="3"/>
  </si>
  <si>
    <t>　物理削除</t>
  </si>
  <si>
    <t>f2</t>
    <phoneticPr fontId="3"/>
  </si>
  <si>
    <t>f3</t>
    <phoneticPr fontId="3"/>
  </si>
  <si>
    <t>　削除対象レコードが存在しない場合</t>
    <phoneticPr fontId="3"/>
  </si>
  <si>
    <r>
      <t>　　　　　◆　例として示すプログラムでは、</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60" eb="62">
      <t>ジッコウ</t>
    </rPh>
    <phoneticPr fontId="3"/>
  </si>
  <si>
    <t>f4</t>
    <phoneticPr fontId="3"/>
  </si>
  <si>
    <t>　削除対象テーブルが存在しない場合</t>
  </si>
  <si>
    <t>f5</t>
    <phoneticPr fontId="3"/>
  </si>
  <si>
    <t>　削除対象テーブルがロックされている場合</t>
  </si>
  <si>
    <r>
      <t>【ﾁｪｯｸﾘｽﾄの解説資料】　</t>
    </r>
    <r>
      <rPr>
        <b/>
        <sz val="18"/>
        <color indexed="18"/>
        <rFont val="Meiryo UI"/>
        <family val="3"/>
        <charset val="128"/>
      </rPr>
      <t>その他</t>
    </r>
    <rPh sb="9" eb="11">
      <t>カイセツ</t>
    </rPh>
    <rPh sb="11" eb="13">
      <t>シリョウ</t>
    </rPh>
    <rPh sb="17" eb="18">
      <t>タ</t>
    </rPh>
    <phoneticPr fontId="3"/>
  </si>
  <si>
    <t>g1</t>
    <phoneticPr fontId="3"/>
  </si>
  <si>
    <t>　他のSPをＣＡＬＬし、その戻り値が正常でない場合</t>
    <rPh sb="1" eb="2">
      <t>タ</t>
    </rPh>
    <rPh sb="14" eb="15">
      <t>モド</t>
    </rPh>
    <rPh sb="16" eb="17">
      <t>チ</t>
    </rPh>
    <rPh sb="18" eb="20">
      <t>セイジョウ</t>
    </rPh>
    <rPh sb="23" eb="25">
      <t>バアイ</t>
    </rPh>
    <phoneticPr fontId="3"/>
  </si>
  <si>
    <t>g2</t>
    <phoneticPr fontId="3"/>
  </si>
  <si>
    <t>　他のＳＰをＣＡＬＬし、そのＳＰがＤＢ上に登録されていなかった場合</t>
    <rPh sb="1" eb="2">
      <t>ホカ</t>
    </rPh>
    <rPh sb="19" eb="20">
      <t>ジョウ</t>
    </rPh>
    <rPh sb="21" eb="23">
      <t>トウロク</t>
    </rPh>
    <rPh sb="31" eb="33">
      <t>バアイ</t>
    </rPh>
    <phoneticPr fontId="3"/>
  </si>
  <si>
    <t>g3</t>
    <phoneticPr fontId="3"/>
  </si>
  <si>
    <t>　実際の運用時のデータで実行する</t>
    <phoneticPr fontId="3"/>
  </si>
  <si>
    <t>→　実行時間：2秒</t>
    <rPh sb="2" eb="4">
      <t>ジッコウ</t>
    </rPh>
    <rPh sb="4" eb="6">
      <t>ジカン</t>
    </rPh>
    <rPh sb="8" eb="9">
      <t>ビョウ</t>
    </rPh>
    <phoneticPr fontId="3"/>
  </si>
  <si>
    <t>エラー位置が'LDAS0328'で設定されている</t>
    <phoneticPr fontId="3"/>
  </si>
  <si>
    <t>1~2</t>
  </si>
  <si>
    <t>ユーザーID</t>
    <phoneticPr fontId="3"/>
  </si>
  <si>
    <t>确定ユーザーID</t>
    <phoneticPr fontId="27" type="noConversion"/>
  </si>
  <si>
    <t>ユーザーIDが正常に入力されている場合</t>
    <phoneticPr fontId="3"/>
  </si>
  <si>
    <t>ユーザーIDが正常に入力されている場合</t>
    <phoneticPr fontId="27" type="noConversion"/>
  </si>
  <si>
    <t>ユーザーIDがNULLの場合</t>
    <phoneticPr fontId="3"/>
  </si>
  <si>
    <t>ユーザーIDがNULLの場合</t>
    <phoneticPr fontId="27" type="noConversion"/>
  </si>
  <si>
    <t>SELECT * from LDAS0328('1224','1','12','12','10225137000080','2000','1234','W','1','20250109','20250630','20250630');</t>
  </si>
  <si>
    <t>SELECT * from LDAS0328('1224','1','12','12','10225137000080','2000','1234','W','1','20250109','20250630','20250630');</t>
    <phoneticPr fontId="3"/>
  </si>
  <si>
    <t>rs_err_focus</t>
  </si>
  <si>
    <t>Specify the User ID.</t>
  </si>
  <si>
    <t>LDAS0328</t>
  </si>
  <si>
    <t>SELECT * from LDAS0328(null,'1','12','12','10225137000080','2000','1234','W','1','20250109','20250630','20250630');</t>
    <phoneticPr fontId="3"/>
  </si>
  <si>
    <t>rn_status</t>
    <phoneticPr fontId="3"/>
  </si>
  <si>
    <t>rs_sql_code</t>
    <phoneticPr fontId="3"/>
  </si>
  <si>
    <t>rs_err_msg</t>
    <phoneticPr fontId="3"/>
  </si>
  <si>
    <t>rs_err_focus</t>
    <phoneticPr fontId="3"/>
  </si>
  <si>
    <t xml:space="preserve"> </t>
    <phoneticPr fontId="3"/>
  </si>
  <si>
    <t>ログ出力サイン</t>
    <phoneticPr fontId="3"/>
  </si>
  <si>
    <t>确定ログ出力サイン</t>
    <phoneticPr fontId="27" type="noConversion"/>
  </si>
  <si>
    <t>ログ出力サインが正常に入力されている場合</t>
    <phoneticPr fontId="3"/>
  </si>
  <si>
    <t>ログ出力サインが正常に入力されている場合</t>
    <phoneticPr fontId="27" type="noConversion"/>
  </si>
  <si>
    <t>ログ出力サインがNULLの場合</t>
    <phoneticPr fontId="3"/>
  </si>
  <si>
    <t>ld.E.LDP10111</t>
  </si>
  <si>
    <t>Specify the Log Sign.</t>
  </si>
  <si>
    <t>SELECT * from LDAS0328('1224',null,'12','12','10225137000080','2000','1234','W','1','20250109','20250630','20250630');</t>
    <phoneticPr fontId="3"/>
  </si>
  <si>
    <t>ld.E.LDP10111</t>
    <phoneticPr fontId="3"/>
  </si>
  <si>
    <t>Specify the Log Sign.</t>
    <phoneticPr fontId="3"/>
  </si>
  <si>
    <t>3~5</t>
    <phoneticPr fontId="3"/>
  </si>
  <si>
    <t>ログ出力サインがブランクの場合</t>
    <phoneticPr fontId="3"/>
  </si>
  <si>
    <t>SELECT * from LDAS0328('1224','','12','12','10225137000080','2000','1234','W','1','20250109','20250630','20250630');</t>
  </si>
  <si>
    <t>6~7</t>
    <phoneticPr fontId="3"/>
  </si>
  <si>
    <t>受信ID</t>
    <phoneticPr fontId="3"/>
  </si>
  <si>
    <t>确定受信ID</t>
    <phoneticPr fontId="27" type="noConversion"/>
  </si>
  <si>
    <t>受信IDが正常に入力されている場合</t>
    <phoneticPr fontId="3"/>
  </si>
  <si>
    <t>受信IDがNULLの場合</t>
    <phoneticPr fontId="3"/>
  </si>
  <si>
    <t>Specify the Receive ID.</t>
  </si>
  <si>
    <t>SELECT * from LDAS0328('1224','1',null,'12','10225137000080','2000','1234','W','1','20250109','20250630','20250630');</t>
  </si>
  <si>
    <t>相手先システム識別</t>
    <phoneticPr fontId="3"/>
  </si>
  <si>
    <t>确定相手先システム識別</t>
    <phoneticPr fontId="27" type="noConversion"/>
  </si>
  <si>
    <t>8~9</t>
    <phoneticPr fontId="3"/>
  </si>
  <si>
    <t>相手先システム識別が正常に入力されている場合</t>
    <phoneticPr fontId="3"/>
  </si>
  <si>
    <t>相手先システム識別がNULLの場合</t>
    <phoneticPr fontId="3"/>
  </si>
  <si>
    <t>Specify the System ID.</t>
  </si>
  <si>
    <t>SELECT * from LDAS0328('1224','1','12',null,'10225137000080','2000','1234','W','1','20250109','20250630','20250630');</t>
  </si>
  <si>
    <t>10~12</t>
    <phoneticPr fontId="3"/>
  </si>
  <si>
    <t>品目番号</t>
    <phoneticPr fontId="3"/>
  </si>
  <si>
    <t>确定品目番号</t>
    <phoneticPr fontId="27" type="noConversion"/>
  </si>
  <si>
    <t>品目番号が正常に入力されている場合</t>
    <phoneticPr fontId="3"/>
  </si>
  <si>
    <t>品目番号がNULLの場合</t>
    <phoneticPr fontId="3"/>
  </si>
  <si>
    <t>品目番号がブランクの場合</t>
    <phoneticPr fontId="3"/>
  </si>
  <si>
    <t>ld.E.LDP10915</t>
  </si>
  <si>
    <t>Specify the Item Number.</t>
  </si>
  <si>
    <t>SELECT * from LDAS0328('1224','1','12','12',null,'2000','1234','W','1','20250109','20250630','20250630');</t>
  </si>
  <si>
    <t>SELECT * from LDAS0328('1224','1','12','12',' ','2000','1234','W','1','20250109','20250630','20250630');</t>
  </si>
  <si>
    <t>13~15</t>
    <phoneticPr fontId="3"/>
  </si>
  <si>
    <t>供給者</t>
    <phoneticPr fontId="3"/>
  </si>
  <si>
    <t>确定供給者</t>
    <phoneticPr fontId="27" type="noConversion"/>
  </si>
  <si>
    <t>供給者が正常に入力されている場合</t>
    <phoneticPr fontId="3"/>
  </si>
  <si>
    <t>供給者がNULLの場合</t>
    <phoneticPr fontId="3"/>
  </si>
  <si>
    <t>供給者がブランクの場合</t>
    <phoneticPr fontId="3"/>
  </si>
  <si>
    <t>ld.E.LDP10055</t>
  </si>
  <si>
    <t>Specify the Supplier.</t>
  </si>
  <si>
    <t>SELECT * from LDAS0328('1224','1','12','12','10225137000080',' ','1234','W','1','20250109','20250630','20250630');</t>
  </si>
  <si>
    <t>SELECT * from LDAS0328('1224','1','12','12','10225137000080',null,'1234','W','1','20250109','20250630','20250630');</t>
  </si>
  <si>
    <t>使用者</t>
    <phoneticPr fontId="3"/>
  </si>
  <si>
    <t>16~18</t>
    <phoneticPr fontId="3"/>
  </si>
  <si>
    <t>确定使用者</t>
    <phoneticPr fontId="27" type="noConversion"/>
  </si>
  <si>
    <t>使用者が正常に入力されている場合</t>
    <phoneticPr fontId="3"/>
  </si>
  <si>
    <t>使用者がNULLの場合</t>
    <phoneticPr fontId="3"/>
  </si>
  <si>
    <t>使用者がブランクの場合</t>
    <phoneticPr fontId="3"/>
  </si>
  <si>
    <t>ld.E.LDP10057</t>
  </si>
  <si>
    <t>Specify the User.</t>
  </si>
  <si>
    <t>SELECT * from LDAS0328('1224','1','12','12','10225137000080','2000',null,'W','1','20250109','20250630','20250630');</t>
    <phoneticPr fontId="3"/>
  </si>
  <si>
    <t>ld.E.LDP10057</t>
    <phoneticPr fontId="3"/>
  </si>
  <si>
    <t>Specify the User.</t>
    <phoneticPr fontId="3"/>
  </si>
  <si>
    <t>SELECT * from LDAS0328('1224','1','12','12','10225137000080','2000','','W','1','20250109','20250630','20250630');</t>
  </si>
  <si>
    <t>オーダー番号</t>
    <phoneticPr fontId="3"/>
  </si>
  <si>
    <t>确定オーダー番号</t>
    <phoneticPr fontId="27" type="noConversion"/>
  </si>
  <si>
    <t>19~23</t>
    <phoneticPr fontId="3"/>
  </si>
  <si>
    <t>オーダー番号が正常に入力されている場合</t>
    <phoneticPr fontId="3"/>
  </si>
  <si>
    <t>オーダー番号がNULLの場合</t>
    <phoneticPr fontId="3"/>
  </si>
  <si>
    <t>オーダー番号がブランクの場合</t>
    <phoneticPr fontId="3"/>
  </si>
  <si>
    <t>オーダー番号の先頭が'W'の場合</t>
    <phoneticPr fontId="3"/>
  </si>
  <si>
    <t>オーダー番号の先頭が'W'以外の場合</t>
    <phoneticPr fontId="3"/>
  </si>
  <si>
    <t>ld.E.LDP10130</t>
  </si>
  <si>
    <t>Specify the Order Number.</t>
  </si>
  <si>
    <t>SELECT * from LDAS0328('1224','1','12','12','10225137000080','2000','1234',null,'1','20250109','20250630','20250630');</t>
    <phoneticPr fontId="3"/>
  </si>
  <si>
    <t>SELECT * from LDAS0328('1224','1','12','12','10225137000080','2000','1234','','1','20250109','20250630','20250630');</t>
  </si>
  <si>
    <t>Specify "W" in the first digit of Order Number.</t>
  </si>
  <si>
    <t>SELECT * from LDAS0328('1224','1','12','12','10225137000080','2000','1234','O','1','20250109','20250630','20250630');</t>
  </si>
  <si>
    <t>24~27</t>
    <phoneticPr fontId="3"/>
  </si>
  <si>
    <t>オーダー数</t>
    <phoneticPr fontId="3"/>
  </si>
  <si>
    <t>确定オーダー数</t>
    <phoneticPr fontId="27" type="noConversion"/>
  </si>
  <si>
    <t>オーダー数が正の値の場合</t>
    <phoneticPr fontId="3"/>
  </si>
  <si>
    <t>オーダー数がNULLの場合</t>
    <phoneticPr fontId="3"/>
  </si>
  <si>
    <t>オーダー数が0の場合</t>
    <phoneticPr fontId="3"/>
  </si>
  <si>
    <t>オーダー数が負の値の場合</t>
    <phoneticPr fontId="3"/>
  </si>
  <si>
    <t>SELECT * from LDAS0328('1224','1','12','12','10225137000080','2000','1234','W',NULL,'20250109','20250630','20250630');</t>
  </si>
  <si>
    <t>Specify the Order Qty.</t>
  </si>
  <si>
    <t>SELECT * from LDAS0328('1224','1','12','12','10225137000080','2000','1234','W','0','20250109','20250630','20250630');</t>
  </si>
  <si>
    <t>ld.E.LDP10075</t>
  </si>
  <si>
    <t>You cannot specify 0 or less than 0.</t>
  </si>
  <si>
    <t>SELECT * from LDAS0328('1224','1','12','12','10225137000080','2000','1234','W','-1','20250109','20250630','20250630');</t>
  </si>
  <si>
    <t>着手日</t>
    <phoneticPr fontId="3"/>
  </si>
  <si>
    <t>确定着手日</t>
    <phoneticPr fontId="27" type="noConversion"/>
  </si>
  <si>
    <t>28~30</t>
    <phoneticPr fontId="3"/>
  </si>
  <si>
    <t>着手日が正常に入力されている場合</t>
    <phoneticPr fontId="3"/>
  </si>
  <si>
    <t>着手日がNULLの場合</t>
    <phoneticPr fontId="3"/>
  </si>
  <si>
    <t>着手日がブランクの場合</t>
    <phoneticPr fontId="3"/>
  </si>
  <si>
    <t>SELECT * from LDAS0328('1224','1','12','12','10225137000080','2000','1234','W','1',NULL,'20250630','20250630');</t>
  </si>
  <si>
    <t>ld.E.LDP10059</t>
  </si>
  <si>
    <t>Specify Start Date.</t>
  </si>
  <si>
    <t>SELECT * from LDAS0328('1224','1','12','12','10225137000080','2000','1234','W','1','','20250630','20250630');</t>
  </si>
  <si>
    <t>31~33</t>
    <phoneticPr fontId="3"/>
  </si>
  <si>
    <t>完了日</t>
    <phoneticPr fontId="3"/>
  </si>
  <si>
    <t>确定完了日</t>
    <phoneticPr fontId="27" type="noConversion"/>
  </si>
  <si>
    <t>完了日が正常に入力されている場合</t>
    <phoneticPr fontId="3"/>
  </si>
  <si>
    <t>完了日がNULLの場合</t>
    <phoneticPr fontId="3"/>
  </si>
  <si>
    <t>完了日がブランクの場合</t>
    <phoneticPr fontId="3"/>
  </si>
  <si>
    <t>SELECT * from LDAS0328('1224','1','12','12','10225137000080','2000','1234','W','1','20250109',' ','20250630');</t>
  </si>
  <si>
    <t>ld.E.LDP10060</t>
  </si>
  <si>
    <t>Specify Due Date.</t>
  </si>
  <si>
    <t>SELECT * from LDAS0328('1224','1','12','12','10225137000080','2000','1234','W','1','20250109',NULL,'20250630');</t>
  </si>
  <si>
    <t>払出日</t>
    <phoneticPr fontId="3"/>
  </si>
  <si>
    <t>确定払出日</t>
    <phoneticPr fontId="27" type="noConversion"/>
  </si>
  <si>
    <t>34~36</t>
    <phoneticPr fontId="3"/>
  </si>
  <si>
    <t>払出日が正常に入力されている場合</t>
    <phoneticPr fontId="3"/>
  </si>
  <si>
    <t>払出日がNULLの場合</t>
    <phoneticPr fontId="3"/>
  </si>
  <si>
    <t>払出日がブランクの場合</t>
    <phoneticPr fontId="3"/>
  </si>
  <si>
    <t>SELECT * from LDAS0328('1224','1','12','12','10225137000080','2000','1234','W','1','20250109','20250630',' ');</t>
  </si>
  <si>
    <t>ld.E.LDP10061</t>
  </si>
  <si>
    <t>Specify Disburse Date.</t>
  </si>
  <si>
    <t>SELECT * from LDAS0328('1224','1','12','12','10225137000080','2000','1234','W','1','20250109','20250630',NULL);</t>
  </si>
  <si>
    <t>ld.E.LDP10110</t>
    <phoneticPr fontId="3"/>
  </si>
  <si>
    <t>エラーコードld.E.LDP10110、エラーメッセージ'Specify the User ID.'が出力され処理終了している</t>
    <phoneticPr fontId="3"/>
  </si>
  <si>
    <t>エラーコードld.E.LDP10111、エラーメッセージ'Specify the Log Sign.'が出力され処理終了している</t>
    <phoneticPr fontId="3"/>
  </si>
  <si>
    <t>ld.E.LDP10112</t>
    <phoneticPr fontId="3"/>
  </si>
  <si>
    <t>ld.E.LDP10113</t>
    <phoneticPr fontId="3"/>
  </si>
  <si>
    <t>エラーコードld.E.LDP10113、エラーメッセージ'Specify the System ID.'が出力され処理終了している</t>
    <phoneticPr fontId="3"/>
  </si>
  <si>
    <t>エラーコードld.E.LDP10112、エラーメッセージ'Specify the Receive ID.'が出力され処理終了している</t>
    <phoneticPr fontId="3"/>
  </si>
  <si>
    <t>ld.E.LDP10915</t>
    <phoneticPr fontId="3"/>
  </si>
  <si>
    <t>エラーコードld.E.LDP10915、エラーメッセージ'Specify the Item Number.'が出力され処理終了している</t>
    <phoneticPr fontId="3"/>
  </si>
  <si>
    <t>ld.E.LDP10055</t>
    <phoneticPr fontId="3"/>
  </si>
  <si>
    <t>エラーコードld.E.LDP10055、エラーメッセージ'Specify the Supplier.'が出力され処理終了している</t>
    <phoneticPr fontId="3"/>
  </si>
  <si>
    <t>エラーコードld.E.LDP10057、エラーメッセージ'Specify the User.'が出力され処理終了している</t>
    <phoneticPr fontId="3"/>
  </si>
  <si>
    <t>ld.E.LDP10130</t>
    <phoneticPr fontId="3"/>
  </si>
  <si>
    <t>エラーコードld.E.LDP10130、エラーメッセージ'Specify the Order Number.'が出力され処理終了している</t>
    <phoneticPr fontId="3"/>
  </si>
  <si>
    <t>ld.E.LDP10132</t>
    <phoneticPr fontId="3"/>
  </si>
  <si>
    <t>エラーコードld.E.LDP10132、エラーメッセージ'Specify the Order Qty.'が出力され処理終了している</t>
    <phoneticPr fontId="3"/>
  </si>
  <si>
    <t>ld.E.LDP10131</t>
    <phoneticPr fontId="3"/>
  </si>
  <si>
    <t>エラーコードld.E.LDP10131、エラーメッセージ'Specify "W" in the first digit of Order Number.'が出力され処理終了している</t>
    <phoneticPr fontId="3"/>
  </si>
  <si>
    <t>ld.E.LDP10075</t>
    <phoneticPr fontId="3"/>
  </si>
  <si>
    <t>エラーコードld.E.LDP10075、エラーメッセージ'You cannot specify 0 or less than 0. 'が出力され処理終了している</t>
    <phoneticPr fontId="3"/>
  </si>
  <si>
    <t>エラーコードld.E.LDP10059、エラーメッセージ'Specify Start Date.'、エラー位置'startDate'が出力され処理終了している</t>
    <phoneticPr fontId="3"/>
  </si>
  <si>
    <t>エラーコードld.E.LDP10060、エラーメッセージ'Specify Due Date.'、エラー位置'dueDate'が出力され処理終了している</t>
    <phoneticPr fontId="3"/>
  </si>
  <si>
    <t>エラーコードld.E.LDP10061、エラーメッセージ'Specify Disburse Date.'、エラー位置'disburseDate'が出力され処理終了している</t>
    <phoneticPr fontId="3"/>
  </si>
  <si>
    <t>ない</t>
    <phoneticPr fontId="3"/>
  </si>
  <si>
    <t>品目</t>
  </si>
  <si>
    <t>日付妥当性チェック</t>
    <phoneticPr fontId="3"/>
  </si>
  <si>
    <t>日付</t>
  </si>
  <si>
    <t>手動</t>
  </si>
  <si>
    <t>要</t>
  </si>
  <si>
    <t>OK</t>
  </si>
  <si>
    <t>LDAS0300（Valid／品目妥当性チェック）をコール。</t>
    <phoneticPr fontId="3"/>
  </si>
  <si>
    <t>LDAS0301（Valid／オーダー登録日付チェック）をコール</t>
    <phoneticPr fontId="3"/>
  </si>
  <si>
    <t>4.共通関数呼び出し</t>
    <phoneticPr fontId="3"/>
  </si>
  <si>
    <t>エラーが返され処理が異常終了している</t>
  </si>
  <si>
    <t>例外が発生している</t>
    <phoneticPr fontId="3"/>
  </si>
  <si>
    <r>
      <rPr>
        <b/>
        <sz val="9"/>
        <color rgb="FF0000FF"/>
        <rFont val="宋体"/>
        <family val="3"/>
        <charset val="134"/>
      </rPr>
      <t>5</t>
    </r>
    <r>
      <rPr>
        <b/>
        <sz val="9"/>
        <color rgb="FF0000FF"/>
        <rFont val="Meiryo UI"/>
        <family val="3"/>
        <charset val="128"/>
      </rPr>
      <t>. 戻り値</t>
    </r>
    <phoneticPr fontId="3"/>
  </si>
  <si>
    <t>LDAS0300</t>
  </si>
  <si>
    <t>LDAS0300</t>
    <phoneticPr fontId="3"/>
  </si>
  <si>
    <t>LDAS0301</t>
  </si>
  <si>
    <t>LDAS0301</t>
    <phoneticPr fontId="3"/>
  </si>
  <si>
    <t>LDAS0301が正常に実行される場合</t>
    <phoneticPr fontId="3"/>
  </si>
  <si>
    <t>LDAS0301がエラー(-1)を返す場合</t>
    <phoneticPr fontId="3"/>
  </si>
  <si>
    <t>LDAS0301がPGMエラー(-2)を返す場合</t>
    <phoneticPr fontId="3"/>
  </si>
  <si>
    <t>LDAS0300が正常に実行される場合</t>
    <phoneticPr fontId="3"/>
  </si>
  <si>
    <t>LDAS0300がエラー(-1)を返す場合</t>
    <phoneticPr fontId="3"/>
  </si>
  <si>
    <t>LDAS0300がPGMエラー(-2)を返す場合</t>
    <phoneticPr fontId="3"/>
  </si>
  <si>
    <t>処理パターン2</t>
    <phoneticPr fontId="3"/>
  </si>
  <si>
    <t>処理</t>
    <phoneticPr fontId="3"/>
  </si>
  <si>
    <r>
      <t>処理パターン</t>
    </r>
    <r>
      <rPr>
        <b/>
        <sz val="10"/>
        <color rgb="FFFFFFFF"/>
        <rFont val="Meiryo UI"/>
        <family val="2"/>
      </rPr>
      <t>1</t>
    </r>
    <phoneticPr fontId="3"/>
  </si>
  <si>
    <r>
      <t>戻り値</t>
    </r>
    <r>
      <rPr>
        <b/>
        <sz val="10"/>
        <color rgb="FFFFFFFF"/>
        <rFont val="Meiryo UI"/>
        <family val="2"/>
      </rPr>
      <t>1~5</t>
    </r>
    <phoneticPr fontId="3"/>
  </si>
  <si>
    <t>正常終了</t>
    <phoneticPr fontId="3"/>
  </si>
  <si>
    <t>【実行形式】</t>
    <phoneticPr fontId="3"/>
  </si>
  <si>
    <r>
      <t>共通関数呼び出し</t>
    </r>
    <r>
      <rPr>
        <b/>
        <sz val="10"/>
        <color rgb="FFFFFFFF"/>
        <rFont val="Meiryo UI"/>
        <family val="2"/>
      </rPr>
      <t>1</t>
    </r>
    <phoneticPr fontId="3"/>
  </si>
  <si>
    <t>品目妥当性チェック</t>
    <phoneticPr fontId="3"/>
  </si>
  <si>
    <r>
      <t>共通関数呼び出し</t>
    </r>
    <r>
      <rPr>
        <b/>
        <sz val="10"/>
        <color rgb="FFFFFFFF"/>
        <rFont val="Meiryo UI"/>
        <family val="2"/>
      </rPr>
      <t>4</t>
    </r>
    <phoneticPr fontId="3"/>
  </si>
  <si>
    <r>
      <t>共通関数呼び出し</t>
    </r>
    <r>
      <rPr>
        <b/>
        <sz val="10"/>
        <color rgb="FFFFFFFF"/>
        <rFont val="Meiryo UI"/>
        <family val="2"/>
      </rPr>
      <t>2</t>
    </r>
    <phoneticPr fontId="3"/>
  </si>
  <si>
    <t>42P01</t>
  </si>
  <si>
    <t>エラーコード</t>
    <phoneticPr fontId="3"/>
  </si>
  <si>
    <t>エラー発生時のエラーコード</t>
    <phoneticPr fontId="3"/>
  </si>
  <si>
    <t>対応するエラーコードをreturnしている</t>
  </si>
  <si>
    <t>エラーメッセージ</t>
    <phoneticPr fontId="3"/>
  </si>
  <si>
    <t>エラー発生時のエラーメッセージ</t>
    <phoneticPr fontId="3"/>
  </si>
  <si>
    <t>対応するエラーメッセージをreturnしている</t>
  </si>
  <si>
    <r>
      <t>戻り値</t>
    </r>
    <r>
      <rPr>
        <b/>
        <sz val="10"/>
        <color rgb="FFFFFFFF"/>
        <rFont val="Meiryo UI"/>
        <family val="2"/>
      </rPr>
      <t>7</t>
    </r>
    <phoneticPr fontId="3"/>
  </si>
  <si>
    <t>異常終了</t>
    <phoneticPr fontId="3"/>
  </si>
  <si>
    <r>
      <t>戻り値</t>
    </r>
    <r>
      <rPr>
        <b/>
        <sz val="10"/>
        <color rgb="FFFFFFFF"/>
        <rFont val="Meiryo UI"/>
        <family val="2"/>
      </rPr>
      <t>10~11</t>
    </r>
    <phoneticPr fontId="3"/>
  </si>
  <si>
    <r>
      <t>戻り値</t>
    </r>
    <r>
      <rPr>
        <b/>
        <sz val="10"/>
        <color rgb="FFFFFFFF"/>
        <rFont val="Meiryo UI"/>
        <family val="2"/>
      </rPr>
      <t>8</t>
    </r>
    <phoneticPr fontId="3"/>
  </si>
  <si>
    <r>
      <t>共通関数呼び出し</t>
    </r>
    <r>
      <rPr>
        <b/>
        <sz val="10"/>
        <color rgb="FFFFFFFF"/>
        <rFont val="Meiryo UI"/>
        <family val="2"/>
      </rPr>
      <t>3</t>
    </r>
    <phoneticPr fontId="3"/>
  </si>
  <si>
    <t>SELECT * from LDAS0328('1224','1','12','12','10225137000080','2000','5678','W','1','20250109','20250630','20250630');</t>
  </si>
  <si>
    <t>ld.E.LDP10019</t>
  </si>
  <si>
    <r>
      <t>共通関数呼び出し</t>
    </r>
    <r>
      <rPr>
        <b/>
        <sz val="10"/>
        <color rgb="FFFFFFFF"/>
        <rFont val="Meiryo UI"/>
        <family val="2"/>
      </rPr>
      <t>5</t>
    </r>
    <phoneticPr fontId="3"/>
  </si>
  <si>
    <r>
      <t>共通関数呼び出し</t>
    </r>
    <r>
      <rPr>
        <b/>
        <sz val="10"/>
        <color rgb="FFFFFFFF"/>
        <rFont val="Meiryo UI"/>
        <family val="2"/>
      </rPr>
      <t>6</t>
    </r>
    <phoneticPr fontId="3"/>
  </si>
  <si>
    <t>SELECT * from LDAS0328('1224','1','12','12','10225137000080','2000','1234','W','1','20250709','20250630','20250630');</t>
  </si>
  <si>
    <t>ld.E.LDP10065</t>
  </si>
  <si>
    <t>For Start Date, specify the date former than the final day of the fixed order period.</t>
  </si>
  <si>
    <t>LDAS0409</t>
    <phoneticPr fontId="3"/>
  </si>
  <si>
    <t>LDAS0409が正常に実行される場合</t>
    <phoneticPr fontId="3"/>
  </si>
  <si>
    <t>LDAS0409がエラー(-1)を返す場合</t>
    <phoneticPr fontId="3"/>
  </si>
  <si>
    <t>LDAS0409がPGMエラー(-2)を返す場合</t>
    <phoneticPr fontId="3"/>
  </si>
  <si>
    <t>Valid／品目妥当性チェック</t>
  </si>
  <si>
    <t>Valid／オーダー登録日付チェック</t>
  </si>
  <si>
    <t>エラーログ登録</t>
  </si>
  <si>
    <t>共通関数呼び出し7</t>
    <phoneticPr fontId="3"/>
  </si>
  <si>
    <t>共通関数呼び出し8</t>
    <phoneticPr fontId="3"/>
  </si>
  <si>
    <t>SELECT * from LDAS0328('1224','1','12','12','10225137000080','2000','1234','1','1','20250109','20250630','20250630');</t>
    <phoneticPr fontId="3"/>
  </si>
  <si>
    <t>共通関数呼び出し9</t>
    <phoneticPr fontId="3"/>
  </si>
  <si>
    <t>pgm_err_code</t>
    <phoneticPr fontId="3"/>
  </si>
  <si>
    <t>pgm_err_msg</t>
    <phoneticPr fontId="3"/>
  </si>
  <si>
    <t>テスト動作</t>
    <phoneticPr fontId="3"/>
  </si>
  <si>
    <t>孫</t>
    <phoneticPr fontId="3"/>
  </si>
  <si>
    <t>初期作成</t>
    <phoneticPr fontId="3"/>
  </si>
  <si>
    <t>登録するWビンオーダーの各項目に対するバリデーション。</t>
    <phoneticPr fontId="3"/>
  </si>
  <si>
    <t>主処理</t>
  </si>
  <si>
    <t>孫勝</t>
    <phoneticPr fontId="3"/>
  </si>
  <si>
    <t>引数チェック</t>
  </si>
  <si>
    <t>&lt;&lt;SP:LDAS0300 Error Return&gt;&gt; Return:  -1,42P01, ,relation "la_itemmast" does not exist,LDAS0300</t>
  </si>
  <si>
    <t>Item does not exist in the item master.</t>
  </si>
  <si>
    <t>&lt;&lt;SP:LDAS0301 Error Return&gt;&gt; Return:  -1,42P01,,relation "le_mst_calendar_sum" does not exist,LDAS0301</t>
  </si>
  <si>
    <t>sql_err_msg</t>
    <phoneticPr fontId="3"/>
  </si>
  <si>
    <t>sq_err_code</t>
    <phoneticPr fontId="3"/>
  </si>
  <si>
    <r>
      <t>LDAS</t>
    </r>
    <r>
      <rPr>
        <sz val="10"/>
        <rFont val="宋体"/>
        <family val="3"/>
        <charset val="134"/>
      </rPr>
      <t>0409</t>
    </r>
    <phoneticPr fontId="3"/>
  </si>
  <si>
    <t>ない</t>
    <phoneticPr fontId="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</si>
</sst>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109">
    <font>
      <sz val="11"/>
      <name val="ＭＳ Ｐゴシック"/>
      <family val="3"/>
      <charset val="128"/>
    </font>
    <font>
      <sz val="11"/>
      <color theme="1"/>
      <name val="宋体"/>
      <family val="2"/>
      <charset val="128"/>
      <scheme val="minor"/>
    </font>
    <font>
      <sz val="11"/>
      <name val="ＭＳ Ｐゴシック"/>
      <family val="3"/>
      <charset val="128"/>
    </font>
    <font>
      <sz val="6"/>
      <name val="ＭＳ Ｐゴシック"/>
      <family val="3"/>
      <charset val="128"/>
    </font>
    <font>
      <b/>
      <sz val="10"/>
      <name val="Meiryo UI"/>
      <family val="3"/>
      <charset val="128"/>
    </font>
    <font>
      <sz val="9"/>
      <name val="Meiryo UI"/>
      <family val="3"/>
      <charset val="128"/>
    </font>
    <font>
      <sz val="10"/>
      <name val="Meiryo UI"/>
      <family val="3"/>
      <charset val="128"/>
    </font>
    <font>
      <b/>
      <sz val="9"/>
      <name val="Meiryo UI"/>
      <family val="3"/>
      <charset val="128"/>
    </font>
    <font>
      <sz val="11"/>
      <name val="ＭＳ ゴシック"/>
      <family val="3"/>
      <charset val="128"/>
    </font>
    <font>
      <sz val="18"/>
      <color theme="3"/>
      <name val="宋体"/>
      <family val="2"/>
      <charset val="128"/>
      <scheme val="major"/>
    </font>
    <font>
      <b/>
      <sz val="15"/>
      <color theme="3"/>
      <name val="宋体"/>
      <family val="2"/>
      <charset val="128"/>
      <scheme val="minor"/>
    </font>
    <font>
      <b/>
      <sz val="9"/>
      <color theme="0"/>
      <name val="Meiryo UI"/>
      <family val="3"/>
      <charset val="128"/>
    </font>
    <font>
      <sz val="6"/>
      <name val="宋体"/>
      <family val="2"/>
      <charset val="128"/>
      <scheme val="minor"/>
    </font>
    <font>
      <sz val="11"/>
      <color theme="1"/>
      <name val="Meiryo UI"/>
      <family val="3"/>
      <charset val="128"/>
    </font>
    <font>
      <b/>
      <sz val="11"/>
      <color theme="1"/>
      <name val="Meiryo UI"/>
      <family val="3"/>
      <charset val="128"/>
    </font>
    <font>
      <sz val="9"/>
      <color theme="1"/>
      <name val="Meiryo UI"/>
      <family val="3"/>
      <charset val="128"/>
    </font>
    <font>
      <b/>
      <sz val="9"/>
      <color theme="1"/>
      <name val="Meiryo UI"/>
      <family val="3"/>
      <charset val="128"/>
    </font>
    <font>
      <b/>
      <sz val="11"/>
      <color theme="0"/>
      <name val="Meiryo UI"/>
      <family val="2"/>
      <charset val="128"/>
    </font>
    <font>
      <sz val="11"/>
      <name val="Meiryo UI"/>
      <family val="2"/>
      <charset val="128"/>
    </font>
    <font>
      <sz val="8"/>
      <name val="ＭＳ Ｐゴシック"/>
      <family val="3"/>
      <charset val="128"/>
    </font>
    <font>
      <u/>
      <sz val="9"/>
      <color indexed="12"/>
      <name val="Meiryo UI"/>
      <family val="3"/>
      <charset val="128"/>
    </font>
    <font>
      <sz val="9"/>
      <color indexed="81"/>
      <name val="MS P ゴシック"/>
      <family val="3"/>
      <charset val="128"/>
    </font>
    <font>
      <u/>
      <sz val="9"/>
      <name val="Meiryo UI"/>
      <family val="3"/>
      <charset val="128"/>
    </font>
    <font>
      <b/>
      <sz val="9"/>
      <color rgb="FF0000FF"/>
      <name val="Meiryo UI"/>
      <family val="3"/>
      <charset val="128"/>
    </font>
    <font>
      <b/>
      <u/>
      <sz val="9"/>
      <name val="Meiryo UI"/>
      <family val="3"/>
      <charset val="128"/>
    </font>
    <font>
      <b/>
      <sz val="11"/>
      <color theme="1"/>
      <name val="Meiryo UI"/>
      <family val="2"/>
    </font>
    <font>
      <u/>
      <sz val="11"/>
      <color theme="10"/>
      <name val="Meiryo UI"/>
      <family val="3"/>
      <charset val="128"/>
    </font>
    <font>
      <sz val="9"/>
      <name val="宋体"/>
      <family val="3"/>
      <charset val="134"/>
    </font>
    <font>
      <sz val="11"/>
      <name val="Meiryo UI"/>
      <family val="3"/>
      <charset val="128"/>
    </font>
    <font>
      <u/>
      <sz val="11"/>
      <color theme="10"/>
      <name val="ＭＳ Ｐゴシック"/>
      <family val="3"/>
      <charset val="128"/>
    </font>
    <font>
      <b/>
      <sz val="24"/>
      <color indexed="18"/>
      <name val="Meiryo UI"/>
      <family val="3"/>
      <charset val="128"/>
    </font>
    <font>
      <b/>
      <sz val="18"/>
      <color indexed="18"/>
      <name val="Meiryo UI"/>
      <family val="3"/>
      <charset val="128"/>
    </font>
    <font>
      <b/>
      <sz val="11"/>
      <color indexed="18"/>
      <name val="Meiryo UI"/>
      <family val="3"/>
      <charset val="128"/>
    </font>
    <font>
      <b/>
      <sz val="10"/>
      <color indexed="9"/>
      <name val="Meiryo UI"/>
      <family val="3"/>
      <charset val="128"/>
    </font>
    <font>
      <sz val="10"/>
      <color indexed="8"/>
      <name val="Meiryo UI"/>
      <family val="3"/>
      <charset val="128"/>
    </font>
    <font>
      <b/>
      <sz val="10"/>
      <color indexed="18"/>
      <name val="Meiryo UI"/>
      <family val="3"/>
      <charset val="128"/>
    </font>
    <font>
      <sz val="8"/>
      <name val="Meiryo UI"/>
      <family val="3"/>
      <charset val="128"/>
    </font>
    <font>
      <sz val="10"/>
      <color indexed="53"/>
      <name val="Meiryo UI"/>
      <family val="3"/>
      <charset val="128"/>
    </font>
    <font>
      <sz val="10"/>
      <color indexed="59"/>
      <name val="Meiryo UI"/>
      <family val="3"/>
      <charset val="128"/>
    </font>
    <font>
      <sz val="10"/>
      <color indexed="10"/>
      <name val="Meiryo UI"/>
      <family val="3"/>
      <charset val="128"/>
    </font>
    <font>
      <sz val="10"/>
      <color indexed="17"/>
      <name val="Meiryo UI"/>
      <family val="3"/>
      <charset val="128"/>
    </font>
    <font>
      <b/>
      <sz val="10"/>
      <color indexed="59"/>
      <name val="Meiryo UI"/>
      <family val="3"/>
      <charset val="128"/>
    </font>
    <font>
      <sz val="6"/>
      <name val="Meiryo UI"/>
      <family val="3"/>
      <charset val="128"/>
    </font>
    <font>
      <sz val="10"/>
      <color indexed="63"/>
      <name val="Meiryo UI"/>
      <family val="3"/>
      <charset val="128"/>
    </font>
    <font>
      <b/>
      <sz val="9"/>
      <color rgb="FF0000CC"/>
      <name val="Meiryo UI"/>
      <family val="3"/>
      <charset val="128"/>
    </font>
    <font>
      <sz val="8"/>
      <color indexed="8"/>
      <name val="Meiryo UI"/>
      <family val="3"/>
      <charset val="128"/>
    </font>
    <font>
      <sz val="9"/>
      <color indexed="8"/>
      <name val="Meiryo UI"/>
      <family val="3"/>
      <charset val="128"/>
    </font>
    <font>
      <sz val="9"/>
      <color indexed="59"/>
      <name val="Meiryo UI"/>
      <family val="3"/>
      <charset val="128"/>
    </font>
    <font>
      <b/>
      <sz val="10"/>
      <color indexed="12"/>
      <name val="Meiryo UI"/>
      <family val="3"/>
      <charset val="128"/>
    </font>
    <font>
      <sz val="10"/>
      <color indexed="12"/>
      <name val="Meiryo UI"/>
      <family val="3"/>
      <charset val="128"/>
    </font>
    <font>
      <sz val="11"/>
      <color indexed="60"/>
      <name val="Meiryo UI"/>
      <family val="3"/>
      <charset val="128"/>
    </font>
    <font>
      <b/>
      <sz val="18"/>
      <color indexed="8"/>
      <name val="Meiryo UI"/>
      <family val="3"/>
      <charset val="128"/>
    </font>
    <font>
      <sz val="11"/>
      <color indexed="18"/>
      <name val="Meiryo UI"/>
      <family val="3"/>
      <charset val="128"/>
    </font>
    <font>
      <b/>
      <sz val="8"/>
      <color indexed="61"/>
      <name val="Meiryo UI"/>
      <family val="3"/>
      <charset val="128"/>
    </font>
    <font>
      <sz val="11"/>
      <color indexed="9"/>
      <name val="Meiryo UI"/>
      <family val="3"/>
      <charset val="128"/>
    </font>
    <font>
      <b/>
      <sz val="11"/>
      <name val="Meiryo UI"/>
      <family val="3"/>
      <charset val="128"/>
    </font>
    <font>
      <sz val="9"/>
      <color indexed="53"/>
      <name val="Meiryo UI"/>
      <family val="3"/>
      <charset val="128"/>
    </font>
    <font>
      <sz val="10"/>
      <color indexed="61"/>
      <name val="Meiryo UI"/>
      <family val="3"/>
      <charset val="128"/>
    </font>
    <font>
      <sz val="8"/>
      <color indexed="61"/>
      <name val="Meiryo UI"/>
      <family val="3"/>
      <charset val="128"/>
    </font>
    <font>
      <sz val="11"/>
      <color indexed="53"/>
      <name val="Meiryo UI"/>
      <family val="3"/>
      <charset val="128"/>
    </font>
    <font>
      <sz val="9"/>
      <color indexed="61"/>
      <name val="Meiryo UI"/>
      <family val="3"/>
      <charset val="128"/>
    </font>
    <font>
      <sz val="11"/>
      <color indexed="61"/>
      <name val="Meiryo UI"/>
      <family val="3"/>
      <charset val="128"/>
    </font>
    <font>
      <b/>
      <sz val="11"/>
      <color indexed="61"/>
      <name val="Meiryo UI"/>
      <family val="3"/>
      <charset val="128"/>
    </font>
    <font>
      <sz val="11"/>
      <color indexed="63"/>
      <name val="Meiryo UI"/>
      <family val="3"/>
      <charset val="128"/>
    </font>
    <font>
      <sz val="11"/>
      <color indexed="17"/>
      <name val="Meiryo UI"/>
      <family val="3"/>
      <charset val="128"/>
    </font>
    <font>
      <sz val="9"/>
      <color indexed="10"/>
      <name val="Meiryo UI"/>
      <family val="3"/>
      <charset val="128"/>
    </font>
    <font>
      <sz val="11"/>
      <color indexed="12"/>
      <name val="Meiryo UI"/>
      <family val="3"/>
      <charset val="128"/>
    </font>
    <font>
      <sz val="9"/>
      <color indexed="9"/>
      <name val="Meiryo UI"/>
      <family val="3"/>
      <charset val="128"/>
    </font>
    <font>
      <i/>
      <sz val="8"/>
      <color indexed="61"/>
      <name val="Meiryo UI"/>
      <family val="3"/>
      <charset val="128"/>
    </font>
    <font>
      <sz val="10"/>
      <color indexed="23"/>
      <name val="Meiryo UI"/>
      <family val="3"/>
      <charset val="128"/>
    </font>
    <font>
      <b/>
      <sz val="16"/>
      <color indexed="18"/>
      <name val="Meiryo UI"/>
      <family val="3"/>
      <charset val="128"/>
    </font>
    <font>
      <sz val="16"/>
      <name val="Meiryo UI"/>
      <family val="3"/>
      <charset val="128"/>
    </font>
    <font>
      <sz val="11"/>
      <color indexed="10"/>
      <name val="Meiryo UI"/>
      <family val="3"/>
      <charset val="128"/>
    </font>
    <font>
      <b/>
      <sz val="9"/>
      <color indexed="48"/>
      <name val="Meiryo UI"/>
      <family val="3"/>
      <charset val="128"/>
    </font>
    <font>
      <b/>
      <sz val="9"/>
      <color indexed="59"/>
      <name val="Meiryo UI"/>
      <family val="3"/>
      <charset val="128"/>
    </font>
    <font>
      <sz val="11"/>
      <color indexed="41"/>
      <name val="Meiryo UI"/>
      <family val="3"/>
      <charset val="128"/>
    </font>
    <font>
      <sz val="11"/>
      <color indexed="8"/>
      <name val="Meiryo UI"/>
      <family val="3"/>
      <charset val="128"/>
    </font>
    <font>
      <sz val="11"/>
      <color indexed="22"/>
      <name val="Meiryo UI"/>
      <family val="3"/>
      <charset val="128"/>
    </font>
    <font>
      <sz val="9"/>
      <color indexed="48"/>
      <name val="Meiryo UI"/>
      <family val="3"/>
      <charset val="128"/>
    </font>
    <font>
      <sz val="8"/>
      <color indexed="63"/>
      <name val="Meiryo UI"/>
      <family val="3"/>
      <charset val="128"/>
    </font>
    <font>
      <sz val="6"/>
      <name val="ＭＳ ゴシック"/>
      <family val="3"/>
      <charset val="128"/>
    </font>
    <font>
      <sz val="9"/>
      <color indexed="62"/>
      <name val="Meiryo UI"/>
      <family val="3"/>
      <charset val="128"/>
    </font>
    <font>
      <sz val="9"/>
      <color indexed="23"/>
      <name val="Meiryo UI"/>
      <family val="3"/>
      <charset val="128"/>
    </font>
    <font>
      <sz val="9"/>
      <color indexed="63"/>
      <name val="Meiryo UI"/>
      <family val="3"/>
      <charset val="128"/>
    </font>
    <font>
      <sz val="9"/>
      <color indexed="22"/>
      <name val="Meiryo UI"/>
      <family val="3"/>
      <charset val="128"/>
    </font>
    <font>
      <sz val="9"/>
      <color indexed="12"/>
      <name val="Meiryo UI"/>
      <family val="3"/>
      <charset val="128"/>
    </font>
    <font>
      <b/>
      <sz val="10"/>
      <color indexed="8"/>
      <name val="Meiryo UI"/>
      <family val="3"/>
      <charset val="128"/>
    </font>
    <font>
      <sz val="11"/>
      <color indexed="59"/>
      <name val="Meiryo UI"/>
      <family val="3"/>
      <charset val="128"/>
    </font>
    <font>
      <b/>
      <sz val="11"/>
      <color indexed="9"/>
      <name val="Meiryo UI"/>
      <family val="3"/>
      <charset val="128"/>
    </font>
    <font>
      <b/>
      <sz val="11"/>
      <color indexed="10"/>
      <name val="Meiryo UI"/>
      <family val="3"/>
      <charset val="128"/>
    </font>
    <font>
      <sz val="12"/>
      <color indexed="8"/>
      <name val="Meiryo UI"/>
      <family val="3"/>
      <charset val="128"/>
    </font>
    <font>
      <sz val="12"/>
      <name val="Meiryo UI"/>
      <family val="3"/>
      <charset val="128"/>
    </font>
    <font>
      <b/>
      <sz val="10"/>
      <color indexed="10"/>
      <name val="Meiryo UI"/>
      <family val="3"/>
      <charset val="128"/>
    </font>
    <font>
      <b/>
      <sz val="11"/>
      <color indexed="62"/>
      <name val="Meiryo UI"/>
      <family val="3"/>
      <charset val="128"/>
    </font>
    <font>
      <sz val="9"/>
      <color indexed="55"/>
      <name val="Meiryo UI"/>
      <family val="3"/>
      <charset val="128"/>
    </font>
    <font>
      <b/>
      <sz val="9"/>
      <color rgb="FF0000FF"/>
      <name val="Meiryo UI"/>
      <family val="2"/>
      <charset val="128"/>
    </font>
    <font>
      <b/>
      <sz val="9"/>
      <name val="Meiryo UI"/>
      <family val="2"/>
    </font>
    <font>
      <sz val="9"/>
      <name val="Meiryo UI"/>
      <family val="2"/>
    </font>
    <font>
      <b/>
      <sz val="10"/>
      <color rgb="FFFFFFFF"/>
      <name val="Meiryo UI"/>
      <family val="3"/>
      <charset val="128"/>
    </font>
    <font>
      <b/>
      <sz val="10"/>
      <color rgb="FFFFFFFF"/>
      <name val="Meiryo UI"/>
      <family val="2"/>
    </font>
    <font>
      <b/>
      <sz val="10"/>
      <color rgb="FFFFFFFF"/>
      <name val="Meiryo UI"/>
      <family val="2"/>
      <charset val="128"/>
    </font>
    <font>
      <b/>
      <sz val="9"/>
      <color rgb="FF0000FF"/>
      <name val="宋体"/>
      <family val="3"/>
      <charset val="134"/>
    </font>
    <font>
      <b/>
      <sz val="9"/>
      <color rgb="FF0000FF"/>
      <name val="Meiryo UI"/>
      <family val="3"/>
      <charset val="134"/>
    </font>
    <font>
      <sz val="72"/>
      <name val="Meiryo UI"/>
      <family val="3"/>
      <charset val="128"/>
    </font>
    <font>
      <sz val="9"/>
      <color theme="1"/>
      <name val="微软雅黑"/>
      <family val="3"/>
      <charset val="134"/>
    </font>
    <font>
      <sz val="11"/>
      <name val="等线"/>
      <family val="2"/>
      <charset val="134"/>
    </font>
    <font>
      <sz val="9"/>
      <name val="微软雅黑"/>
      <family val="2"/>
      <charset val="134"/>
    </font>
    <font>
      <sz val="10"/>
      <name val="宋体"/>
      <family val="3"/>
      <charset val="134"/>
    </font>
    <font>
      <sz val="20"/>
      <name val="Meiryo UI"/>
      <family val="3"/>
      <charset val="128"/>
    </font>
  </fonts>
  <fills count="22">
    <fill>
      <patternFill patternType="none"/>
    </fill>
    <fill>
      <patternFill patternType="gray125"/>
    </fill>
    <fill>
      <patternFill patternType="solid">
        <fgColor indexed="42"/>
        <bgColor indexed="64"/>
      </patternFill>
    </fill>
    <fill>
      <patternFill patternType="solid">
        <fgColor indexed="9"/>
        <bgColor indexed="64"/>
      </patternFill>
    </fill>
    <fill>
      <patternFill patternType="solid">
        <fgColor rgb="FF002060"/>
        <bgColor indexed="64"/>
      </patternFill>
    </fill>
    <fill>
      <patternFill patternType="solid">
        <fgColor rgb="FF1D4D77"/>
        <bgColor indexed="64"/>
      </patternFill>
    </fill>
    <fill>
      <patternFill patternType="solid">
        <fgColor rgb="FFCCFFCC"/>
        <bgColor indexed="64"/>
      </patternFill>
    </fill>
    <fill>
      <patternFill patternType="solid">
        <fgColor rgb="FF99CCFF"/>
        <bgColor indexed="64"/>
      </patternFill>
    </fill>
    <fill>
      <patternFill patternType="solid">
        <fgColor indexed="41"/>
        <bgColor indexed="64"/>
      </patternFill>
    </fill>
    <fill>
      <patternFill patternType="solid">
        <fgColor indexed="17"/>
        <bgColor indexed="64"/>
      </patternFill>
    </fill>
    <fill>
      <patternFill patternType="solid">
        <fgColor indexed="13"/>
        <bgColor indexed="64"/>
      </patternFill>
    </fill>
    <fill>
      <patternFill patternType="solid">
        <fgColor indexed="43"/>
        <bgColor indexed="64"/>
      </patternFill>
    </fill>
    <fill>
      <patternFill patternType="solid">
        <fgColor theme="0" tint="-4.9989318521683403E-2"/>
        <bgColor indexed="64"/>
      </patternFill>
    </fill>
    <fill>
      <patternFill patternType="solid">
        <fgColor rgb="FFFFFFCC"/>
        <bgColor indexed="64"/>
      </patternFill>
    </fill>
    <fill>
      <patternFill patternType="solid">
        <fgColor indexed="47"/>
        <bgColor indexed="64"/>
      </patternFill>
    </fill>
    <fill>
      <patternFill patternType="solid">
        <fgColor indexed="22"/>
        <bgColor indexed="64"/>
      </patternFill>
    </fill>
    <fill>
      <patternFill patternType="solid">
        <fgColor indexed="45"/>
        <bgColor indexed="64"/>
      </patternFill>
    </fill>
    <fill>
      <patternFill patternType="solid">
        <fgColor indexed="63"/>
        <bgColor indexed="64"/>
      </patternFill>
    </fill>
    <fill>
      <patternFill patternType="solid">
        <fgColor indexed="55"/>
        <bgColor indexed="64"/>
      </patternFill>
    </fill>
    <fill>
      <patternFill patternType="solid">
        <fgColor theme="0"/>
        <bgColor indexed="64"/>
      </patternFill>
    </fill>
    <fill>
      <patternFill patternType="solid">
        <fgColor theme="0"/>
        <bgColor indexed="45"/>
      </patternFill>
    </fill>
    <fill>
      <patternFill patternType="solid">
        <fgColor theme="0"/>
        <bgColor indexed="40"/>
      </patternFill>
    </fill>
  </fills>
  <borders count="79">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ck">
        <color indexed="18"/>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ck">
        <color indexed="8"/>
      </bottom>
      <diagonal/>
    </border>
    <border>
      <left style="thin">
        <color indexed="23"/>
      </left>
      <right style="thin">
        <color indexed="23"/>
      </right>
      <top style="thin">
        <color indexed="23"/>
      </top>
      <bottom style="thin">
        <color indexed="23"/>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medium">
        <color indexed="64"/>
      </left>
      <right/>
      <top style="mediumDashed">
        <color indexed="55"/>
      </top>
      <bottom/>
      <diagonal/>
    </border>
    <border>
      <left/>
      <right/>
      <top style="mediumDashed">
        <color indexed="55"/>
      </top>
      <bottom/>
      <diagonal/>
    </border>
    <border>
      <left/>
      <right style="medium">
        <color indexed="64"/>
      </right>
      <top style="mediumDashed">
        <color indexed="55"/>
      </top>
      <bottom/>
      <diagonal/>
    </border>
    <border>
      <left style="hair">
        <color indexed="64"/>
      </left>
      <right/>
      <top style="thin">
        <color indexed="64"/>
      </top>
      <bottom style="hair">
        <color indexed="64"/>
      </bottom>
      <diagonal/>
    </border>
    <border>
      <left style="thin">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23"/>
      </right>
      <top style="hair">
        <color indexed="64"/>
      </top>
      <bottom style="hair">
        <color indexed="23"/>
      </bottom>
      <diagonal/>
    </border>
    <border>
      <left style="hair">
        <color indexed="23"/>
      </left>
      <right style="hair">
        <color indexed="23"/>
      </right>
      <top style="hair">
        <color indexed="64"/>
      </top>
      <bottom style="hair">
        <color indexed="23"/>
      </bottom>
      <diagonal/>
    </border>
    <border>
      <left style="thin">
        <color indexed="64"/>
      </left>
      <right style="hair">
        <color indexed="23"/>
      </right>
      <top style="hair">
        <color indexed="23"/>
      </top>
      <bottom style="hair">
        <color indexed="23"/>
      </bottom>
      <diagonal/>
    </border>
    <border>
      <left style="hair">
        <color indexed="23"/>
      </left>
      <right style="hair">
        <color indexed="23"/>
      </right>
      <top style="hair">
        <color indexed="23"/>
      </top>
      <bottom style="hair">
        <color indexed="23"/>
      </bottom>
      <diagonal/>
    </border>
    <border>
      <left style="hair">
        <color indexed="23"/>
      </left>
      <right style="thin">
        <color indexed="64"/>
      </right>
      <top style="hair">
        <color indexed="23"/>
      </top>
      <bottom style="hair">
        <color indexed="23"/>
      </bottom>
      <diagonal/>
    </border>
    <border>
      <left style="thin">
        <color indexed="64"/>
      </left>
      <right style="hair">
        <color indexed="23"/>
      </right>
      <top style="hair">
        <color indexed="23"/>
      </top>
      <bottom style="thin">
        <color indexed="64"/>
      </bottom>
      <diagonal/>
    </border>
    <border>
      <left style="hair">
        <color indexed="23"/>
      </left>
      <right style="hair">
        <color indexed="23"/>
      </right>
      <top style="hair">
        <color indexed="23"/>
      </top>
      <bottom style="thin">
        <color indexed="64"/>
      </bottom>
      <diagonal/>
    </border>
    <border>
      <left style="hair">
        <color indexed="23"/>
      </left>
      <right style="thin">
        <color indexed="64"/>
      </right>
      <top style="hair">
        <color indexed="23"/>
      </top>
      <bottom style="thin">
        <color indexed="64"/>
      </bottom>
      <diagonal/>
    </border>
    <border>
      <left style="thin">
        <color indexed="64"/>
      </left>
      <right/>
      <top/>
      <bottom/>
      <diagonal/>
    </border>
    <border>
      <left style="medium">
        <color indexed="64"/>
      </left>
      <right/>
      <top/>
      <bottom style="mediumDashed">
        <color indexed="23"/>
      </bottom>
      <diagonal/>
    </border>
    <border>
      <left/>
      <right/>
      <top/>
      <bottom style="mediumDashed">
        <color indexed="23"/>
      </bottom>
      <diagonal/>
    </border>
    <border>
      <left/>
      <right style="medium">
        <color indexed="64"/>
      </right>
      <top/>
      <bottom style="mediumDashed">
        <color indexed="23"/>
      </bottom>
      <diagonal/>
    </border>
    <border>
      <left style="medium">
        <color indexed="64"/>
      </left>
      <right/>
      <top style="medium">
        <color indexed="64"/>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hair">
        <color indexed="23"/>
      </left>
      <right style="thin">
        <color indexed="64"/>
      </right>
      <top style="hair">
        <color indexed="64"/>
      </top>
      <bottom style="hair">
        <color indexed="23"/>
      </bottom>
      <diagonal/>
    </border>
    <border>
      <left style="thin">
        <color indexed="64"/>
      </left>
      <right style="hair">
        <color indexed="23"/>
      </right>
      <top style="thin">
        <color indexed="64"/>
      </top>
      <bottom style="hair">
        <color indexed="23"/>
      </bottom>
      <diagonal/>
    </border>
    <border>
      <left style="hair">
        <color indexed="23"/>
      </left>
      <right/>
      <top style="thin">
        <color indexed="64"/>
      </top>
      <bottom style="hair">
        <color indexed="23"/>
      </bottom>
      <diagonal/>
    </border>
    <border>
      <left/>
      <right/>
      <top style="thin">
        <color indexed="64"/>
      </top>
      <bottom style="hair">
        <color indexed="23"/>
      </bottom>
      <diagonal/>
    </border>
    <border>
      <left/>
      <right style="thin">
        <color indexed="64"/>
      </right>
      <top style="thin">
        <color indexed="64"/>
      </top>
      <bottom style="hair">
        <color indexed="23"/>
      </bottom>
      <diagonal/>
    </border>
    <border>
      <left style="thin">
        <color indexed="23"/>
      </left>
      <right style="medium">
        <color indexed="64"/>
      </right>
      <top/>
      <bottom/>
      <diagonal/>
    </border>
    <border>
      <left style="hair">
        <color indexed="23"/>
      </left>
      <right/>
      <top style="hair">
        <color indexed="23"/>
      </top>
      <bottom style="hair">
        <color indexed="23"/>
      </bottom>
      <diagonal/>
    </border>
    <border>
      <left style="hair">
        <color indexed="23"/>
      </left>
      <right/>
      <top style="hair">
        <color indexed="23"/>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ck">
        <color indexed="18"/>
      </bottom>
      <diagonal/>
    </border>
    <border>
      <left/>
      <right/>
      <top style="medium">
        <color indexed="64"/>
      </top>
      <bottom style="thick">
        <color indexed="18"/>
      </bottom>
      <diagonal/>
    </border>
    <border>
      <left/>
      <right style="medium">
        <color indexed="64"/>
      </right>
      <top style="medium">
        <color indexed="64"/>
      </top>
      <bottom style="thick">
        <color indexed="18"/>
      </bottom>
      <diagonal/>
    </border>
    <border>
      <left/>
      <right style="medium">
        <color indexed="64"/>
      </right>
      <top style="medium">
        <color indexed="64"/>
      </top>
      <bottom style="medium">
        <color indexed="64"/>
      </bottom>
      <diagonal/>
    </border>
  </borders>
  <cellStyleXfs count="13">
    <xf numFmtId="0" fontId="0" fillId="0" borderId="0"/>
    <xf numFmtId="0" fontId="9" fillId="0" borderId="0" applyNumberFormat="0" applyFill="0" applyBorder="0" applyAlignment="0" applyProtection="0">
      <alignment vertical="center"/>
    </xf>
    <xf numFmtId="0" fontId="10" fillId="0" borderId="5" applyNumberFormat="0" applyFill="0" applyAlignment="0" applyProtection="0">
      <alignment vertical="center"/>
    </xf>
    <xf numFmtId="0" fontId="8" fillId="0" borderId="0"/>
    <xf numFmtId="0" fontId="1" fillId="0" borderId="0"/>
    <xf numFmtId="0" fontId="1" fillId="0" borderId="0">
      <alignment vertical="center"/>
    </xf>
    <xf numFmtId="0" fontId="2" fillId="0" borderId="0"/>
    <xf numFmtId="9" fontId="2" fillId="0" borderId="0" applyFont="0" applyFill="0" applyBorder="0" applyAlignment="0" applyProtection="0">
      <alignment vertical="center"/>
    </xf>
    <xf numFmtId="0" fontId="20" fillId="0" borderId="0" applyNumberFormat="0" applyFill="0" applyBorder="0" applyAlignment="0" applyProtection="0">
      <alignment vertical="top"/>
      <protection locked="0"/>
    </xf>
    <xf numFmtId="0" fontId="29" fillId="0" borderId="0" applyNumberFormat="0" applyFill="0" applyBorder="0" applyAlignment="0" applyProtection="0"/>
    <xf numFmtId="0" fontId="2" fillId="0" borderId="0"/>
    <xf numFmtId="0" fontId="8" fillId="0" borderId="0"/>
    <xf numFmtId="0" fontId="8" fillId="0" borderId="0"/>
  </cellStyleXfs>
  <cellXfs count="444">
    <xf numFmtId="0" fontId="0" fillId="0" borderId="0" xfId="0"/>
    <xf numFmtId="0" fontId="13" fillId="0" borderId="0" xfId="4" applyFont="1" applyAlignment="1">
      <alignment vertical="center"/>
    </xf>
    <xf numFmtId="0" fontId="15" fillId="0" borderId="2" xfId="4" applyFont="1" applyBorder="1" applyAlignment="1">
      <alignment vertical="center"/>
    </xf>
    <xf numFmtId="0" fontId="16" fillId="0" borderId="2" xfId="4" applyFont="1" applyBorder="1" applyAlignment="1">
      <alignment horizontal="center" vertical="center"/>
    </xf>
    <xf numFmtId="0" fontId="17" fillId="4" borderId="6" xfId="5" applyFont="1" applyFill="1" applyBorder="1" applyAlignment="1">
      <alignment horizontal="center" vertical="center" wrapText="1" readingOrder="1"/>
    </xf>
    <xf numFmtId="0" fontId="18" fillId="0" borderId="0" xfId="6" applyFont="1"/>
    <xf numFmtId="2" fontId="18" fillId="0" borderId="2" xfId="6" applyNumberFormat="1" applyFont="1" applyBorder="1"/>
    <xf numFmtId="14" fontId="18" fillId="0" borderId="2" xfId="6" applyNumberFormat="1" applyFont="1" applyBorder="1"/>
    <xf numFmtId="0" fontId="18" fillId="0" borderId="2" xfId="6" applyFont="1" applyBorder="1"/>
    <xf numFmtId="0" fontId="5" fillId="0" borderId="0" xfId="0" applyFont="1" applyAlignment="1">
      <alignment horizontal="right" vertical="center" wrapText="1"/>
    </xf>
    <xf numFmtId="9" fontId="5" fillId="6" borderId="7" xfId="0" applyNumberFormat="1" applyFont="1" applyFill="1" applyBorder="1" applyAlignment="1">
      <alignment horizontal="center" vertical="center" wrapText="1"/>
    </xf>
    <xf numFmtId="0" fontId="5" fillId="0" borderId="7" xfId="0" applyFont="1" applyBorder="1" applyAlignment="1">
      <alignment horizontal="center" vertical="center" wrapText="1"/>
    </xf>
    <xf numFmtId="9" fontId="5" fillId="2" borderId="7" xfId="0" applyNumberFormat="1" applyFont="1" applyFill="1" applyBorder="1" applyAlignment="1">
      <alignment horizontal="center" vertical="center" wrapText="1"/>
    </xf>
    <xf numFmtId="0" fontId="6" fillId="2" borderId="7" xfId="0" applyFont="1" applyFill="1" applyBorder="1" applyAlignment="1">
      <alignment horizontal="center" vertical="center" wrapText="1"/>
    </xf>
    <xf numFmtId="0" fontId="5" fillId="0" borderId="0" xfId="0" applyFont="1" applyAlignment="1">
      <alignment horizontal="left" vertical="center" wrapText="1"/>
    </xf>
    <xf numFmtId="9" fontId="5" fillId="0" borderId="7" xfId="7" applyFont="1" applyBorder="1" applyAlignment="1">
      <alignment horizontal="center" vertical="center" wrapText="1"/>
    </xf>
    <xf numFmtId="0" fontId="5" fillId="0" borderId="0" xfId="0" applyFont="1" applyAlignment="1">
      <alignment horizontal="center" vertical="center" wrapText="1"/>
    </xf>
    <xf numFmtId="0" fontId="6" fillId="2" borderId="8" xfId="0" applyFont="1" applyFill="1" applyBorder="1" applyAlignment="1">
      <alignment horizontal="center" vertical="center" wrapText="1"/>
    </xf>
    <xf numFmtId="0" fontId="4" fillId="0" borderId="0" xfId="0" applyFont="1" applyAlignment="1">
      <alignment horizontal="center" vertical="center" wrapText="1"/>
    </xf>
    <xf numFmtId="0" fontId="5" fillId="0" borderId="7" xfId="0" applyFont="1" applyBorder="1" applyAlignment="1">
      <alignment horizontal="right" vertical="center" wrapText="1"/>
    </xf>
    <xf numFmtId="0" fontId="5" fillId="0" borderId="7" xfId="0" applyFont="1" applyBorder="1" applyAlignment="1">
      <alignment horizontal="left" vertical="center" wrapText="1"/>
    </xf>
    <xf numFmtId="0" fontId="5" fillId="3" borderId="7" xfId="0" applyFont="1" applyFill="1" applyBorder="1" applyAlignment="1">
      <alignment horizontal="left" vertical="center" wrapText="1"/>
    </xf>
    <xf numFmtId="0" fontId="22" fillId="0" borderId="7" xfId="0" applyFont="1" applyBorder="1" applyAlignment="1">
      <alignment horizontal="center" vertical="center" wrapText="1"/>
    </xf>
    <xf numFmtId="0" fontId="23" fillId="7" borderId="9" xfId="0" applyFont="1" applyFill="1" applyBorder="1" applyAlignment="1">
      <alignment horizontal="left" vertical="center"/>
    </xf>
    <xf numFmtId="0" fontId="7" fillId="7" borderId="10" xfId="0" applyFont="1" applyFill="1" applyBorder="1" applyAlignment="1">
      <alignment horizontal="left" vertical="center" wrapText="1"/>
    </xf>
    <xf numFmtId="0" fontId="7" fillId="7" borderId="10" xfId="0" applyFont="1" applyFill="1" applyBorder="1" applyAlignment="1">
      <alignment horizontal="center" vertical="center" wrapText="1"/>
    </xf>
    <xf numFmtId="0" fontId="7" fillId="7" borderId="11" xfId="0" applyFont="1" applyFill="1" applyBorder="1" applyAlignment="1">
      <alignment horizontal="left" vertical="center" wrapText="1"/>
    </xf>
    <xf numFmtId="0" fontId="23" fillId="7" borderId="7" xfId="0" applyFont="1" applyFill="1" applyBorder="1" applyAlignment="1">
      <alignment horizontal="left" vertical="center"/>
    </xf>
    <xf numFmtId="0" fontId="7" fillId="7" borderId="7" xfId="0" applyFont="1" applyFill="1" applyBorder="1" applyAlignment="1">
      <alignment horizontal="left" vertical="center" wrapText="1"/>
    </xf>
    <xf numFmtId="0" fontId="7" fillId="7" borderId="7" xfId="0" applyFont="1" applyFill="1" applyBorder="1" applyAlignment="1">
      <alignment horizontal="center" vertical="center" wrapText="1"/>
    </xf>
    <xf numFmtId="0" fontId="23" fillId="0" borderId="7" xfId="0" applyFont="1" applyBorder="1" applyAlignment="1">
      <alignment horizontal="left" vertical="center"/>
    </xf>
    <xf numFmtId="0" fontId="7" fillId="0" borderId="7" xfId="0" applyFont="1" applyBorder="1" applyAlignment="1">
      <alignment horizontal="left" vertical="center" wrapText="1"/>
    </xf>
    <xf numFmtId="0" fontId="7" fillId="0" borderId="7" xfId="0" applyFont="1" applyBorder="1" applyAlignment="1">
      <alignment horizontal="center" vertical="center" wrapText="1"/>
    </xf>
    <xf numFmtId="0" fontId="24" fillId="7" borderId="7" xfId="0" applyFont="1" applyFill="1" applyBorder="1" applyAlignment="1">
      <alignment horizontal="center" vertical="center" wrapText="1"/>
    </xf>
    <xf numFmtId="0" fontId="26" fillId="0" borderId="0" xfId="0" applyFont="1"/>
    <xf numFmtId="0" fontId="28" fillId="0" borderId="0" xfId="0" applyFont="1"/>
    <xf numFmtId="0" fontId="26" fillId="0" borderId="0" xfId="9" applyFont="1" applyAlignment="1"/>
    <xf numFmtId="0" fontId="6" fillId="0" borderId="0" xfId="0" applyFont="1"/>
    <xf numFmtId="0" fontId="30" fillId="8" borderId="12" xfId="0" applyFont="1" applyFill="1" applyBorder="1" applyAlignment="1">
      <alignment horizontal="left"/>
    </xf>
    <xf numFmtId="0" fontId="31" fillId="8" borderId="12" xfId="0" applyFont="1" applyFill="1" applyBorder="1" applyAlignment="1">
      <alignment horizontal="left"/>
    </xf>
    <xf numFmtId="0" fontId="32" fillId="8" borderId="12" xfId="0" applyFont="1" applyFill="1" applyBorder="1" applyAlignment="1">
      <alignment horizontal="left"/>
    </xf>
    <xf numFmtId="0" fontId="7" fillId="0" borderId="0" xfId="0" applyFont="1"/>
    <xf numFmtId="0" fontId="4" fillId="0" borderId="0" xfId="0" applyFont="1"/>
    <xf numFmtId="0" fontId="33" fillId="9" borderId="13" xfId="0" applyFont="1" applyFill="1" applyBorder="1" applyAlignment="1">
      <alignment horizontal="center" vertical="center"/>
    </xf>
    <xf numFmtId="0" fontId="34" fillId="10" borderId="14" xfId="0" applyFont="1" applyFill="1" applyBorder="1" applyAlignment="1">
      <alignment vertical="center"/>
    </xf>
    <xf numFmtId="0" fontId="34" fillId="10" borderId="15" xfId="0" applyFont="1" applyFill="1" applyBorder="1" applyAlignment="1">
      <alignment vertical="center"/>
    </xf>
    <xf numFmtId="0" fontId="35" fillId="8" borderId="16" xfId="0" applyFont="1" applyFill="1" applyBorder="1" applyAlignment="1">
      <alignment horizontal="center" vertical="center"/>
    </xf>
    <xf numFmtId="0" fontId="36" fillId="11" borderId="17" xfId="0" applyFont="1" applyFill="1" applyBorder="1" applyAlignment="1">
      <alignment horizontal="center" vertical="center"/>
    </xf>
    <xf numFmtId="0" fontId="37" fillId="11" borderId="18" xfId="0" applyFont="1" applyFill="1" applyBorder="1" applyAlignment="1">
      <alignment horizontal="left" vertical="center"/>
    </xf>
    <xf numFmtId="0" fontId="37" fillId="11" borderId="19" xfId="0" applyFont="1" applyFill="1" applyBorder="1" applyAlignment="1">
      <alignment horizontal="left" vertical="center"/>
    </xf>
    <xf numFmtId="0" fontId="38" fillId="0" borderId="20" xfId="0" applyFont="1" applyBorder="1"/>
    <xf numFmtId="0" fontId="38" fillId="0" borderId="0" xfId="0" applyFont="1"/>
    <xf numFmtId="0" fontId="38" fillId="0" borderId="21" xfId="0" applyFont="1" applyBorder="1"/>
    <xf numFmtId="0" fontId="39" fillId="0" borderId="20" xfId="0" applyFont="1" applyBorder="1"/>
    <xf numFmtId="0" fontId="40" fillId="2" borderId="0" xfId="0" applyFont="1" applyFill="1" applyAlignment="1">
      <alignment horizontal="right"/>
    </xf>
    <xf numFmtId="0" fontId="40" fillId="2" borderId="0" xfId="0" applyFont="1" applyFill="1"/>
    <xf numFmtId="0" fontId="41" fillId="2" borderId="0" xfId="0" applyFont="1" applyFill="1"/>
    <xf numFmtId="0" fontId="38" fillId="2" borderId="0" xfId="0" applyFont="1" applyFill="1"/>
    <xf numFmtId="0" fontId="34" fillId="0" borderId="21" xfId="0" applyFont="1" applyBorder="1"/>
    <xf numFmtId="0" fontId="42" fillId="0" borderId="0" xfId="0" applyFont="1"/>
    <xf numFmtId="0" fontId="43" fillId="0" borderId="0" xfId="0" applyFont="1" applyAlignment="1">
      <alignment horizontal="right"/>
    </xf>
    <xf numFmtId="0" fontId="42" fillId="12" borderId="0" xfId="0" applyFont="1" applyFill="1"/>
    <xf numFmtId="0" fontId="38" fillId="12" borderId="0" xfId="0" applyFont="1" applyFill="1"/>
    <xf numFmtId="0" fontId="5" fillId="13" borderId="0" xfId="0" applyFont="1" applyFill="1"/>
    <xf numFmtId="0" fontId="38" fillId="13" borderId="0" xfId="0" applyFont="1" applyFill="1"/>
    <xf numFmtId="0" fontId="44" fillId="13" borderId="0" xfId="0" quotePrefix="1" applyFont="1" applyFill="1"/>
    <xf numFmtId="0" fontId="6" fillId="0" borderId="20" xfId="0" applyFont="1" applyBorder="1"/>
    <xf numFmtId="0" fontId="34" fillId="0" borderId="0" xfId="0" applyFont="1"/>
    <xf numFmtId="0" fontId="36" fillId="0" borderId="7" xfId="0" applyFont="1" applyBorder="1"/>
    <xf numFmtId="0" fontId="5" fillId="0" borderId="9" xfId="0" applyFont="1" applyBorder="1"/>
    <xf numFmtId="0" fontId="34" fillId="0" borderId="10" xfId="0" applyFont="1" applyBorder="1"/>
    <xf numFmtId="0" fontId="34" fillId="0" borderId="11" xfId="0" applyFont="1" applyBorder="1"/>
    <xf numFmtId="0" fontId="45" fillId="0" borderId="7" xfId="0" applyFont="1" applyBorder="1"/>
    <xf numFmtId="0" fontId="46" fillId="0" borderId="9" xfId="0" applyFont="1" applyBorder="1"/>
    <xf numFmtId="0" fontId="45" fillId="0" borderId="0" xfId="0" applyFont="1"/>
    <xf numFmtId="0" fontId="46" fillId="0" borderId="0" xfId="0" applyFont="1"/>
    <xf numFmtId="0" fontId="47" fillId="2" borderId="0" xfId="0" applyFont="1" applyFill="1"/>
    <xf numFmtId="0" fontId="48" fillId="0" borderId="0" xfId="0" applyFont="1"/>
    <xf numFmtId="0" fontId="49" fillId="0" borderId="0" xfId="0" applyFont="1"/>
    <xf numFmtId="0" fontId="6" fillId="0" borderId="22" xfId="0" applyFont="1" applyBorder="1"/>
    <xf numFmtId="0" fontId="6" fillId="0" borderId="23" xfId="0" applyFont="1" applyBorder="1"/>
    <xf numFmtId="0" fontId="34" fillId="0" borderId="23" xfId="0" applyFont="1" applyBorder="1"/>
    <xf numFmtId="0" fontId="34" fillId="0" borderId="24" xfId="0" applyFont="1" applyBorder="1"/>
    <xf numFmtId="0" fontId="50" fillId="11" borderId="25" xfId="10" applyFont="1" applyFill="1" applyBorder="1"/>
    <xf numFmtId="0" fontId="28" fillId="0" borderId="0" xfId="10" applyFont="1"/>
    <xf numFmtId="0" fontId="52" fillId="0" borderId="0" xfId="10" applyFont="1"/>
    <xf numFmtId="0" fontId="31" fillId="0" borderId="0" xfId="10" applyFont="1" applyAlignment="1">
      <alignment horizontal="left"/>
    </xf>
    <xf numFmtId="0" fontId="32" fillId="0" borderId="0" xfId="10" applyFont="1" applyAlignment="1">
      <alignment horizontal="left"/>
    </xf>
    <xf numFmtId="0" fontId="4" fillId="0" borderId="0" xfId="10" applyFont="1" applyAlignment="1">
      <alignment horizontal="left"/>
    </xf>
    <xf numFmtId="49" fontId="5" fillId="0" borderId="0" xfId="0" applyNumberFormat="1" applyFont="1"/>
    <xf numFmtId="49" fontId="5" fillId="14" borderId="26" xfId="0" applyNumberFormat="1" applyFont="1" applyFill="1" applyBorder="1" applyAlignment="1">
      <alignment horizontal="center"/>
    </xf>
    <xf numFmtId="49" fontId="5" fillId="15" borderId="26" xfId="0" applyNumberFormat="1" applyFont="1" applyFill="1" applyBorder="1" applyAlignment="1">
      <alignment horizontal="center"/>
    </xf>
    <xf numFmtId="49" fontId="5" fillId="16" borderId="26" xfId="0" applyNumberFormat="1" applyFont="1" applyFill="1" applyBorder="1" applyAlignment="1">
      <alignment horizontal="center"/>
    </xf>
    <xf numFmtId="0" fontId="6" fillId="0" borderId="26" xfId="10" applyFont="1" applyBorder="1" applyAlignment="1">
      <alignment horizontal="center"/>
    </xf>
    <xf numFmtId="49" fontId="5" fillId="3" borderId="0" xfId="0" applyNumberFormat="1" applyFont="1" applyFill="1"/>
    <xf numFmtId="49" fontId="5" fillId="3" borderId="0" xfId="0" applyNumberFormat="1" applyFont="1" applyFill="1" applyAlignment="1">
      <alignment horizontal="center"/>
    </xf>
    <xf numFmtId="0" fontId="6" fillId="3" borderId="0" xfId="10" applyFont="1" applyFill="1" applyAlignment="1">
      <alignment horizontal="center"/>
    </xf>
    <xf numFmtId="0" fontId="6" fillId="0" borderId="0" xfId="10" applyFont="1" applyAlignment="1">
      <alignment horizontal="center"/>
    </xf>
    <xf numFmtId="49" fontId="28" fillId="0" borderId="0" xfId="0" applyNumberFormat="1" applyFont="1"/>
    <xf numFmtId="0" fontId="28" fillId="3" borderId="0" xfId="0" applyFont="1" applyFill="1" applyAlignment="1">
      <alignment horizontal="center"/>
    </xf>
    <xf numFmtId="0" fontId="28" fillId="0" borderId="0" xfId="0" applyFont="1" applyAlignment="1">
      <alignment horizontal="center"/>
    </xf>
    <xf numFmtId="0" fontId="55" fillId="3" borderId="0" xfId="0" applyFont="1" applyFill="1" applyAlignment="1">
      <alignment horizontal="center"/>
    </xf>
    <xf numFmtId="0" fontId="55" fillId="0" borderId="0" xfId="0" applyFont="1" applyAlignment="1">
      <alignment horizontal="center"/>
    </xf>
    <xf numFmtId="0" fontId="5" fillId="3" borderId="0" xfId="0" applyFont="1" applyFill="1" applyAlignment="1">
      <alignment horizontal="center" textRotation="255"/>
    </xf>
    <xf numFmtId="0" fontId="28" fillId="0" borderId="0" xfId="0" applyFont="1" applyAlignment="1">
      <alignment horizontal="center" textRotation="255"/>
    </xf>
    <xf numFmtId="0" fontId="28" fillId="0" borderId="0" xfId="0" applyFont="1" applyAlignment="1">
      <alignment textRotation="255"/>
    </xf>
    <xf numFmtId="0" fontId="61" fillId="0" borderId="0" xfId="0" applyFont="1" applyAlignment="1">
      <alignment horizontal="center"/>
    </xf>
    <xf numFmtId="49" fontId="28" fillId="3" borderId="0" xfId="0" applyNumberFormat="1" applyFont="1" applyFill="1" applyAlignment="1">
      <alignment horizontal="center"/>
    </xf>
    <xf numFmtId="49" fontId="28" fillId="0" borderId="0" xfId="0" applyNumberFormat="1" applyFont="1" applyAlignment="1">
      <alignment horizontal="center"/>
    </xf>
    <xf numFmtId="49" fontId="69" fillId="0" borderId="0" xfId="0" applyNumberFormat="1" applyFont="1"/>
    <xf numFmtId="0" fontId="52" fillId="8" borderId="12" xfId="10" applyFont="1" applyFill="1" applyBorder="1"/>
    <xf numFmtId="0" fontId="34" fillId="10" borderId="14" xfId="10" applyFont="1" applyFill="1" applyBorder="1" applyAlignment="1">
      <alignment vertical="center"/>
    </xf>
    <xf numFmtId="0" fontId="34" fillId="10" borderId="15" xfId="10" applyFont="1" applyFill="1" applyBorder="1" applyAlignment="1">
      <alignment vertical="center"/>
    </xf>
    <xf numFmtId="0" fontId="47" fillId="0" borderId="20" xfId="0" applyFont="1" applyBorder="1"/>
    <xf numFmtId="0" fontId="47" fillId="0" borderId="0" xfId="0" applyFont="1"/>
    <xf numFmtId="0" fontId="47" fillId="0" borderId="21" xfId="0" applyFont="1" applyBorder="1"/>
    <xf numFmtId="0" fontId="28" fillId="0" borderId="20" xfId="0" applyFont="1" applyBorder="1"/>
    <xf numFmtId="0" fontId="72" fillId="0" borderId="20" xfId="0" applyFont="1" applyBorder="1"/>
    <xf numFmtId="0" fontId="72" fillId="0" borderId="0" xfId="0" applyFont="1"/>
    <xf numFmtId="0" fontId="41" fillId="0" borderId="0" xfId="0" applyFont="1"/>
    <xf numFmtId="0" fontId="47" fillId="0" borderId="40" xfId="0" applyFont="1" applyBorder="1"/>
    <xf numFmtId="0" fontId="47" fillId="0" borderId="41" xfId="0" applyFont="1" applyBorder="1"/>
    <xf numFmtId="0" fontId="47" fillId="0" borderId="42" xfId="0" applyFont="1" applyBorder="1"/>
    <xf numFmtId="0" fontId="28" fillId="0" borderId="17" xfId="0" applyFont="1" applyBorder="1"/>
    <xf numFmtId="0" fontId="28" fillId="0" borderId="18" xfId="0" applyFont="1" applyBorder="1"/>
    <xf numFmtId="0" fontId="34" fillId="0" borderId="18" xfId="0" applyFont="1" applyBorder="1"/>
    <xf numFmtId="0" fontId="34" fillId="0" borderId="19" xfId="0" applyFont="1" applyBorder="1"/>
    <xf numFmtId="0" fontId="47" fillId="0" borderId="20" xfId="0" applyFont="1" applyBorder="1" applyAlignment="1">
      <alignment vertical="top"/>
    </xf>
    <xf numFmtId="0" fontId="47" fillId="0" borderId="0" xfId="0" applyFont="1" applyAlignment="1">
      <alignment vertical="center"/>
    </xf>
    <xf numFmtId="0" fontId="47" fillId="0" borderId="21" xfId="0" applyFont="1" applyBorder="1" applyAlignment="1">
      <alignment vertical="center"/>
    </xf>
    <xf numFmtId="0" fontId="56" fillId="0" borderId="0" xfId="0" applyFont="1"/>
    <xf numFmtId="0" fontId="28" fillId="0" borderId="22" xfId="0" applyFont="1" applyBorder="1"/>
    <xf numFmtId="0" fontId="28" fillId="0" borderId="23" xfId="0" applyFont="1" applyBorder="1"/>
    <xf numFmtId="0" fontId="75" fillId="0" borderId="0" xfId="10" applyFont="1"/>
    <xf numFmtId="0" fontId="76" fillId="0" borderId="20" xfId="0" applyFont="1" applyBorder="1"/>
    <xf numFmtId="0" fontId="77" fillId="0" borderId="0" xfId="0" applyFont="1"/>
    <xf numFmtId="0" fontId="28" fillId="0" borderId="21" xfId="0" applyFont="1" applyBorder="1"/>
    <xf numFmtId="49" fontId="67" fillId="17" borderId="38" xfId="0" applyNumberFormat="1" applyFont="1" applyFill="1" applyBorder="1" applyAlignment="1">
      <alignment horizontal="center" vertical="center"/>
    </xf>
    <xf numFmtId="0" fontId="28" fillId="0" borderId="21" xfId="0" applyFont="1" applyBorder="1" applyAlignment="1">
      <alignment horizontal="left" vertical="center"/>
    </xf>
    <xf numFmtId="0" fontId="5" fillId="0" borderId="0" xfId="0" applyFont="1" applyAlignment="1">
      <alignment horizontal="left"/>
    </xf>
    <xf numFmtId="0" fontId="78" fillId="0" borderId="20" xfId="11" applyFont="1" applyBorder="1" applyAlignment="1">
      <alignment horizontal="center" vertical="center"/>
    </xf>
    <xf numFmtId="0" fontId="6" fillId="2" borderId="29" xfId="0" applyFont="1" applyFill="1" applyBorder="1" applyAlignment="1">
      <alignment horizontal="center"/>
    </xf>
    <xf numFmtId="0" fontId="6" fillId="2" borderId="30" xfId="0" applyFont="1" applyFill="1" applyBorder="1" applyAlignment="1">
      <alignment horizontal="center"/>
    </xf>
    <xf numFmtId="0" fontId="79" fillId="2" borderId="30" xfId="12" applyFont="1" applyFill="1" applyBorder="1" applyAlignment="1">
      <alignment horizontal="center"/>
    </xf>
    <xf numFmtId="0" fontId="79" fillId="2" borderId="31" xfId="12" applyFont="1" applyFill="1" applyBorder="1" applyAlignment="1">
      <alignment horizontal="center"/>
    </xf>
    <xf numFmtId="0" fontId="79" fillId="0" borderId="21" xfId="12" applyFont="1" applyBorder="1" applyAlignment="1">
      <alignment horizontal="center"/>
    </xf>
    <xf numFmtId="0" fontId="36" fillId="0" borderId="0" xfId="3" applyFont="1" applyAlignment="1">
      <alignment horizontal="center"/>
    </xf>
    <xf numFmtId="49" fontId="5" fillId="0" borderId="20" xfId="0" applyNumberFormat="1" applyFont="1" applyBorder="1" applyAlignment="1">
      <alignment horizontal="center"/>
    </xf>
    <xf numFmtId="0" fontId="5" fillId="2" borderId="29" xfId="0" applyFont="1" applyFill="1" applyBorder="1" applyAlignment="1">
      <alignment horizontal="center"/>
    </xf>
    <xf numFmtId="0" fontId="5" fillId="2" borderId="30" xfId="0" applyFont="1" applyFill="1" applyBorder="1" applyAlignment="1">
      <alignment horizontal="center"/>
    </xf>
    <xf numFmtId="0" fontId="81" fillId="2" borderId="30" xfId="11" applyFont="1" applyFill="1" applyBorder="1" applyAlignment="1">
      <alignment horizontal="center" vertical="center"/>
    </xf>
    <xf numFmtId="0" fontId="81" fillId="2" borderId="31" xfId="11" applyFont="1" applyFill="1" applyBorder="1" applyAlignment="1">
      <alignment horizontal="center" vertical="center"/>
    </xf>
    <xf numFmtId="0" fontId="81" fillId="0" borderId="21" xfId="11" applyFont="1" applyBorder="1" applyAlignment="1">
      <alignment horizontal="center" vertical="center"/>
    </xf>
    <xf numFmtId="0" fontId="81" fillId="0" borderId="0" xfId="3" applyFont="1" applyAlignment="1">
      <alignment horizontal="center"/>
    </xf>
    <xf numFmtId="0" fontId="82" fillId="0" borderId="29" xfId="0" applyFont="1" applyBorder="1" applyAlignment="1">
      <alignment horizontal="center"/>
    </xf>
    <xf numFmtId="0" fontId="82" fillId="0" borderId="30" xfId="0" applyFont="1" applyBorder="1" applyAlignment="1">
      <alignment horizontal="center"/>
    </xf>
    <xf numFmtId="176" fontId="82" fillId="0" borderId="30" xfId="0" applyNumberFormat="1" applyFont="1" applyBorder="1"/>
    <xf numFmtId="49" fontId="82" fillId="0" borderId="30" xfId="0" applyNumberFormat="1" applyFont="1" applyBorder="1" applyAlignment="1">
      <alignment horizontal="center"/>
    </xf>
    <xf numFmtId="49" fontId="82" fillId="0" borderId="31" xfId="0" applyNumberFormat="1" applyFont="1" applyBorder="1" applyAlignment="1">
      <alignment horizontal="center"/>
    </xf>
    <xf numFmtId="49" fontId="82" fillId="0" borderId="21" xfId="0" applyNumberFormat="1" applyFont="1" applyBorder="1" applyAlignment="1">
      <alignment horizontal="center"/>
    </xf>
    <xf numFmtId="49" fontId="5" fillId="0" borderId="0" xfId="0" applyNumberFormat="1" applyFont="1" applyAlignment="1">
      <alignment horizontal="center"/>
    </xf>
    <xf numFmtId="0" fontId="83" fillId="14" borderId="29" xfId="0" applyFont="1" applyFill="1" applyBorder="1" applyAlignment="1">
      <alignment horizontal="center"/>
    </xf>
    <xf numFmtId="0" fontId="83" fillId="14" borderId="30" xfId="0" applyFont="1" applyFill="1" applyBorder="1" applyAlignment="1">
      <alignment horizontal="center"/>
    </xf>
    <xf numFmtId="176" fontId="83" fillId="14" borderId="30" xfId="0" applyNumberFormat="1" applyFont="1" applyFill="1" applyBorder="1"/>
    <xf numFmtId="49" fontId="83" fillId="14" borderId="30" xfId="0" applyNumberFormat="1" applyFont="1" applyFill="1" applyBorder="1" applyAlignment="1">
      <alignment horizontal="center"/>
    </xf>
    <xf numFmtId="49" fontId="83" fillId="14" borderId="31" xfId="0" applyNumberFormat="1" applyFont="1" applyFill="1" applyBorder="1" applyAlignment="1">
      <alignment horizontal="center"/>
    </xf>
    <xf numFmtId="49" fontId="83" fillId="0" borderId="0" xfId="0" applyNumberFormat="1" applyFont="1" applyAlignment="1">
      <alignment horizontal="center"/>
    </xf>
    <xf numFmtId="0" fontId="5" fillId="0" borderId="0" xfId="0" applyFont="1"/>
    <xf numFmtId="0" fontId="82" fillId="0" borderId="39" xfId="0" applyFont="1" applyBorder="1" applyAlignment="1">
      <alignment horizontal="center"/>
    </xf>
    <xf numFmtId="0" fontId="82" fillId="0" borderId="35" xfId="0" applyFont="1" applyBorder="1" applyAlignment="1">
      <alignment horizontal="center"/>
    </xf>
    <xf numFmtId="176" fontId="82" fillId="0" borderId="35" xfId="0" applyNumberFormat="1" applyFont="1" applyBorder="1" applyAlignment="1">
      <alignment horizontal="right"/>
    </xf>
    <xf numFmtId="49" fontId="82" fillId="0" borderId="35" xfId="0" applyNumberFormat="1" applyFont="1" applyBorder="1" applyAlignment="1">
      <alignment horizontal="center"/>
    </xf>
    <xf numFmtId="49" fontId="82" fillId="0" borderId="36" xfId="0" applyNumberFormat="1" applyFont="1" applyBorder="1" applyAlignment="1">
      <alignment horizontal="center"/>
    </xf>
    <xf numFmtId="0" fontId="84" fillId="0" borderId="0" xfId="0" applyFont="1" applyAlignment="1">
      <alignment horizontal="center"/>
    </xf>
    <xf numFmtId="176" fontId="84" fillId="0" borderId="0" xfId="0" applyNumberFormat="1" applyFont="1" applyAlignment="1">
      <alignment horizontal="right"/>
    </xf>
    <xf numFmtId="49" fontId="84" fillId="0" borderId="0" xfId="0" applyNumberFormat="1" applyFont="1" applyAlignment="1">
      <alignment horizontal="center"/>
    </xf>
    <xf numFmtId="176" fontId="84" fillId="0" borderId="0" xfId="0" applyNumberFormat="1" applyFont="1"/>
    <xf numFmtId="0" fontId="85" fillId="0" borderId="0" xfId="0" applyFont="1" applyAlignment="1">
      <alignment horizontal="center" wrapText="1"/>
    </xf>
    <xf numFmtId="0" fontId="85" fillId="0" borderId="0" xfId="0" applyFont="1"/>
    <xf numFmtId="49" fontId="82" fillId="0" borderId="0" xfId="0" applyNumberFormat="1" applyFont="1" applyAlignment="1">
      <alignment horizontal="center"/>
    </xf>
    <xf numFmtId="0" fontId="85" fillId="0" borderId="0" xfId="0" applyFont="1" applyAlignment="1">
      <alignment horizontal="left" wrapText="1"/>
    </xf>
    <xf numFmtId="49" fontId="5" fillId="0" borderId="21" xfId="0" applyNumberFormat="1" applyFont="1" applyBorder="1" applyAlignment="1">
      <alignment horizontal="center"/>
    </xf>
    <xf numFmtId="0" fontId="82" fillId="0" borderId="32" xfId="0" applyFont="1" applyBorder="1" applyAlignment="1">
      <alignment horizontal="center"/>
    </xf>
    <xf numFmtId="0" fontId="82" fillId="0" borderId="33" xfId="0" applyFont="1" applyBorder="1" applyAlignment="1">
      <alignment horizontal="center"/>
    </xf>
    <xf numFmtId="176" fontId="82" fillId="0" borderId="33" xfId="0" applyNumberFormat="1" applyFont="1" applyBorder="1"/>
    <xf numFmtId="49" fontId="82" fillId="0" borderId="33" xfId="0" applyNumberFormat="1" applyFont="1" applyBorder="1" applyAlignment="1">
      <alignment horizontal="center"/>
    </xf>
    <xf numFmtId="49" fontId="82" fillId="0" borderId="34" xfId="0" applyNumberFormat="1" applyFont="1" applyBorder="1" applyAlignment="1">
      <alignment horizontal="center"/>
    </xf>
    <xf numFmtId="0" fontId="82" fillId="0" borderId="44" xfId="0" applyFont="1" applyBorder="1" applyAlignment="1">
      <alignment horizontal="center"/>
    </xf>
    <xf numFmtId="0" fontId="82" fillId="0" borderId="37" xfId="0" applyFont="1" applyBorder="1" applyAlignment="1">
      <alignment horizontal="center"/>
    </xf>
    <xf numFmtId="176" fontId="82" fillId="0" borderId="37" xfId="0" applyNumberFormat="1" applyFont="1" applyBorder="1"/>
    <xf numFmtId="49" fontId="82" fillId="0" borderId="37" xfId="0" applyNumberFormat="1" applyFont="1" applyBorder="1" applyAlignment="1">
      <alignment horizontal="center"/>
    </xf>
    <xf numFmtId="49" fontId="82" fillId="0" borderId="45" xfId="0" applyNumberFormat="1" applyFont="1" applyBorder="1" applyAlignment="1">
      <alignment horizontal="center"/>
    </xf>
    <xf numFmtId="0" fontId="82" fillId="0" borderId="46" xfId="0" applyFont="1" applyBorder="1" applyAlignment="1">
      <alignment horizontal="center"/>
    </xf>
    <xf numFmtId="0" fontId="82" fillId="0" borderId="47" xfId="0" applyFont="1" applyBorder="1" applyAlignment="1">
      <alignment horizontal="center"/>
    </xf>
    <xf numFmtId="176" fontId="82" fillId="0" borderId="47" xfId="0" applyNumberFormat="1" applyFont="1" applyBorder="1"/>
    <xf numFmtId="49" fontId="82" fillId="0" borderId="47" xfId="0" applyNumberFormat="1" applyFont="1" applyBorder="1" applyAlignment="1">
      <alignment horizontal="center"/>
    </xf>
    <xf numFmtId="49" fontId="82" fillId="0" borderId="48" xfId="0" applyNumberFormat="1" applyFont="1" applyBorder="1" applyAlignment="1">
      <alignment horizontal="center"/>
    </xf>
    <xf numFmtId="0" fontId="82" fillId="0" borderId="49" xfId="0" applyFont="1" applyBorder="1" applyAlignment="1">
      <alignment horizontal="center"/>
    </xf>
    <xf numFmtId="0" fontId="82" fillId="0" borderId="50" xfId="0" applyFont="1" applyBorder="1" applyAlignment="1">
      <alignment horizontal="center"/>
    </xf>
    <xf numFmtId="176" fontId="82" fillId="0" borderId="50" xfId="0" applyNumberFormat="1" applyFont="1" applyBorder="1"/>
    <xf numFmtId="49" fontId="82" fillId="0" borderId="50" xfId="0" applyNumberFormat="1" applyFont="1" applyBorder="1" applyAlignment="1">
      <alignment horizontal="center"/>
    </xf>
    <xf numFmtId="0" fontId="82" fillId="0" borderId="51" xfId="0" applyFont="1" applyBorder="1" applyAlignment="1">
      <alignment horizontal="center"/>
    </xf>
    <xf numFmtId="0" fontId="82" fillId="0" borderId="52" xfId="0" applyFont="1" applyBorder="1" applyAlignment="1">
      <alignment horizontal="center"/>
    </xf>
    <xf numFmtId="176" fontId="82" fillId="0" borderId="52" xfId="0" applyNumberFormat="1" applyFont="1" applyBorder="1"/>
    <xf numFmtId="49" fontId="82" fillId="0" borderId="52" xfId="0" applyNumberFormat="1" applyFont="1" applyBorder="1" applyAlignment="1">
      <alignment horizontal="center"/>
    </xf>
    <xf numFmtId="176" fontId="56" fillId="0" borderId="52" xfId="0" applyNumberFormat="1" applyFont="1" applyBorder="1"/>
    <xf numFmtId="49" fontId="85" fillId="0" borderId="52" xfId="0" applyNumberFormat="1" applyFont="1" applyBorder="1" applyAlignment="1">
      <alignment horizontal="center"/>
    </xf>
    <xf numFmtId="49" fontId="85" fillId="0" borderId="30" xfId="0" applyNumberFormat="1" applyFont="1" applyBorder="1" applyAlignment="1">
      <alignment horizontal="center"/>
    </xf>
    <xf numFmtId="49" fontId="56" fillId="0" borderId="52" xfId="0" applyNumberFormat="1" applyFont="1" applyBorder="1" applyAlignment="1">
      <alignment horizontal="center"/>
    </xf>
    <xf numFmtId="49" fontId="56" fillId="0" borderId="53" xfId="0" applyNumberFormat="1" applyFont="1" applyBorder="1" applyAlignment="1">
      <alignment horizontal="center"/>
    </xf>
    <xf numFmtId="176" fontId="82" fillId="0" borderId="52" xfId="0" applyNumberFormat="1" applyFont="1" applyBorder="1" applyAlignment="1">
      <alignment horizontal="right"/>
    </xf>
    <xf numFmtId="49" fontId="82" fillId="0" borderId="53" xfId="0" applyNumberFormat="1" applyFont="1" applyBorder="1" applyAlignment="1">
      <alignment horizontal="center"/>
    </xf>
    <xf numFmtId="0" fontId="82" fillId="0" borderId="54" xfId="0" applyFont="1" applyBorder="1" applyAlignment="1">
      <alignment horizontal="center"/>
    </xf>
    <xf numFmtId="0" fontId="82" fillId="0" borderId="55" xfId="0" applyFont="1" applyBorder="1" applyAlignment="1">
      <alignment horizontal="center"/>
    </xf>
    <xf numFmtId="176" fontId="82" fillId="0" borderId="55" xfId="0" applyNumberFormat="1" applyFont="1" applyBorder="1"/>
    <xf numFmtId="49" fontId="82" fillId="0" borderId="55" xfId="0" applyNumberFormat="1" applyFont="1" applyBorder="1" applyAlignment="1">
      <alignment horizontal="center"/>
    </xf>
    <xf numFmtId="49" fontId="82" fillId="0" borderId="56" xfId="0" applyNumberFormat="1" applyFont="1" applyBorder="1" applyAlignment="1">
      <alignment horizontal="center"/>
    </xf>
    <xf numFmtId="0" fontId="82" fillId="0" borderId="0" xfId="0" applyFont="1" applyAlignment="1">
      <alignment horizontal="center"/>
    </xf>
    <xf numFmtId="176" fontId="65" fillId="0" borderId="0" xfId="0" applyNumberFormat="1" applyFont="1" applyAlignment="1">
      <alignment horizontal="right"/>
    </xf>
    <xf numFmtId="0" fontId="77" fillId="0" borderId="20" xfId="0" applyFont="1" applyBorder="1"/>
    <xf numFmtId="0" fontId="77" fillId="0" borderId="17" xfId="0" applyFont="1" applyBorder="1"/>
    <xf numFmtId="0" fontId="77" fillId="0" borderId="18" xfId="0" applyFont="1" applyBorder="1"/>
    <xf numFmtId="0" fontId="28" fillId="0" borderId="19" xfId="0" applyFont="1" applyBorder="1"/>
    <xf numFmtId="0" fontId="82" fillId="0" borderId="20" xfId="0" applyFont="1" applyBorder="1"/>
    <xf numFmtId="0" fontId="28" fillId="0" borderId="24" xfId="0" applyFont="1" applyBorder="1"/>
    <xf numFmtId="0" fontId="34" fillId="0" borderId="20" xfId="0" applyFont="1" applyBorder="1"/>
    <xf numFmtId="0" fontId="86" fillId="0" borderId="0" xfId="0" applyFont="1"/>
    <xf numFmtId="0" fontId="86" fillId="0" borderId="57" xfId="0" applyFont="1" applyBorder="1"/>
    <xf numFmtId="0" fontId="41" fillId="0" borderId="20" xfId="0" applyFont="1" applyBorder="1"/>
    <xf numFmtId="0" fontId="49" fillId="0" borderId="21" xfId="0" applyFont="1" applyBorder="1"/>
    <xf numFmtId="0" fontId="46" fillId="0" borderId="20" xfId="0" applyFont="1" applyBorder="1"/>
    <xf numFmtId="0" fontId="87" fillId="0" borderId="0" xfId="0" applyFont="1"/>
    <xf numFmtId="0" fontId="88" fillId="0" borderId="20" xfId="10" applyFont="1" applyBorder="1"/>
    <xf numFmtId="0" fontId="34" fillId="0" borderId="0" xfId="10" applyFont="1"/>
    <xf numFmtId="0" fontId="34" fillId="0" borderId="21" xfId="10" applyFont="1" applyBorder="1"/>
    <xf numFmtId="0" fontId="49" fillId="0" borderId="20" xfId="0" applyFont="1" applyBorder="1"/>
    <xf numFmtId="0" fontId="46" fillId="0" borderId="21" xfId="0" applyFont="1" applyBorder="1"/>
    <xf numFmtId="0" fontId="5" fillId="0" borderId="20" xfId="0" applyFont="1" applyBorder="1"/>
    <xf numFmtId="0" fontId="66" fillId="0" borderId="20" xfId="0" applyFont="1" applyBorder="1"/>
    <xf numFmtId="0" fontId="28" fillId="0" borderId="58" xfId="0" applyFont="1" applyBorder="1"/>
    <xf numFmtId="0" fontId="28" fillId="0" borderId="59" xfId="0" applyFont="1" applyBorder="1"/>
    <xf numFmtId="0" fontId="34" fillId="0" borderId="59" xfId="0" applyFont="1" applyBorder="1"/>
    <xf numFmtId="0" fontId="34" fillId="0" borderId="60" xfId="0" applyFont="1" applyBorder="1"/>
    <xf numFmtId="0" fontId="66" fillId="0" borderId="0" xfId="0" applyFont="1"/>
    <xf numFmtId="0" fontId="69" fillId="0" borderId="20" xfId="0" applyFont="1" applyBorder="1"/>
    <xf numFmtId="0" fontId="82" fillId="0" borderId="0" xfId="0" applyFont="1"/>
    <xf numFmtId="0" fontId="82" fillId="0" borderId="21" xfId="0" applyFont="1" applyBorder="1"/>
    <xf numFmtId="0" fontId="39" fillId="0" borderId="0" xfId="0" applyFont="1"/>
    <xf numFmtId="0" fontId="28" fillId="0" borderId="0" xfId="0" applyFont="1" applyAlignment="1">
      <alignment horizontal="right"/>
    </xf>
    <xf numFmtId="0" fontId="90" fillId="0" borderId="0" xfId="0" applyFont="1"/>
    <xf numFmtId="0" fontId="91" fillId="0" borderId="0" xfId="0" applyFont="1"/>
    <xf numFmtId="0" fontId="91" fillId="0" borderId="21" xfId="0" applyFont="1" applyBorder="1"/>
    <xf numFmtId="0" fontId="93" fillId="8" borderId="62" xfId="10" applyFont="1" applyFill="1" applyBorder="1" applyAlignment="1">
      <alignment horizontal="center"/>
    </xf>
    <xf numFmtId="0" fontId="34" fillId="0" borderId="63" xfId="10" applyFont="1" applyBorder="1"/>
    <xf numFmtId="0" fontId="34" fillId="0" borderId="64" xfId="10" applyFont="1" applyBorder="1"/>
    <xf numFmtId="0" fontId="37" fillId="0" borderId="21" xfId="0" applyFont="1" applyBorder="1" applyAlignment="1">
      <alignment horizontal="left"/>
    </xf>
    <xf numFmtId="0" fontId="34" fillId="0" borderId="21" xfId="0" applyFont="1" applyBorder="1" applyAlignment="1">
      <alignment horizontal="left"/>
    </xf>
    <xf numFmtId="0" fontId="56" fillId="0" borderId="0" xfId="0" applyFont="1" applyAlignment="1">
      <alignment horizontal="center"/>
    </xf>
    <xf numFmtId="176" fontId="56" fillId="0" borderId="0" xfId="0" applyNumberFormat="1" applyFont="1" applyAlignment="1">
      <alignment horizontal="right"/>
    </xf>
    <xf numFmtId="49" fontId="56" fillId="0" borderId="0" xfId="0" applyNumberFormat="1" applyFont="1" applyAlignment="1">
      <alignment horizontal="center"/>
    </xf>
    <xf numFmtId="176" fontId="56" fillId="0" borderId="0" xfId="0" applyNumberFormat="1" applyFont="1"/>
    <xf numFmtId="49" fontId="82" fillId="0" borderId="65" xfId="0" applyNumberFormat="1" applyFont="1" applyBorder="1" applyAlignment="1">
      <alignment horizontal="center"/>
    </xf>
    <xf numFmtId="0" fontId="56" fillId="0" borderId="51" xfId="0" applyFont="1" applyBorder="1" applyAlignment="1">
      <alignment horizontal="center"/>
    </xf>
    <xf numFmtId="0" fontId="56" fillId="0" borderId="52" xfId="0" applyFont="1" applyBorder="1" applyAlignment="1">
      <alignment horizontal="center"/>
    </xf>
    <xf numFmtId="176" fontId="56" fillId="0" borderId="52" xfId="0" applyNumberFormat="1" applyFont="1" applyBorder="1" applyAlignment="1">
      <alignment horizontal="right"/>
    </xf>
    <xf numFmtId="0" fontId="56" fillId="0" borderId="54" xfId="0" applyFont="1" applyBorder="1" applyAlignment="1">
      <alignment horizontal="center"/>
    </xf>
    <xf numFmtId="0" fontId="56" fillId="0" borderId="55" xfId="0" applyFont="1" applyBorder="1" applyAlignment="1">
      <alignment horizontal="center"/>
    </xf>
    <xf numFmtId="176" fontId="56" fillId="0" borderId="55" xfId="0" applyNumberFormat="1" applyFont="1" applyBorder="1"/>
    <xf numFmtId="49" fontId="56" fillId="0" borderId="55" xfId="0" applyNumberFormat="1" applyFont="1" applyBorder="1" applyAlignment="1">
      <alignment horizontal="center"/>
    </xf>
    <xf numFmtId="49" fontId="56" fillId="0" borderId="56" xfId="0" applyNumberFormat="1" applyFont="1" applyBorder="1" applyAlignment="1">
      <alignment horizontal="center"/>
    </xf>
    <xf numFmtId="49" fontId="67" fillId="17" borderId="66" xfId="0" applyNumberFormat="1" applyFont="1" applyFill="1" applyBorder="1" applyAlignment="1">
      <alignment horizontal="center" vertical="center"/>
    </xf>
    <xf numFmtId="49" fontId="54" fillId="0" borderId="21" xfId="0" applyNumberFormat="1" applyFont="1" applyBorder="1" applyAlignment="1">
      <alignment horizontal="left" vertical="center"/>
    </xf>
    <xf numFmtId="0" fontId="28" fillId="0" borderId="0" xfId="0" applyFont="1" applyAlignment="1">
      <alignment horizontal="left" vertical="center"/>
    </xf>
    <xf numFmtId="0" fontId="6" fillId="2" borderId="51" xfId="0" applyFont="1" applyFill="1" applyBorder="1" applyAlignment="1">
      <alignment horizontal="center"/>
    </xf>
    <xf numFmtId="0" fontId="6" fillId="2" borderId="52" xfId="0" applyFont="1" applyFill="1" applyBorder="1" applyAlignment="1">
      <alignment horizontal="center"/>
    </xf>
    <xf numFmtId="0" fontId="79" fillId="2" borderId="52" xfId="12" applyFont="1" applyFill="1" applyBorder="1" applyAlignment="1">
      <alignment horizontal="center"/>
    </xf>
    <xf numFmtId="0" fontId="79" fillId="2" borderId="53" xfId="12" applyFont="1" applyFill="1" applyBorder="1" applyAlignment="1">
      <alignment horizontal="center"/>
    </xf>
    <xf numFmtId="0" fontId="79" fillId="0" borderId="0" xfId="12" applyFont="1" applyAlignment="1">
      <alignment horizontal="center"/>
    </xf>
    <xf numFmtId="0" fontId="5" fillId="2" borderId="51" xfId="0" applyFont="1" applyFill="1" applyBorder="1" applyAlignment="1">
      <alignment horizontal="center"/>
    </xf>
    <xf numFmtId="0" fontId="5" fillId="2" borderId="52" xfId="0" applyFont="1" applyFill="1" applyBorder="1" applyAlignment="1">
      <alignment horizontal="center"/>
    </xf>
    <xf numFmtId="0" fontId="81" fillId="2" borderId="52" xfId="11" applyFont="1" applyFill="1" applyBorder="1" applyAlignment="1">
      <alignment horizontal="center" vertical="center"/>
    </xf>
    <xf numFmtId="0" fontId="81" fillId="2" borderId="53" xfId="11" applyFont="1" applyFill="1" applyBorder="1" applyAlignment="1">
      <alignment horizontal="center" vertical="center"/>
    </xf>
    <xf numFmtId="0" fontId="81" fillId="0" borderId="0" xfId="11" applyFont="1" applyAlignment="1">
      <alignment horizontal="center" vertical="center"/>
    </xf>
    <xf numFmtId="0" fontId="83" fillId="14" borderId="51" xfId="0" applyFont="1" applyFill="1" applyBorder="1" applyAlignment="1">
      <alignment horizontal="center"/>
    </xf>
    <xf numFmtId="0" fontId="83" fillId="14" borderId="52" xfId="0" applyFont="1" applyFill="1" applyBorder="1" applyAlignment="1">
      <alignment horizontal="center"/>
    </xf>
    <xf numFmtId="176" fontId="83" fillId="14" borderId="52" xfId="0" applyNumberFormat="1" applyFont="1" applyFill="1" applyBorder="1"/>
    <xf numFmtId="49" fontId="83" fillId="14" borderId="52" xfId="0" applyNumberFormat="1" applyFont="1" applyFill="1" applyBorder="1" applyAlignment="1">
      <alignment horizontal="center"/>
    </xf>
    <xf numFmtId="49" fontId="83" fillId="14" borderId="53" xfId="0" applyNumberFormat="1" applyFont="1" applyFill="1" applyBorder="1" applyAlignment="1">
      <alignment horizontal="center"/>
    </xf>
    <xf numFmtId="49" fontId="83" fillId="0" borderId="21" xfId="0" applyNumberFormat="1" applyFont="1" applyBorder="1" applyAlignment="1">
      <alignment horizontal="center"/>
    </xf>
    <xf numFmtId="0" fontId="94" fillId="0" borderId="51" xfId="0" applyFont="1" applyBorder="1" applyAlignment="1">
      <alignment horizontal="center"/>
    </xf>
    <xf numFmtId="0" fontId="94" fillId="0" borderId="52" xfId="0" applyFont="1" applyBorder="1" applyAlignment="1">
      <alignment horizontal="center"/>
    </xf>
    <xf numFmtId="176" fontId="94" fillId="0" borderId="52" xfId="0" applyNumberFormat="1" applyFont="1" applyBorder="1"/>
    <xf numFmtId="49" fontId="94" fillId="0" borderId="52" xfId="0" applyNumberFormat="1" applyFont="1" applyBorder="1" applyAlignment="1">
      <alignment horizontal="center"/>
    </xf>
    <xf numFmtId="49" fontId="94" fillId="0" borderId="53" xfId="0" applyNumberFormat="1" applyFont="1" applyBorder="1" applyAlignment="1">
      <alignment horizontal="center"/>
    </xf>
    <xf numFmtId="176" fontId="82" fillId="0" borderId="55" xfId="0" applyNumberFormat="1" applyFont="1" applyBorder="1" applyAlignment="1">
      <alignment horizontal="right"/>
    </xf>
    <xf numFmtId="49" fontId="84" fillId="0" borderId="21" xfId="0" applyNumberFormat="1" applyFont="1" applyBorder="1" applyAlignment="1">
      <alignment horizontal="center"/>
    </xf>
    <xf numFmtId="49" fontId="54" fillId="0" borderId="70" xfId="0" applyNumberFormat="1" applyFont="1" applyBorder="1" applyAlignment="1">
      <alignment horizontal="left" vertical="center"/>
    </xf>
    <xf numFmtId="0" fontId="79" fillId="2" borderId="71" xfId="12" applyFont="1" applyFill="1" applyBorder="1" applyAlignment="1">
      <alignment horizontal="center"/>
    </xf>
    <xf numFmtId="0" fontId="79" fillId="0" borderId="70" xfId="12" applyFont="1" applyBorder="1" applyAlignment="1">
      <alignment horizontal="center"/>
    </xf>
    <xf numFmtId="0" fontId="81" fillId="2" borderId="71" xfId="11" applyFont="1" applyFill="1" applyBorder="1" applyAlignment="1">
      <alignment horizontal="center" vertical="center"/>
    </xf>
    <xf numFmtId="0" fontId="81" fillId="0" borderId="70" xfId="11" applyFont="1" applyBorder="1" applyAlignment="1">
      <alignment horizontal="center" vertical="center"/>
    </xf>
    <xf numFmtId="49" fontId="82" fillId="0" borderId="71" xfId="0" applyNumberFormat="1" applyFont="1" applyBorder="1" applyAlignment="1">
      <alignment horizontal="center"/>
    </xf>
    <xf numFmtId="49" fontId="82" fillId="0" borderId="70" xfId="0" applyNumberFormat="1" applyFont="1" applyBorder="1" applyAlignment="1">
      <alignment horizontal="center"/>
    </xf>
    <xf numFmtId="49" fontId="82" fillId="0" borderId="72" xfId="0" applyNumberFormat="1" applyFont="1" applyBorder="1" applyAlignment="1">
      <alignment horizontal="center"/>
    </xf>
    <xf numFmtId="0" fontId="6" fillId="0" borderId="21" xfId="0" applyFont="1" applyBorder="1"/>
    <xf numFmtId="0" fontId="95" fillId="7" borderId="9" xfId="0" applyFont="1" applyFill="1" applyBorder="1" applyAlignment="1">
      <alignment horizontal="left" vertical="center"/>
    </xf>
    <xf numFmtId="0" fontId="96" fillId="7" borderId="10" xfId="0" applyFont="1" applyFill="1" applyBorder="1" applyAlignment="1">
      <alignment horizontal="left" vertical="center" wrapText="1"/>
    </xf>
    <xf numFmtId="0" fontId="96" fillId="7" borderId="10" xfId="0" applyFont="1" applyFill="1" applyBorder="1" applyAlignment="1">
      <alignment horizontal="center" vertical="center" wrapText="1"/>
    </xf>
    <xf numFmtId="0" fontId="96" fillId="7" borderId="11" xfId="0" applyFont="1" applyFill="1" applyBorder="1" applyAlignment="1">
      <alignment horizontal="left" vertical="center" wrapText="1"/>
    </xf>
    <xf numFmtId="0" fontId="33" fillId="9" borderId="9" xfId="0" applyFont="1" applyFill="1" applyBorder="1" applyAlignment="1">
      <alignment vertical="center"/>
    </xf>
    <xf numFmtId="0" fontId="29" fillId="0" borderId="0" xfId="9" applyAlignment="1"/>
    <xf numFmtId="0" fontId="43" fillId="0" borderId="0" xfId="0" applyFont="1" applyAlignment="1">
      <alignment horizontal="left" vertical="center"/>
    </xf>
    <xf numFmtId="0" fontId="28" fillId="0" borderId="61" xfId="0" applyFont="1" applyBorder="1" applyAlignment="1">
      <alignment horizontal="left" vertical="center"/>
    </xf>
    <xf numFmtId="0" fontId="28" fillId="0" borderId="14" xfId="0" applyFont="1" applyBorder="1" applyAlignment="1">
      <alignment horizontal="left" vertical="center"/>
    </xf>
    <xf numFmtId="0" fontId="6" fillId="0" borderId="14" xfId="0" applyFont="1" applyBorder="1" applyAlignment="1">
      <alignment horizontal="left" vertical="center"/>
    </xf>
    <xf numFmtId="0" fontId="0" fillId="0" borderId="14" xfId="0" applyBorder="1"/>
    <xf numFmtId="0" fontId="0" fillId="0" borderId="15" xfId="0" applyBorder="1"/>
    <xf numFmtId="0" fontId="30" fillId="8" borderId="12" xfId="0" applyFont="1" applyFill="1" applyBorder="1" applyAlignment="1">
      <alignment horizontal="left" vertical="center"/>
    </xf>
    <xf numFmtId="0" fontId="0" fillId="0" borderId="21" xfId="0" applyBorder="1"/>
    <xf numFmtId="0" fontId="98" fillId="9" borderId="73" xfId="0" applyFont="1" applyFill="1" applyBorder="1" applyAlignment="1">
      <alignment horizontal="left" vertical="center"/>
    </xf>
    <xf numFmtId="0" fontId="34" fillId="10" borderId="74" xfId="0" applyFont="1" applyFill="1" applyBorder="1" applyAlignment="1">
      <alignment horizontal="left" vertical="center"/>
    </xf>
    <xf numFmtId="0" fontId="100" fillId="9" borderId="73" xfId="0" applyFont="1" applyFill="1" applyBorder="1" applyAlignment="1">
      <alignment horizontal="left" vertical="center"/>
    </xf>
    <xf numFmtId="0" fontId="6" fillId="0" borderId="20" xfId="0" applyFont="1" applyBorder="1" applyAlignment="1">
      <alignment horizontal="left" vertical="center"/>
    </xf>
    <xf numFmtId="0" fontId="6" fillId="0" borderId="0" xfId="0" applyFont="1" applyAlignment="1">
      <alignment horizontal="left" vertical="center"/>
    </xf>
    <xf numFmtId="0" fontId="0" fillId="0" borderId="20" xfId="0" applyBorder="1"/>
    <xf numFmtId="0" fontId="31" fillId="8" borderId="75" xfId="0" applyFont="1" applyFill="1" applyBorder="1" applyAlignment="1">
      <alignment horizontal="left" vertical="center"/>
    </xf>
    <xf numFmtId="0" fontId="32" fillId="8" borderId="76" xfId="0" applyFont="1" applyFill="1" applyBorder="1" applyAlignment="1">
      <alignment horizontal="left" vertical="center"/>
    </xf>
    <xf numFmtId="0" fontId="0" fillId="0" borderId="22" xfId="0" applyBorder="1"/>
    <xf numFmtId="0" fontId="0" fillId="0" borderId="23" xfId="0" applyBorder="1"/>
    <xf numFmtId="0" fontId="0" fillId="0" borderId="24" xfId="0" applyBorder="1"/>
    <xf numFmtId="0" fontId="32" fillId="8" borderId="77" xfId="0" applyFont="1" applyFill="1" applyBorder="1" applyAlignment="1">
      <alignment horizontal="left" vertical="center"/>
    </xf>
    <xf numFmtId="0" fontId="29" fillId="0" borderId="7" xfId="9" applyBorder="1" applyAlignment="1" applyProtection="1">
      <alignment horizontal="center" vertical="center" wrapText="1"/>
    </xf>
    <xf numFmtId="0" fontId="6" fillId="0" borderId="23" xfId="0" applyFont="1" applyBorder="1" applyAlignment="1">
      <alignment horizontal="left" vertical="center"/>
    </xf>
    <xf numFmtId="0" fontId="34" fillId="10" borderId="78" xfId="0" applyFont="1" applyFill="1" applyBorder="1" applyAlignment="1">
      <alignment horizontal="left" vertical="center"/>
    </xf>
    <xf numFmtId="0" fontId="34" fillId="0" borderId="21" xfId="0" applyFont="1" applyBorder="1" applyAlignment="1">
      <alignment horizontal="left" vertical="center"/>
    </xf>
    <xf numFmtId="0" fontId="29" fillId="0" borderId="24" xfId="9" applyFill="1" applyBorder="1" applyAlignment="1">
      <alignment horizontal="left" vertical="center"/>
    </xf>
    <xf numFmtId="0" fontId="97" fillId="0" borderId="7" xfId="0" applyFont="1" applyBorder="1" applyAlignment="1">
      <alignment horizontal="left" vertical="center" wrapText="1"/>
    </xf>
    <xf numFmtId="0" fontId="42" fillId="19" borderId="0" xfId="0" applyFont="1" applyFill="1"/>
    <xf numFmtId="0" fontId="38" fillId="19" borderId="0" xfId="0" applyFont="1" applyFill="1"/>
    <xf numFmtId="0" fontId="5" fillId="19" borderId="0" xfId="0" applyFont="1" applyFill="1"/>
    <xf numFmtId="0" fontId="34" fillId="19" borderId="0" xfId="0" applyFont="1" applyFill="1"/>
    <xf numFmtId="0" fontId="6" fillId="19" borderId="0" xfId="0" applyFont="1" applyFill="1"/>
    <xf numFmtId="0" fontId="48" fillId="19" borderId="0" xfId="0" applyFont="1" applyFill="1"/>
    <xf numFmtId="0" fontId="49" fillId="19" borderId="0" xfId="0" applyFont="1" applyFill="1"/>
    <xf numFmtId="0" fontId="28" fillId="19" borderId="0" xfId="0" applyFont="1" applyFill="1"/>
    <xf numFmtId="0" fontId="102" fillId="7" borderId="7" xfId="0" applyFont="1" applyFill="1" applyBorder="1" applyAlignment="1">
      <alignment horizontal="left" vertical="center"/>
    </xf>
    <xf numFmtId="0" fontId="99" fillId="9" borderId="73" xfId="0" applyFont="1" applyFill="1" applyBorder="1" applyAlignment="1">
      <alignment horizontal="left" vertical="center"/>
    </xf>
    <xf numFmtId="0" fontId="34" fillId="0" borderId="0" xfId="0" applyFont="1" applyAlignment="1">
      <alignment horizontal="left" vertical="center"/>
    </xf>
    <xf numFmtId="49" fontId="28" fillId="19" borderId="0" xfId="0" applyNumberFormat="1" applyFont="1" applyFill="1"/>
    <xf numFmtId="0" fontId="53" fillId="19" borderId="0" xfId="0" applyFont="1" applyFill="1" applyAlignment="1">
      <alignment horizontal="center" textRotation="255"/>
    </xf>
    <xf numFmtId="0" fontId="28" fillId="19" borderId="0" xfId="0" applyFont="1" applyFill="1" applyAlignment="1">
      <alignment horizontal="center"/>
    </xf>
    <xf numFmtId="49" fontId="55" fillId="19" borderId="0" xfId="0" applyNumberFormat="1" applyFont="1" applyFill="1" applyAlignment="1">
      <alignment horizontal="center" vertical="center"/>
    </xf>
    <xf numFmtId="49" fontId="28" fillId="19" borderId="0" xfId="0" applyNumberFormat="1" applyFont="1" applyFill="1" applyAlignment="1">
      <alignment horizontal="center" vertical="center"/>
    </xf>
    <xf numFmtId="0" fontId="55" fillId="19" borderId="0" xfId="0" applyFont="1" applyFill="1" applyAlignment="1">
      <alignment horizontal="center"/>
    </xf>
    <xf numFmtId="0" fontId="56" fillId="19" borderId="0" xfId="0" applyFont="1" applyFill="1" applyAlignment="1">
      <alignment horizontal="center" textRotation="255" wrapText="1"/>
    </xf>
    <xf numFmtId="49" fontId="57" fillId="19" borderId="0" xfId="0" applyNumberFormat="1" applyFont="1" applyFill="1" applyAlignment="1">
      <alignment textRotation="255"/>
    </xf>
    <xf numFmtId="0" fontId="58" fillId="19" borderId="0" xfId="0" applyFont="1" applyFill="1" applyAlignment="1">
      <alignment horizontal="center" textRotation="255"/>
    </xf>
    <xf numFmtId="49" fontId="7" fillId="19" borderId="0" xfId="0" applyNumberFormat="1" applyFont="1" applyFill="1" applyAlignment="1">
      <alignment textRotation="255"/>
    </xf>
    <xf numFmtId="49" fontId="7" fillId="19" borderId="0" xfId="0" applyNumberFormat="1" applyFont="1" applyFill="1" applyAlignment="1">
      <alignment textRotation="255" wrapText="1"/>
    </xf>
    <xf numFmtId="49" fontId="5" fillId="19" borderId="0" xfId="0" applyNumberFormat="1" applyFont="1" applyFill="1" applyAlignment="1">
      <alignment textRotation="255"/>
    </xf>
    <xf numFmtId="49" fontId="5" fillId="19" borderId="0" xfId="0" applyNumberFormat="1" applyFont="1" applyFill="1" applyAlignment="1">
      <alignment textRotation="255" wrapText="1"/>
    </xf>
    <xf numFmtId="49" fontId="5" fillId="19" borderId="0" xfId="0" applyNumberFormat="1" applyFont="1" applyFill="1" applyAlignment="1">
      <alignment horizontal="center" textRotation="255" wrapText="1"/>
    </xf>
    <xf numFmtId="49" fontId="5" fillId="19" borderId="0" xfId="0" applyNumberFormat="1" applyFont="1" applyFill="1" applyAlignment="1">
      <alignment horizontal="center" textRotation="255"/>
    </xf>
    <xf numFmtId="49" fontId="7" fillId="19" borderId="0" xfId="0" applyNumberFormat="1" applyFont="1" applyFill="1" applyAlignment="1">
      <alignment horizontal="center" textRotation="255"/>
    </xf>
    <xf numFmtId="0" fontId="5" fillId="19" borderId="0" xfId="0" applyFont="1" applyFill="1" applyAlignment="1">
      <alignment horizontal="center" textRotation="255"/>
    </xf>
    <xf numFmtId="0" fontId="5" fillId="19" borderId="0" xfId="0" applyFont="1" applyFill="1" applyAlignment="1">
      <alignment horizontal="center" textRotation="255" wrapText="1"/>
    </xf>
    <xf numFmtId="0" fontId="59" fillId="19" borderId="0" xfId="0" applyFont="1" applyFill="1" applyAlignment="1">
      <alignment horizontal="center"/>
    </xf>
    <xf numFmtId="49" fontId="60" fillId="19" borderId="0" xfId="0" applyNumberFormat="1" applyFont="1" applyFill="1" applyAlignment="1">
      <alignment horizontal="center"/>
    </xf>
    <xf numFmtId="0" fontId="61" fillId="19" borderId="0" xfId="0" applyFont="1" applyFill="1" applyAlignment="1">
      <alignment horizontal="center"/>
    </xf>
    <xf numFmtId="49" fontId="5" fillId="19" borderId="0" xfId="0" applyNumberFormat="1" applyFont="1" applyFill="1" applyAlignment="1">
      <alignment horizontal="center"/>
    </xf>
    <xf numFmtId="49" fontId="5" fillId="19" borderId="0" xfId="0" applyNumberFormat="1" applyFont="1" applyFill="1" applyAlignment="1">
      <alignment horizontal="center" wrapText="1"/>
    </xf>
    <xf numFmtId="0" fontId="59" fillId="19" borderId="0" xfId="0" applyFont="1" applyFill="1" applyAlignment="1">
      <alignment horizontal="center" vertical="center"/>
    </xf>
    <xf numFmtId="49" fontId="61" fillId="19" borderId="0" xfId="0" applyNumberFormat="1" applyFont="1" applyFill="1" applyAlignment="1">
      <alignment horizontal="right"/>
    </xf>
    <xf numFmtId="0" fontId="62" fillId="19" borderId="0" xfId="0" applyFont="1" applyFill="1" applyAlignment="1">
      <alignment horizontal="center"/>
    </xf>
    <xf numFmtId="49" fontId="6" fillId="19" borderId="0" xfId="0" applyNumberFormat="1" applyFont="1" applyFill="1" applyAlignment="1">
      <alignment horizontal="center"/>
    </xf>
    <xf numFmtId="49" fontId="46" fillId="19" borderId="0" xfId="0" applyNumberFormat="1" applyFont="1" applyFill="1" applyAlignment="1">
      <alignment horizontal="center"/>
    </xf>
    <xf numFmtId="49" fontId="28" fillId="19" borderId="0" xfId="0" applyNumberFormat="1" applyFont="1" applyFill="1" applyAlignment="1">
      <alignment horizontal="center"/>
    </xf>
    <xf numFmtId="0" fontId="63" fillId="19" borderId="0" xfId="0" applyFont="1" applyFill="1" applyAlignment="1">
      <alignment horizontal="center" vertical="center"/>
    </xf>
    <xf numFmtId="0" fontId="64" fillId="19" borderId="0" xfId="0" applyFont="1" applyFill="1" applyAlignment="1">
      <alignment horizontal="center" vertical="center"/>
    </xf>
    <xf numFmtId="0" fontId="61" fillId="19" borderId="0" xfId="0" applyFont="1" applyFill="1"/>
    <xf numFmtId="49" fontId="65" fillId="19" borderId="0" xfId="0" applyNumberFormat="1" applyFont="1" applyFill="1" applyAlignment="1">
      <alignment horizontal="center"/>
    </xf>
    <xf numFmtId="49" fontId="66" fillId="19" borderId="0" xfId="0" applyNumberFormat="1" applyFont="1" applyFill="1" applyAlignment="1">
      <alignment horizontal="center"/>
    </xf>
    <xf numFmtId="49" fontId="55" fillId="19" borderId="0" xfId="0" applyNumberFormat="1" applyFont="1" applyFill="1" applyAlignment="1">
      <alignment horizontal="center"/>
    </xf>
    <xf numFmtId="49" fontId="67" fillId="19" borderId="0" xfId="0" applyNumberFormat="1" applyFont="1" applyFill="1" applyAlignment="1">
      <alignment horizontal="center" vertical="center"/>
    </xf>
    <xf numFmtId="0" fontId="5" fillId="19" borderId="0" xfId="0" applyFont="1" applyFill="1" applyAlignment="1">
      <alignment horizontal="center"/>
    </xf>
    <xf numFmtId="49" fontId="7" fillId="19" borderId="0" xfId="0" applyNumberFormat="1" applyFont="1" applyFill="1" applyAlignment="1">
      <alignment horizontal="center" vertical="center"/>
    </xf>
    <xf numFmtId="0" fontId="7" fillId="19" borderId="0" xfId="0" applyFont="1" applyFill="1" applyAlignment="1">
      <alignment horizontal="center"/>
    </xf>
    <xf numFmtId="0" fontId="28" fillId="19" borderId="0" xfId="0" applyFont="1" applyFill="1" applyAlignment="1">
      <alignment textRotation="255"/>
    </xf>
    <xf numFmtId="0" fontId="68" fillId="19" borderId="0" xfId="0" applyFont="1" applyFill="1" applyAlignment="1">
      <alignment horizontal="center" textRotation="255"/>
    </xf>
    <xf numFmtId="49" fontId="5" fillId="20" borderId="0" xfId="0" applyNumberFormat="1" applyFont="1" applyFill="1" applyAlignment="1">
      <alignment horizontal="center"/>
    </xf>
    <xf numFmtId="49" fontId="5" fillId="21" borderId="0" xfId="0" applyNumberFormat="1" applyFont="1" applyFill="1" applyAlignment="1">
      <alignment horizontal="center"/>
    </xf>
    <xf numFmtId="22" fontId="5" fillId="19" borderId="0" xfId="0" applyNumberFormat="1" applyFont="1" applyFill="1" applyAlignment="1">
      <alignment horizontal="center"/>
    </xf>
    <xf numFmtId="49" fontId="69" fillId="19" borderId="0" xfId="0" applyNumberFormat="1" applyFont="1" applyFill="1"/>
    <xf numFmtId="0" fontId="5" fillId="19" borderId="0" xfId="0" applyFont="1" applyFill="1" applyAlignment="1">
      <alignment textRotation="255"/>
    </xf>
    <xf numFmtId="0" fontId="15" fillId="0" borderId="2" xfId="4" applyFont="1" applyBorder="1" applyAlignment="1">
      <alignment horizontal="center" vertical="center"/>
    </xf>
    <xf numFmtId="14" fontId="15" fillId="0" borderId="2" xfId="4" applyNumberFormat="1" applyFont="1" applyBorder="1" applyAlignment="1">
      <alignment horizontal="center" vertical="center"/>
    </xf>
    <xf numFmtId="0" fontId="11" fillId="5" borderId="1" xfId="4" applyFont="1" applyFill="1" applyBorder="1" applyAlignment="1">
      <alignment horizontal="center" vertical="center"/>
    </xf>
    <xf numFmtId="0" fontId="11" fillId="5" borderId="4" xfId="4" applyFont="1" applyFill="1" applyBorder="1" applyAlignment="1">
      <alignment horizontal="center" vertical="center"/>
    </xf>
    <xf numFmtId="0" fontId="11" fillId="5" borderId="3" xfId="4" applyFont="1" applyFill="1" applyBorder="1" applyAlignment="1">
      <alignment horizontal="center" vertical="center"/>
    </xf>
    <xf numFmtId="0" fontId="16" fillId="0" borderId="1" xfId="4" applyFont="1" applyBorder="1" applyAlignment="1">
      <alignment horizontal="center" vertical="center"/>
    </xf>
    <xf numFmtId="0" fontId="16" fillId="0" borderId="3" xfId="4" applyFont="1" applyBorder="1" applyAlignment="1">
      <alignment horizontal="center" vertical="center"/>
    </xf>
    <xf numFmtId="0" fontId="14" fillId="0" borderId="1" xfId="4" applyFont="1" applyBorder="1" applyAlignment="1">
      <alignment horizontal="center" vertical="center"/>
    </xf>
    <xf numFmtId="0" fontId="14" fillId="0" borderId="4" xfId="4" applyFont="1" applyBorder="1" applyAlignment="1">
      <alignment horizontal="center" vertical="center"/>
    </xf>
    <xf numFmtId="0" fontId="14" fillId="0" borderId="3" xfId="4" applyFont="1" applyBorder="1" applyAlignment="1">
      <alignment horizontal="center" vertical="center"/>
    </xf>
    <xf numFmtId="0" fontId="13" fillId="0" borderId="1" xfId="4" applyFont="1" applyBorder="1" applyAlignment="1">
      <alignment horizontal="center" vertical="center"/>
    </xf>
    <xf numFmtId="0" fontId="13" fillId="0" borderId="4" xfId="4" applyFont="1" applyBorder="1" applyAlignment="1">
      <alignment horizontal="center" vertical="center"/>
    </xf>
    <xf numFmtId="0" fontId="13" fillId="0" borderId="3" xfId="4" applyFont="1" applyBorder="1" applyAlignment="1">
      <alignment horizontal="center" vertical="center"/>
    </xf>
    <xf numFmtId="0" fontId="14" fillId="0" borderId="2" xfId="4" applyFont="1" applyBorder="1" applyAlignment="1">
      <alignment horizontal="center" vertical="center"/>
    </xf>
    <xf numFmtId="0" fontId="25" fillId="0" borderId="2" xfId="4" applyFont="1" applyBorder="1" applyAlignment="1">
      <alignment horizontal="center" vertical="center"/>
    </xf>
    <xf numFmtId="0" fontId="5" fillId="6" borderId="7" xfId="0" applyFont="1" applyFill="1" applyBorder="1" applyAlignment="1">
      <alignment horizontal="center" vertical="center" wrapText="1"/>
    </xf>
    <xf numFmtId="0" fontId="5" fillId="0" borderId="7" xfId="0" applyFont="1" applyBorder="1" applyAlignment="1">
      <alignment horizontal="center" vertical="center" wrapText="1"/>
    </xf>
    <xf numFmtId="9" fontId="5" fillId="2" borderId="7" xfId="0" applyNumberFormat="1" applyFont="1" applyFill="1" applyBorder="1" applyAlignment="1">
      <alignment horizontal="center" vertical="center" wrapText="1"/>
    </xf>
    <xf numFmtId="49" fontId="54" fillId="19" borderId="0" xfId="0" applyNumberFormat="1" applyFont="1" applyFill="1" applyAlignment="1">
      <alignment horizontal="left" vertical="center"/>
    </xf>
    <xf numFmtId="0" fontId="7" fillId="19" borderId="0" xfId="0" applyFont="1" applyFill="1" applyAlignment="1">
      <alignment horizontal="right"/>
    </xf>
    <xf numFmtId="0" fontId="51" fillId="11" borderId="25" xfId="10" applyFont="1" applyFill="1" applyBorder="1" applyAlignment="1">
      <alignment horizontal="left"/>
    </xf>
    <xf numFmtId="49" fontId="67" fillId="19" borderId="0" xfId="0" applyNumberFormat="1" applyFont="1" applyFill="1" applyAlignment="1">
      <alignment horizontal="left" vertical="center"/>
    </xf>
    <xf numFmtId="0" fontId="70" fillId="19" borderId="0" xfId="0" applyFont="1" applyFill="1" applyAlignment="1">
      <alignment horizontal="left"/>
    </xf>
    <xf numFmtId="0" fontId="71" fillId="19" borderId="0" xfId="0" applyFont="1" applyFill="1" applyAlignment="1">
      <alignment horizontal="left"/>
    </xf>
    <xf numFmtId="0" fontId="32" fillId="8" borderId="12" xfId="10" applyFont="1" applyFill="1" applyBorder="1" applyAlignment="1">
      <alignment horizontal="left"/>
    </xf>
    <xf numFmtId="0" fontId="32" fillId="8" borderId="13" xfId="10" applyFont="1" applyFill="1" applyBorder="1" applyAlignment="1">
      <alignment horizontal="center" vertical="center"/>
    </xf>
    <xf numFmtId="0" fontId="32" fillId="8" borderId="16" xfId="10" applyFont="1" applyFill="1" applyBorder="1" applyAlignment="1">
      <alignment horizontal="center" vertical="center"/>
    </xf>
    <xf numFmtId="0" fontId="36" fillId="11" borderId="17" xfId="0" applyFont="1" applyFill="1" applyBorder="1" applyAlignment="1">
      <alignment horizontal="center" vertical="center"/>
    </xf>
    <xf numFmtId="0" fontId="36" fillId="11" borderId="18" xfId="0" applyFont="1" applyFill="1" applyBorder="1" applyAlignment="1">
      <alignment horizontal="center" vertical="center"/>
    </xf>
    <xf numFmtId="0" fontId="37" fillId="11" borderId="18" xfId="0" applyFont="1" applyFill="1" applyBorder="1" applyAlignment="1">
      <alignment horizontal="left" vertical="center"/>
    </xf>
    <xf numFmtId="0" fontId="37" fillId="11" borderId="19" xfId="0" applyFont="1" applyFill="1" applyBorder="1" applyAlignment="1">
      <alignment horizontal="left" vertical="center"/>
    </xf>
    <xf numFmtId="49" fontId="54" fillId="18" borderId="43" xfId="0" applyNumberFormat="1" applyFont="1" applyFill="1" applyBorder="1" applyAlignment="1">
      <alignment horizontal="left" vertical="center"/>
    </xf>
    <xf numFmtId="49" fontId="54" fillId="18" borderId="27" xfId="0" applyNumberFormat="1" applyFont="1" applyFill="1" applyBorder="1" applyAlignment="1">
      <alignment horizontal="left" vertical="center"/>
    </xf>
    <xf numFmtId="49" fontId="54" fillId="18" borderId="28" xfId="0" applyNumberFormat="1" applyFont="1" applyFill="1" applyBorder="1" applyAlignment="1">
      <alignment horizontal="left" vertical="center"/>
    </xf>
    <xf numFmtId="0" fontId="34" fillId="10" borderId="61" xfId="10" applyFont="1" applyFill="1" applyBorder="1" applyAlignment="1">
      <alignment horizontal="left" vertical="center"/>
    </xf>
    <xf numFmtId="0" fontId="34" fillId="10" borderId="14" xfId="10" applyFont="1" applyFill="1" applyBorder="1" applyAlignment="1">
      <alignment horizontal="left" vertical="center"/>
    </xf>
    <xf numFmtId="49" fontId="54" fillId="18" borderId="67" xfId="0" applyNumberFormat="1" applyFont="1" applyFill="1" applyBorder="1" applyAlignment="1">
      <alignment horizontal="left" vertical="center"/>
    </xf>
    <xf numFmtId="49" fontId="54" fillId="18" borderId="68" xfId="0" applyNumberFormat="1" applyFont="1" applyFill="1" applyBorder="1" applyAlignment="1">
      <alignment horizontal="left" vertical="center"/>
    </xf>
    <xf numFmtId="0" fontId="28" fillId="0" borderId="68" xfId="0" applyFont="1" applyBorder="1" applyAlignment="1">
      <alignment horizontal="left" vertical="center"/>
    </xf>
    <xf numFmtId="0" fontId="28" fillId="0" borderId="69" xfId="0" applyFont="1" applyBorder="1" applyAlignment="1">
      <alignment horizontal="left" vertical="center"/>
    </xf>
    <xf numFmtId="0" fontId="104" fillId="0" borderId="7" xfId="4" applyFont="1" applyBorder="1" applyAlignment="1">
      <alignment horizontal="center" vertical="center"/>
    </xf>
    <xf numFmtId="0" fontId="15" fillId="0" borderId="7" xfId="4" applyFont="1" applyBorder="1" applyAlignment="1">
      <alignment horizontal="center" vertical="center"/>
    </xf>
    <xf numFmtId="14" fontId="15" fillId="0" borderId="7" xfId="4" applyNumberFormat="1" applyFont="1" applyBorder="1" applyAlignment="1">
      <alignment horizontal="center" vertical="center"/>
    </xf>
    <xf numFmtId="14" fontId="18" fillId="0" borderId="7" xfId="6" applyNumberFormat="1" applyFont="1" applyBorder="1" applyAlignment="1">
      <alignment horizontal="center" vertical="center"/>
    </xf>
    <xf numFmtId="0" fontId="105" fillId="0" borderId="7" xfId="6" applyFont="1" applyBorder="1" applyAlignment="1">
      <alignment horizontal="center" vertical="center"/>
    </xf>
    <xf numFmtId="14" fontId="18" fillId="0" borderId="7" xfId="6" applyNumberFormat="1" applyFont="1" applyBorder="1" applyAlignment="1">
      <alignment horizontal="left" vertical="center"/>
    </xf>
    <xf numFmtId="0" fontId="18" fillId="0" borderId="7" xfId="6" applyFont="1" applyBorder="1"/>
    <xf numFmtId="0" fontId="106" fillId="0" borderId="7" xfId="0" applyFont="1" applyBorder="1" applyAlignment="1">
      <alignment horizontal="left" vertical="center" wrapText="1"/>
    </xf>
    <xf numFmtId="0" fontId="103" fillId="0" borderId="0" xfId="0" applyFont="1" applyAlignment="1">
      <alignment vertical="center"/>
    </xf>
    <xf numFmtId="0" fontId="108" fillId="0" borderId="0" xfId="0" applyFont="1" applyAlignment="1">
      <alignment horizontal="center" vertical="center"/>
    </xf>
  </cellXfs>
  <cellStyles count="13">
    <cellStyle name="ハイパーリンク 2" xfId="8" xr:uid="{D149D991-5776-4CD5-AAF4-AEFD62EAA993}"/>
    <cellStyle name="百分比" xfId="7" builtinId="5"/>
    <cellStyle name="标题" xfId="1" builtinId="15" hidden="1"/>
    <cellStyle name="标题 1" xfId="2" builtinId="16" hidden="1"/>
    <cellStyle name="標準 12" xfId="4" xr:uid="{2BAF3A1B-EF41-4FCB-8C53-3F485AF21B48}"/>
    <cellStyle name="標準 2" xfId="5" xr:uid="{013EF616-11C4-47C2-968D-263E3B0DFBF8}"/>
    <cellStyle name="標準 2 2" xfId="6" xr:uid="{92D69C64-EA5E-472F-9369-EA5A714066A4}"/>
    <cellStyle name="標準_com_calendar" xfId="3" xr:uid="{3F5F8C79-3F40-4195-AB61-8D095C796329}"/>
    <cellStyle name="標準_mrp_fix_period" xfId="12" xr:uid="{E8F57283-443D-42AE-9AE8-FC2F185791B9}"/>
    <cellStyle name="標準_mrp_fix_period(2)" xfId="11" xr:uid="{1CA99342-9E73-43FE-92D7-26246966F153}"/>
    <cellStyle name="標準_ＴＣＮ（4GL）" xfId="10" xr:uid="{7A903D5D-6F86-4287-BF2A-56AC763BC78C}"/>
    <cellStyle name="常规" xfId="0" builtinId="0"/>
    <cellStyle name="超链接" xfId="9" builtinId="8"/>
  </cellStyles>
  <dxfs count="5">
    <dxf>
      <fill>
        <patternFill>
          <bgColor indexed="10"/>
        </patternFill>
      </fill>
    </dxf>
    <dxf>
      <fill>
        <patternFill>
          <bgColor indexed="10"/>
        </patternFill>
      </fill>
    </dxf>
    <dxf>
      <fill>
        <patternFill>
          <bgColor indexed="10"/>
        </patternFill>
      </fill>
    </dxf>
    <dxf>
      <fill>
        <patternFill>
          <fgColor theme="0" tint="-0.34998626667073579"/>
          <bgColor theme="0" tint="-0.34998626667073579"/>
        </patternFill>
      </fill>
    </dxf>
    <dxf>
      <fill>
        <patternFill>
          <fgColor theme="0" tint="-0.34998626667073579"/>
          <bgColor theme="0" tint="-0.3499862666707357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99"/>
      <rgbColor rgb="00FF00FF"/>
      <rgbColor rgb="0000FFFF"/>
      <rgbColor rgb="00800000"/>
      <rgbColor rgb="00008000"/>
      <rgbColor rgb="00000080"/>
      <rgbColor rgb="00808000"/>
      <rgbColor rgb="00800080"/>
      <rgbColor rgb="00008080"/>
      <rgbColor rgb="00C0C0C0"/>
      <rgbColor rgb="00808080"/>
      <rgbColor rgb="009999FF"/>
      <rgbColor rgb="00993366"/>
      <rgbColor rgb="00FFFFE7"/>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DD"/>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5F5F5F"/>
      <rgbColor rgb="00993300"/>
      <rgbColor rgb="00993366"/>
      <rgbColor rgb="00333399"/>
      <rgbColor rgb="00333333"/>
    </indexedColors>
    <mruColors>
      <color rgb="FFCCFFCC"/>
      <color rgb="FFCCFF99"/>
      <color rgb="FF99FF99"/>
      <color rgb="FF0000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externalLink" Target="externalLinks/externalLink7.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5.pn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emf"/><Relationship Id="rId18" Type="http://schemas.openxmlformats.org/officeDocument/2006/relationships/image" Target="../media/image33.emf"/><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emf"/><Relationship Id="rId17" Type="http://schemas.openxmlformats.org/officeDocument/2006/relationships/image" Target="../media/image32.emf"/><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emf"/><Relationship Id="rId20" Type="http://schemas.openxmlformats.org/officeDocument/2006/relationships/image" Target="../media/image35.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emf"/><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emf"/><Relationship Id="rId23" Type="http://schemas.openxmlformats.org/officeDocument/2006/relationships/image" Target="../media/image38.png"/><Relationship Id="rId10" Type="http://schemas.openxmlformats.org/officeDocument/2006/relationships/image" Target="../media/image25.emf"/><Relationship Id="rId19" Type="http://schemas.openxmlformats.org/officeDocument/2006/relationships/image" Target="../media/image34.emf"/><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emf"/><Relationship Id="rId22" Type="http://schemas.openxmlformats.org/officeDocument/2006/relationships/image" Target="../media/image37.png"/><Relationship Id="rId27" Type="http://schemas.openxmlformats.org/officeDocument/2006/relationships/image" Target="../media/image42.png"/></Relationships>
</file>

<file path=xl/drawings/_rels/drawing6.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1.png"/><Relationship Id="rId1" Type="http://schemas.openxmlformats.org/officeDocument/2006/relationships/image" Target="../media/image15.png"/><Relationship Id="rId4" Type="http://schemas.openxmlformats.org/officeDocument/2006/relationships/image" Target="../media/image4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2.png"/><Relationship Id="rId1" Type="http://schemas.openxmlformats.org/officeDocument/2006/relationships/image" Target="../media/image15.png"/><Relationship Id="rId4"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45.png"/><Relationship Id="rId1"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xdr:from>
      <xdr:col>0</xdr:col>
      <xdr:colOff>23812</xdr:colOff>
      <xdr:row>6</xdr:row>
      <xdr:rowOff>105227</xdr:rowOff>
    </xdr:from>
    <xdr:to>
      <xdr:col>9</xdr:col>
      <xdr:colOff>590550</xdr:colOff>
      <xdr:row>9</xdr:row>
      <xdr:rowOff>63500</xdr:rowOff>
    </xdr:to>
    <xdr:sp macro="" textlink="" fLocksText="0">
      <xdr:nvSpPr>
        <xdr:cNvPr id="2" name="Rectangle 1">
          <a:extLst>
            <a:ext uri="{FF2B5EF4-FFF2-40B4-BE49-F238E27FC236}">
              <a16:creationId xmlns:a16="http://schemas.microsoft.com/office/drawing/2014/main" id="{340824CD-C5C0-4A4C-9FD9-C55F36393FA1}"/>
            </a:ext>
          </a:extLst>
        </xdr:cNvPr>
        <xdr:cNvSpPr>
          <a:spLocks noChangeArrowheads="1"/>
        </xdr:cNvSpPr>
      </xdr:nvSpPr>
      <xdr:spPr bwMode="auto">
        <a:xfrm>
          <a:off x="23812" y="1305377"/>
          <a:ext cx="5710238" cy="558348"/>
        </a:xfrm>
        <a:prstGeom prst="rect">
          <a:avLst/>
        </a:prstGeom>
        <a:solidFill>
          <a:srgbClr val="FFFFFF">
            <a:alpha val="7999"/>
          </a:srgbClr>
        </a:solidFill>
        <a:ln w="9525">
          <a:noFill/>
          <a:round/>
          <a:headEnd/>
          <a:tailEnd/>
        </a:ln>
        <a:effectLst/>
      </xdr:spPr>
      <xdr:txBody>
        <a:bodyPr vertOverflow="clip" wrap="square" lIns="20160" tIns="20160" rIns="20160" bIns="20160" anchor="t" upright="1"/>
        <a:lstStyle/>
        <a:p>
          <a:pPr algn="ctr" rtl="0">
            <a:defRPr sz="1000"/>
          </a:pPr>
          <a:r>
            <a:rPr lang="en-US" altLang="ja-JP" sz="2800" b="1" i="0" u="none" strike="noStrike" baseline="0">
              <a:solidFill>
                <a:srgbClr val="0070C0"/>
              </a:solidFill>
              <a:latin typeface="Meiryo UI" panose="020B0604030504040204" pitchFamily="50" charset="-128"/>
              <a:ea typeface="Meiryo UI" panose="020B0604030504040204" pitchFamily="50" charset="-128"/>
              <a:cs typeface="Arial" panose="020B0604020202020204" pitchFamily="34" charset="0"/>
            </a:rPr>
            <a:t>TCS(PLpgSQL)</a:t>
          </a:r>
        </a:p>
      </xdr:txBody>
    </xdr:sp>
    <xdr:clientData/>
  </xdr:twoCellAnchor>
  <xdr:twoCellAnchor>
    <xdr:from>
      <xdr:col>3</xdr:col>
      <xdr:colOff>60960</xdr:colOff>
      <xdr:row>17</xdr:row>
      <xdr:rowOff>49213</xdr:rowOff>
    </xdr:from>
    <xdr:to>
      <xdr:col>3</xdr:col>
      <xdr:colOff>198120</xdr:colOff>
      <xdr:row>17</xdr:row>
      <xdr:rowOff>171133</xdr:rowOff>
    </xdr:to>
    <xdr:sp macro="" textlink="">
      <xdr:nvSpPr>
        <xdr:cNvPr id="3" name="正方形/長方形 2">
          <a:extLst>
            <a:ext uri="{FF2B5EF4-FFF2-40B4-BE49-F238E27FC236}">
              <a16:creationId xmlns:a16="http://schemas.microsoft.com/office/drawing/2014/main" id="{0A4B78B9-999B-48C1-BBEE-EB557A01D44B}"/>
            </a:ext>
          </a:extLst>
        </xdr:cNvPr>
        <xdr:cNvSpPr/>
      </xdr:nvSpPr>
      <xdr:spPr>
        <a:xfrm>
          <a:off x="1518285" y="3449638"/>
          <a:ext cx="137160" cy="121920"/>
        </a:xfrm>
        <a:prstGeom prst="rect">
          <a:avLst/>
        </a:prstGeom>
        <a:solidFill>
          <a:srgbClr val="1D4D77"/>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80000" tIns="0" rIns="0" bIns="0" rtlCol="0" anchor="ctr" anchorCtr="0"/>
        <a:lstStyle/>
        <a:p>
          <a:pPr algn="l"/>
          <a:r>
            <a:rPr kumimoji="1" lang="en-US" altLang="ja-JP" sz="700">
              <a:solidFill>
                <a:sysClr val="windowText" lastClr="000000"/>
              </a:solidFill>
              <a:latin typeface="Meiryo UI" panose="020B0604030504040204" pitchFamily="50" charset="-128"/>
              <a:ea typeface="Meiryo UI" panose="020B0604030504040204" pitchFamily="50" charset="-128"/>
            </a:rPr>
            <a:t>Global</a:t>
          </a:r>
          <a:endParaRPr kumimoji="1" lang="ja-JP" altLang="en-US"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xdr:col>
      <xdr:colOff>599122</xdr:colOff>
      <xdr:row>17</xdr:row>
      <xdr:rowOff>45720</xdr:rowOff>
    </xdr:from>
    <xdr:to>
      <xdr:col>3</xdr:col>
      <xdr:colOff>730250</xdr:colOff>
      <xdr:row>17</xdr:row>
      <xdr:rowOff>174626</xdr:rowOff>
    </xdr:to>
    <xdr:sp macro="" textlink="">
      <xdr:nvSpPr>
        <xdr:cNvPr id="4" name="正方形/長方形 3">
          <a:extLst>
            <a:ext uri="{FF2B5EF4-FFF2-40B4-BE49-F238E27FC236}">
              <a16:creationId xmlns:a16="http://schemas.microsoft.com/office/drawing/2014/main" id="{8177F76B-C214-4A45-B42D-1109CCD78704}"/>
            </a:ext>
          </a:extLst>
        </xdr:cNvPr>
        <xdr:cNvSpPr/>
      </xdr:nvSpPr>
      <xdr:spPr>
        <a:xfrm>
          <a:off x="2056447" y="3446145"/>
          <a:ext cx="112078" cy="128906"/>
        </a:xfrm>
        <a:prstGeom prst="rect">
          <a:avLst/>
        </a:prstGeom>
        <a:solidFill>
          <a:sysClr val="window" lastClr="FFFFFF"/>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80000" tIns="0" rIns="0" bIns="0" rtlCol="0" anchor="ctr" anchorCtr="0"/>
        <a:lstStyle/>
        <a:p>
          <a:pPr algn="l"/>
          <a:r>
            <a:rPr kumimoji="1" lang="en-US" altLang="ja-JP" sz="700">
              <a:solidFill>
                <a:sysClr val="windowText" lastClr="000000"/>
              </a:solidFill>
              <a:latin typeface="Meiryo UI" panose="020B0604030504040204" pitchFamily="50" charset="-128"/>
              <a:ea typeface="Meiryo UI" panose="020B0604030504040204" pitchFamily="50" charset="-128"/>
            </a:rPr>
            <a:t>Local [ *Region Name ]</a:t>
          </a:r>
          <a:endParaRPr kumimoji="1" lang="ja-JP" altLang="en-US"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95250</xdr:colOff>
      <xdr:row>9</xdr:row>
      <xdr:rowOff>0</xdr:rowOff>
    </xdr:from>
    <xdr:to>
      <xdr:col>9</xdr:col>
      <xdr:colOff>2295525</xdr:colOff>
      <xdr:row>9</xdr:row>
      <xdr:rowOff>0</xdr:rowOff>
    </xdr:to>
    <xdr:sp macro="" textlink="">
      <xdr:nvSpPr>
        <xdr:cNvPr id="2" name="Rectangle 1">
          <a:extLst>
            <a:ext uri="{FF2B5EF4-FFF2-40B4-BE49-F238E27FC236}">
              <a16:creationId xmlns:a16="http://schemas.microsoft.com/office/drawing/2014/main" id="{0DFEA2E9-20EA-4EE8-A912-2870FB5EFC53}"/>
            </a:ext>
          </a:extLst>
        </xdr:cNvPr>
        <xdr:cNvSpPr>
          <a:spLocks noChangeArrowheads="1"/>
        </xdr:cNvSpPr>
      </xdr:nvSpPr>
      <xdr:spPr bwMode="auto">
        <a:xfrm>
          <a:off x="333375" y="1704975"/>
          <a:ext cx="6524625" cy="0"/>
        </a:xfrm>
        <a:prstGeom prst="rect">
          <a:avLst/>
        </a:prstGeom>
        <a:noFill/>
        <a:ln w="9525">
          <a:solidFill>
            <a:srgbClr xmlns:mc="http://schemas.openxmlformats.org/markup-compatibility/2006" xmlns:a14="http://schemas.microsoft.com/office/drawing/2010/main" val="969696" mc:Ignorable="a14" a14:legacySpreadsheetColorIndex="55"/>
          </a:solidFill>
          <a:miter lim="800000"/>
          <a:headEnd/>
          <a:tailEnd/>
        </a:ln>
        <a:extLst>
          <a:ext uri="{909E8E84-426E-40DD-AFC4-6F175D3DCCD1}">
            <a14:hiddenFill xmlns:a14="http://schemas.microsoft.com/office/drawing/2010/main">
              <a:solidFill>
                <a:srgbClr xmlns:mc="http://schemas.openxmlformats.org/markup-compatibility/2006" val="FFFFDD" mc:Ignorable="a14" a14:legacySpreadsheetColorIndex="43"/>
              </a:solidFill>
            </a14:hiddenFill>
          </a:ext>
        </a:extLst>
      </xdr:spPr>
      <xdr:txBody>
        <a:bodyPr vertOverflow="clip" wrap="square" lIns="27432" tIns="18288" rIns="0" bIns="0" anchor="t" upright="1"/>
        <a:lstStyle/>
        <a:p>
          <a:pPr algn="l" rtl="0">
            <a:defRPr sz="1000"/>
          </a:pPr>
          <a:endParaRPr lang="ja-JP" altLang="en-US" sz="900" b="0" i="0" u="none" strike="noStrike" baseline="0">
            <a:solidFill>
              <a:srgbClr val="808080"/>
            </a:solidFill>
            <a:latin typeface="ＭＳ ゴシック"/>
            <a:ea typeface="ＭＳ ゴシック"/>
          </a:endParaRPr>
        </a:p>
        <a:p>
          <a:pPr algn="l" rtl="0">
            <a:defRPr sz="1000"/>
          </a:pPr>
          <a:r>
            <a:rPr lang="ja-JP" altLang="en-US" sz="900" b="0" i="0" u="none" strike="noStrike" baseline="0">
              <a:solidFill>
                <a:srgbClr val="808080"/>
              </a:solidFill>
              <a:latin typeface="ＭＳ ゴシック"/>
              <a:ea typeface="ＭＳ ゴシック"/>
            </a:rPr>
            <a:t>--- &lt;&lt;&lt; LG44LT020.4GL &gt;&gt;&gt; --------- ( Start Time : 2006-08-29 14:23:20 ) --- </a:t>
          </a:r>
        </a:p>
        <a:p>
          <a:pPr algn="l" rtl="0">
            <a:defRPr sz="1000"/>
          </a:pPr>
          <a:endParaRPr lang="ja-JP" altLang="en-US" sz="900" b="0" i="0" u="none" strike="noStrike" baseline="0">
            <a:solidFill>
              <a:srgbClr val="808080"/>
            </a:solidFill>
            <a:latin typeface="ＭＳ ゴシック"/>
            <a:ea typeface="ＭＳ ゴシック"/>
          </a:endParaRPr>
        </a:p>
        <a:p>
          <a:pPr algn="l" rtl="0">
            <a:defRPr sz="1000"/>
          </a:pPr>
          <a:r>
            <a:rPr lang="ja-JP" altLang="en-US" sz="900" b="0" i="0" u="none" strike="noStrike" baseline="0">
              <a:solidFill>
                <a:srgbClr val="808080"/>
              </a:solidFill>
              <a:latin typeface="ＭＳ ゴシック"/>
              <a:ea typeface="ＭＳ ゴシック"/>
            </a:rPr>
            <a:t>        [cc3_acum_cost]   Delete Count =           2</a:t>
          </a:r>
        </a:p>
        <a:p>
          <a:pPr algn="l" rtl="0">
            <a:defRPr sz="1000"/>
          </a:pPr>
          <a:r>
            <a:rPr lang="ja-JP" altLang="en-US" sz="900" b="0" i="0" u="none" strike="noStrike" baseline="0">
              <a:solidFill>
                <a:srgbClr val="808080"/>
              </a:solidFill>
              <a:latin typeface="ＭＳ ゴシック"/>
              <a:ea typeface="ＭＳ ゴシック"/>
            </a:rPr>
            <a:t>        [cc_acum_cost_dt] Select Count =           3</a:t>
          </a:r>
        </a:p>
        <a:p>
          <a:pPr algn="l" rtl="0">
            <a:defRPr sz="1000"/>
          </a:pPr>
          <a:r>
            <a:rPr lang="ja-JP" altLang="en-US" sz="900" b="0" i="0" u="none" strike="noStrike" baseline="0">
              <a:solidFill>
                <a:srgbClr val="808080"/>
              </a:solidFill>
              <a:latin typeface="ＭＳ ゴシック"/>
              <a:ea typeface="ＭＳ ゴシック"/>
            </a:rPr>
            <a:t>        [cc3_acum_cost]   Insert Count =           3</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LG44LT020.4GL &gt;&gt;&gt; --------- ( End   Time : 2006-08-29 14:23:21 ) --- ( Exec :   0:00:00.687 SEC ) --- </a:t>
          </a:r>
        </a:p>
        <a:p>
          <a:pPr algn="l" rtl="0">
            <a:defRPr sz="1000"/>
          </a:pPr>
          <a:endParaRPr lang="ja-JP" altLang="en-US" sz="900" b="0" i="0" u="none" strike="noStrike" baseline="0">
            <a:solidFill>
              <a:srgbClr val="808080"/>
            </a:solidFill>
            <a:latin typeface="ＭＳ ゴシック"/>
            <a:ea typeface="ＭＳ ゴシック"/>
          </a:endParaRPr>
        </a:p>
        <a:p>
          <a:pPr algn="l" rtl="0">
            <a:defRPr sz="1000"/>
          </a:pPr>
          <a:endParaRPr lang="ja-JP" altLang="en-US" sz="900" b="0" i="0" u="none" strike="noStrike" baseline="0">
            <a:solidFill>
              <a:srgbClr val="808080"/>
            </a:solidFill>
            <a:latin typeface="ＭＳ ゴシック"/>
            <a:ea typeface="ＭＳ ゴシック"/>
          </a:endParaRPr>
        </a:p>
      </xdr:txBody>
    </xdr:sp>
    <xdr:clientData/>
  </xdr:twoCellAnchor>
  <xdr:twoCellAnchor>
    <xdr:from>
      <xdr:col>7</xdr:col>
      <xdr:colOff>561975</xdr:colOff>
      <xdr:row>53</xdr:row>
      <xdr:rowOff>0</xdr:rowOff>
    </xdr:from>
    <xdr:to>
      <xdr:col>10</xdr:col>
      <xdr:colOff>314325</xdr:colOff>
      <xdr:row>53</xdr:row>
      <xdr:rowOff>0</xdr:rowOff>
    </xdr:to>
    <xdr:sp macro="" textlink="">
      <xdr:nvSpPr>
        <xdr:cNvPr id="3" name="Rectangle 2">
          <a:extLst>
            <a:ext uri="{FF2B5EF4-FFF2-40B4-BE49-F238E27FC236}">
              <a16:creationId xmlns:a16="http://schemas.microsoft.com/office/drawing/2014/main" id="{03C55690-F462-4971-8031-962E7BD1B149}"/>
            </a:ext>
          </a:extLst>
        </xdr:cNvPr>
        <xdr:cNvSpPr>
          <a:spLocks noChangeArrowheads="1"/>
        </xdr:cNvSpPr>
      </xdr:nvSpPr>
      <xdr:spPr bwMode="auto">
        <a:xfrm>
          <a:off x="5057775" y="12020550"/>
          <a:ext cx="2114550" cy="0"/>
        </a:xfrm>
        <a:prstGeom prst="rect">
          <a:avLst/>
        </a:prstGeom>
        <a:solidFill>
          <a:srgbClr xmlns:mc="http://schemas.openxmlformats.org/markup-compatibility/2006" xmlns:a14="http://schemas.microsoft.com/office/drawing/2010/main" val="CCFFCC" mc:Ignorable="a14" a14:legacySpreadsheetColorIndex="42"/>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where　 a．serial_no  = b．serial_no</a:t>
          </a:r>
        </a:p>
        <a:p>
          <a:pPr algn="l" rtl="0">
            <a:defRPr sz="1000"/>
          </a:pPr>
          <a:r>
            <a:rPr lang="ja-JP" altLang="en-US" sz="1100" b="0" i="0" u="none" strike="noStrike" baseline="0">
              <a:solidFill>
                <a:srgbClr val="000000"/>
              </a:solidFill>
              <a:latin typeface="ＭＳ Ｐゴシック"/>
              <a:ea typeface="ＭＳ Ｐゴシック"/>
            </a:rPr>
            <a:t>      　and　 a．data_seq  = l_data_seq　（4-1取得）</a:t>
          </a:r>
        </a:p>
        <a:p>
          <a:pPr algn="l" rtl="0">
            <a:defRPr sz="1000"/>
          </a:pPr>
          <a:r>
            <a:rPr lang="ja-JP" altLang="en-US" sz="1100" b="0" i="0" u="none" strike="noStrike" baseline="0">
              <a:solidFill>
                <a:srgbClr val="000000"/>
              </a:solidFill>
              <a:latin typeface="ＭＳ Ｐゴシック"/>
              <a:ea typeface="ＭＳ Ｐゴシック"/>
            </a:rPr>
            <a:t> 　　   and　 b．y_itemno  = r_y_itemno　（4-1取得）</a:t>
          </a:r>
        </a:p>
        <a:p>
          <a:pPr algn="l" rtl="0">
            <a:defRPr sz="1000"/>
          </a:pPr>
          <a:r>
            <a:rPr lang="ja-JP" altLang="en-US" sz="1100" b="0" i="0" u="none" strike="noStrike" baseline="0">
              <a:solidFill>
                <a:srgbClr val="000000"/>
              </a:solidFill>
              <a:latin typeface="ＭＳ Ｐゴシック"/>
              <a:ea typeface="ＭＳ Ｐゴシック"/>
            </a:rPr>
            <a:t>  order by　 b．transfer_date</a:t>
          </a:r>
        </a:p>
      </xdr:txBody>
    </xdr:sp>
    <xdr:clientData/>
  </xdr:twoCellAnchor>
  <xdr:twoCellAnchor>
    <xdr:from>
      <xdr:col>8</xdr:col>
      <xdr:colOff>409575</xdr:colOff>
      <xdr:row>53</xdr:row>
      <xdr:rowOff>0</xdr:rowOff>
    </xdr:from>
    <xdr:to>
      <xdr:col>8</xdr:col>
      <xdr:colOff>800100</xdr:colOff>
      <xdr:row>53</xdr:row>
      <xdr:rowOff>0</xdr:rowOff>
    </xdr:to>
    <xdr:sp macro="" textlink="">
      <xdr:nvSpPr>
        <xdr:cNvPr id="4" name="AutoShape 3">
          <a:extLst>
            <a:ext uri="{FF2B5EF4-FFF2-40B4-BE49-F238E27FC236}">
              <a16:creationId xmlns:a16="http://schemas.microsoft.com/office/drawing/2014/main" id="{E1AA35A4-496C-4602-95EB-7A83A3F21E93}"/>
            </a:ext>
          </a:extLst>
        </xdr:cNvPr>
        <xdr:cNvSpPr>
          <a:spLocks noChangeArrowheads="1"/>
        </xdr:cNvSpPr>
      </xdr:nvSpPr>
      <xdr:spPr bwMode="auto">
        <a:xfrm>
          <a:off x="5619750" y="12020550"/>
          <a:ext cx="390525"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12</xdr:col>
      <xdr:colOff>495300</xdr:colOff>
      <xdr:row>36</xdr:row>
      <xdr:rowOff>0</xdr:rowOff>
    </xdr:from>
    <xdr:to>
      <xdr:col>14</xdr:col>
      <xdr:colOff>361950</xdr:colOff>
      <xdr:row>36</xdr:row>
      <xdr:rowOff>0</xdr:rowOff>
    </xdr:to>
    <xdr:sp macro="" textlink="">
      <xdr:nvSpPr>
        <xdr:cNvPr id="5" name="AutoShape 4">
          <a:extLst>
            <a:ext uri="{FF2B5EF4-FFF2-40B4-BE49-F238E27FC236}">
              <a16:creationId xmlns:a16="http://schemas.microsoft.com/office/drawing/2014/main" id="{16F71A46-2655-42FA-9E41-11E7CE4F2F26}"/>
            </a:ext>
          </a:extLst>
        </xdr:cNvPr>
        <xdr:cNvSpPr>
          <a:spLocks noChangeArrowheads="1"/>
        </xdr:cNvSpPr>
      </xdr:nvSpPr>
      <xdr:spPr bwMode="auto">
        <a:xfrm>
          <a:off x="8782050" y="7515225"/>
          <a:ext cx="1238250" cy="0"/>
        </a:xfrm>
        <a:prstGeom prst="wedgeRectCallout">
          <a:avLst>
            <a:gd name="adj1" fmla="val -20000"/>
            <a:gd name="adj2" fmla="val -150000"/>
          </a:avLst>
        </a:prstGeom>
        <a:solidFill>
          <a:srgbClr xmlns:mc="http://schemas.openxmlformats.org/markup-compatibility/2006" xmlns:a14="http://schemas.microsoft.com/office/drawing/2010/main" val="99CCFF" mc:Ignorable="a14" a14:legacySpreadsheetColorIndex="44"/>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引数：200409で実行</a:t>
          </a:r>
        </a:p>
      </xdr:txBody>
    </xdr:sp>
    <xdr:clientData/>
  </xdr:twoCellAnchor>
  <xdr:twoCellAnchor>
    <xdr:from>
      <xdr:col>10</xdr:col>
      <xdr:colOff>628650</xdr:colOff>
      <xdr:row>53</xdr:row>
      <xdr:rowOff>0</xdr:rowOff>
    </xdr:from>
    <xdr:to>
      <xdr:col>10</xdr:col>
      <xdr:colOff>742950</xdr:colOff>
      <xdr:row>53</xdr:row>
      <xdr:rowOff>0</xdr:rowOff>
    </xdr:to>
    <xdr:sp macro="" textlink="">
      <xdr:nvSpPr>
        <xdr:cNvPr id="6" name="AutoShape 5">
          <a:extLst>
            <a:ext uri="{FF2B5EF4-FFF2-40B4-BE49-F238E27FC236}">
              <a16:creationId xmlns:a16="http://schemas.microsoft.com/office/drawing/2014/main" id="{1CC6E1AF-6E34-48E6-8E77-D5BD5C41DD76}"/>
            </a:ext>
          </a:extLst>
        </xdr:cNvPr>
        <xdr:cNvSpPr>
          <a:spLocks noChangeArrowheads="1"/>
        </xdr:cNvSpPr>
      </xdr:nvSpPr>
      <xdr:spPr bwMode="auto">
        <a:xfrm>
          <a:off x="7486650" y="12020550"/>
          <a:ext cx="1143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514350</xdr:colOff>
      <xdr:row>3</xdr:row>
      <xdr:rowOff>0</xdr:rowOff>
    </xdr:from>
    <xdr:to>
      <xdr:col>15</xdr:col>
      <xdr:colOff>180975</xdr:colOff>
      <xdr:row>7</xdr:row>
      <xdr:rowOff>0</xdr:rowOff>
    </xdr:to>
    <xdr:sp macro="" textlink="">
      <xdr:nvSpPr>
        <xdr:cNvPr id="11" name="AutoShape 22">
          <a:extLst>
            <a:ext uri="{FF2B5EF4-FFF2-40B4-BE49-F238E27FC236}">
              <a16:creationId xmlns:a16="http://schemas.microsoft.com/office/drawing/2014/main" id="{597BA909-5140-46F0-BEE9-CABA0E9CE1AC}"/>
            </a:ext>
          </a:extLst>
        </xdr:cNvPr>
        <xdr:cNvSpPr>
          <a:spLocks noChangeArrowheads="1"/>
        </xdr:cNvSpPr>
      </xdr:nvSpPr>
      <xdr:spPr bwMode="auto">
        <a:xfrm>
          <a:off x="6572250" y="676275"/>
          <a:ext cx="3952875" cy="685800"/>
        </a:xfrm>
        <a:prstGeom prst="wedgeRoundRectCallout">
          <a:avLst>
            <a:gd name="adj1" fmla="val -61565"/>
            <a:gd name="adj2" fmla="val -33333"/>
            <a:gd name="adj3" fmla="val 16667"/>
          </a:avLst>
        </a:prstGeom>
        <a:solidFill>
          <a:srgbClr xmlns:mc="http://schemas.openxmlformats.org/markup-compatibility/2006" xmlns:a14="http://schemas.microsoft.com/office/drawing/2010/main" val="FFFFDD" mc:Ignorable="a14" a14:legacySpreadsheetColorIndex="43"/>
        </a:solidFill>
        <a:ln w="19050">
          <a:solidFill>
            <a:srgbClr xmlns:mc="http://schemas.openxmlformats.org/markup-compatibility/2006" xmlns:a14="http://schemas.microsoft.com/office/drawing/2010/main" val="FF6600" mc:Ignorable="a14" a14:legacySpreadsheetColorIndex="53"/>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36576" bIns="18288" anchor="ctr" upright="1"/>
        <a:lstStyle/>
        <a:p>
          <a:pPr algn="ctr" rtl="0">
            <a:lnSpc>
              <a:spcPts val="1200"/>
            </a:lnSpc>
            <a:defRPr sz="1000"/>
          </a:pPr>
          <a:r>
            <a:rPr lang="ja-JP" altLang="en-US" sz="1100" b="1" i="0" u="none" strike="noStrike" baseline="0">
              <a:solidFill>
                <a:srgbClr val="000000"/>
              </a:solidFill>
              <a:latin typeface="ＭＳ Ｐゴシック"/>
              <a:ea typeface="ＭＳ Ｐゴシック"/>
            </a:rPr>
            <a:t>"更新項目"や"削除項目"への色分けが必要な場合</a:t>
          </a:r>
        </a:p>
        <a:p>
          <a:pPr algn="ctr" rtl="0">
            <a:lnSpc>
              <a:spcPts val="1200"/>
            </a:lnSpc>
            <a:defRPr sz="1000"/>
          </a:pPr>
          <a:r>
            <a:rPr lang="ja-JP" altLang="en-US" sz="1100" b="1" i="0" u="none" strike="noStrike" baseline="0">
              <a:solidFill>
                <a:srgbClr val="000000"/>
              </a:solidFill>
              <a:latin typeface="ＭＳ Ｐゴシック"/>
              <a:ea typeface="ＭＳ Ｐゴシック"/>
            </a:rPr>
            <a:t>開発者は任意の色を指定し、テストデータと対応させる。</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314325</xdr:colOff>
      <xdr:row>161</xdr:row>
      <xdr:rowOff>38100</xdr:rowOff>
    </xdr:from>
    <xdr:to>
      <xdr:col>9</xdr:col>
      <xdr:colOff>381000</xdr:colOff>
      <xdr:row>175</xdr:row>
      <xdr:rowOff>76200</xdr:rowOff>
    </xdr:to>
    <xdr:grpSp>
      <xdr:nvGrpSpPr>
        <xdr:cNvPr id="2" name="Group 136">
          <a:extLst>
            <a:ext uri="{FF2B5EF4-FFF2-40B4-BE49-F238E27FC236}">
              <a16:creationId xmlns:a16="http://schemas.microsoft.com/office/drawing/2014/main" id="{273FDA7C-ECAF-4C56-86BC-D70D07841773}"/>
            </a:ext>
          </a:extLst>
        </xdr:cNvPr>
        <xdr:cNvGrpSpPr>
          <a:grpSpLocks/>
        </xdr:cNvGrpSpPr>
      </xdr:nvGrpSpPr>
      <xdr:grpSpPr bwMode="auto">
        <a:xfrm>
          <a:off x="539750" y="30737175"/>
          <a:ext cx="4013200" cy="2705100"/>
          <a:chOff x="59" y="3465"/>
          <a:chExt cx="439" cy="256"/>
        </a:xfrm>
      </xdr:grpSpPr>
      <xdr:grpSp>
        <xdr:nvGrpSpPr>
          <xdr:cNvPr id="3" name="Group 132">
            <a:extLst>
              <a:ext uri="{FF2B5EF4-FFF2-40B4-BE49-F238E27FC236}">
                <a16:creationId xmlns:a16="http://schemas.microsoft.com/office/drawing/2014/main" id="{5FDAB930-B6B5-D5F5-FC3C-F51DD67851B1}"/>
              </a:ext>
            </a:extLst>
          </xdr:cNvPr>
          <xdr:cNvGrpSpPr>
            <a:grpSpLocks/>
          </xdr:cNvGrpSpPr>
        </xdr:nvGrpSpPr>
        <xdr:grpSpPr bwMode="auto">
          <a:xfrm>
            <a:off x="59" y="3465"/>
            <a:ext cx="439" cy="256"/>
            <a:chOff x="358" y="3464"/>
            <a:chExt cx="439" cy="256"/>
          </a:xfrm>
        </xdr:grpSpPr>
        <xdr:pic>
          <xdr:nvPicPr>
            <xdr:cNvPr id="5" name="Picture 127">
              <a:extLst>
                <a:ext uri="{FF2B5EF4-FFF2-40B4-BE49-F238E27FC236}">
                  <a16:creationId xmlns:a16="http://schemas.microsoft.com/office/drawing/2014/main" id="{4706B112-9C9F-1D4C-F2A9-5EE3E5AA1A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22969" t="21582" r="42734" b="53418"/>
            <a:stretch>
              <a:fillRect/>
            </a:stretch>
          </xdr:blipFill>
          <xdr:spPr bwMode="auto">
            <a:xfrm>
              <a:off x="358" y="3464"/>
              <a:ext cx="439" cy="256"/>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pic>
          <xdr:nvPicPr>
            <xdr:cNvPr id="6" name="Picture 131">
              <a:extLst>
                <a:ext uri="{FF2B5EF4-FFF2-40B4-BE49-F238E27FC236}">
                  <a16:creationId xmlns:a16="http://schemas.microsoft.com/office/drawing/2014/main" id="{7CDAAE3B-388E-F8A6-6BE3-9FEFC62D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67" y="3599"/>
              <a:ext cx="423" cy="114"/>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pic>
        <xdr:nvPicPr>
          <xdr:cNvPr id="4" name="Picture 135">
            <a:extLst>
              <a:ext uri="{FF2B5EF4-FFF2-40B4-BE49-F238E27FC236}">
                <a16:creationId xmlns:a16="http://schemas.microsoft.com/office/drawing/2014/main" id="{DF3A08EE-31EA-A325-CABA-610D3309098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8" y="3600"/>
            <a:ext cx="423" cy="112"/>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clientData/>
  </xdr:twoCellAnchor>
  <xdr:twoCellAnchor editAs="oneCell">
    <xdr:from>
      <xdr:col>2</xdr:col>
      <xdr:colOff>38100</xdr:colOff>
      <xdr:row>150</xdr:row>
      <xdr:rowOff>0</xdr:rowOff>
    </xdr:from>
    <xdr:to>
      <xdr:col>9</xdr:col>
      <xdr:colOff>3028950</xdr:colOff>
      <xdr:row>154</xdr:row>
      <xdr:rowOff>66675</xdr:rowOff>
    </xdr:to>
    <xdr:pic>
      <xdr:nvPicPr>
        <xdr:cNvPr id="7" name="Picture 123">
          <a:extLst>
            <a:ext uri="{FF2B5EF4-FFF2-40B4-BE49-F238E27FC236}">
              <a16:creationId xmlns:a16="http://schemas.microsoft.com/office/drawing/2014/main" id="{826E26FD-1105-4DDB-88C5-93623D15CE7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28675" y="29889450"/>
          <a:ext cx="675322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75</xdr:row>
      <xdr:rowOff>85725</xdr:rowOff>
    </xdr:from>
    <xdr:to>
      <xdr:col>9</xdr:col>
      <xdr:colOff>1600200</xdr:colOff>
      <xdr:row>78</xdr:row>
      <xdr:rowOff>180975</xdr:rowOff>
    </xdr:to>
    <xdr:pic>
      <xdr:nvPicPr>
        <xdr:cNvPr id="8" name="Picture 118">
          <a:extLst>
            <a:ext uri="{FF2B5EF4-FFF2-40B4-BE49-F238E27FC236}">
              <a16:creationId xmlns:a16="http://schemas.microsoft.com/office/drawing/2014/main" id="{A9BC995B-D96B-4C42-85E7-3A52BCC14DE3}"/>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00100" y="14992350"/>
          <a:ext cx="5353050" cy="6953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37</xdr:row>
      <xdr:rowOff>38100</xdr:rowOff>
    </xdr:from>
    <xdr:to>
      <xdr:col>9</xdr:col>
      <xdr:colOff>2314575</xdr:colOff>
      <xdr:row>44</xdr:row>
      <xdr:rowOff>47625</xdr:rowOff>
    </xdr:to>
    <xdr:pic>
      <xdr:nvPicPr>
        <xdr:cNvPr id="9" name="Picture 116">
          <a:extLst>
            <a:ext uri="{FF2B5EF4-FFF2-40B4-BE49-F238E27FC236}">
              <a16:creationId xmlns:a16="http://schemas.microsoft.com/office/drawing/2014/main" id="{392CC1E2-8AA7-416F-9395-E87580BA83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00100" y="7372350"/>
          <a:ext cx="6067425" cy="14097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219075</xdr:colOff>
      <xdr:row>1</xdr:row>
      <xdr:rowOff>0</xdr:rowOff>
    </xdr:from>
    <xdr:to>
      <xdr:col>8</xdr:col>
      <xdr:colOff>57150</xdr:colOff>
      <xdr:row>1</xdr:row>
      <xdr:rowOff>0</xdr:rowOff>
    </xdr:to>
    <xdr:sp macro="" textlink="">
      <xdr:nvSpPr>
        <xdr:cNvPr id="10" name="Rectangle 1">
          <a:extLst>
            <a:ext uri="{FF2B5EF4-FFF2-40B4-BE49-F238E27FC236}">
              <a16:creationId xmlns:a16="http://schemas.microsoft.com/office/drawing/2014/main" id="{5A28D17B-5013-45D4-AB01-981F65EF0264}"/>
            </a:ext>
          </a:extLst>
        </xdr:cNvPr>
        <xdr:cNvSpPr>
          <a:spLocks noChangeArrowheads="1"/>
        </xdr:cNvSpPr>
      </xdr:nvSpPr>
      <xdr:spPr bwMode="auto">
        <a:xfrm>
          <a:off x="466725" y="200025"/>
          <a:ext cx="360045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sp>
    <xdr:clientData/>
  </xdr:twoCellAnchor>
  <xdr:twoCellAnchor>
    <xdr:from>
      <xdr:col>1</xdr:col>
      <xdr:colOff>228600</xdr:colOff>
      <xdr:row>1</xdr:row>
      <xdr:rowOff>0</xdr:rowOff>
    </xdr:from>
    <xdr:to>
      <xdr:col>9</xdr:col>
      <xdr:colOff>1076325</xdr:colOff>
      <xdr:row>1</xdr:row>
      <xdr:rowOff>0</xdr:rowOff>
    </xdr:to>
    <xdr:sp macro="" textlink="">
      <xdr:nvSpPr>
        <xdr:cNvPr id="11" name="Rectangle 2">
          <a:extLst>
            <a:ext uri="{FF2B5EF4-FFF2-40B4-BE49-F238E27FC236}">
              <a16:creationId xmlns:a16="http://schemas.microsoft.com/office/drawing/2014/main" id="{B27BD724-8BC4-4464-B534-839B67DAA7CF}"/>
            </a:ext>
          </a:extLst>
        </xdr:cNvPr>
        <xdr:cNvSpPr>
          <a:spLocks noChangeArrowheads="1"/>
        </xdr:cNvSpPr>
      </xdr:nvSpPr>
      <xdr:spPr bwMode="auto">
        <a:xfrm>
          <a:off x="476250" y="200025"/>
          <a:ext cx="5153025"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KK0320_01 &gt;&gt;&gt; --------- ( Start Time : 2006-08-03 09:08:15 ) ---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[kknippo_0320] Select Count =           0</a:t>
          </a:r>
        </a:p>
      </xdr:txBody>
    </xdr:sp>
    <xdr:clientData/>
  </xdr:twoCellAnchor>
  <xdr:twoCellAnchor>
    <xdr:from>
      <xdr:col>1</xdr:col>
      <xdr:colOff>228600</xdr:colOff>
      <xdr:row>1</xdr:row>
      <xdr:rowOff>0</xdr:rowOff>
    </xdr:from>
    <xdr:to>
      <xdr:col>9</xdr:col>
      <xdr:colOff>1485900</xdr:colOff>
      <xdr:row>1</xdr:row>
      <xdr:rowOff>0</xdr:rowOff>
    </xdr:to>
    <xdr:sp macro="" textlink="">
      <xdr:nvSpPr>
        <xdr:cNvPr id="12" name="Rectangle 3">
          <a:extLst>
            <a:ext uri="{FF2B5EF4-FFF2-40B4-BE49-F238E27FC236}">
              <a16:creationId xmlns:a16="http://schemas.microsoft.com/office/drawing/2014/main" id="{0FCE7481-C91E-416D-A8E5-9540C2A011BC}"/>
            </a:ext>
          </a:extLst>
        </xdr:cNvPr>
        <xdr:cNvSpPr>
          <a:spLocks noChangeArrowheads="1"/>
        </xdr:cNvSpPr>
      </xdr:nvSpPr>
      <xdr:spPr bwMode="auto">
        <a:xfrm>
          <a:off x="476250" y="200025"/>
          <a:ext cx="5562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ゴシック"/>
              <a:ea typeface="ＭＳ ゴシック"/>
            </a:rPr>
            <a:t> </a:t>
          </a: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1</xdr:col>
      <xdr:colOff>238125</xdr:colOff>
      <xdr:row>1</xdr:row>
      <xdr:rowOff>0</xdr:rowOff>
    </xdr:from>
    <xdr:to>
      <xdr:col>9</xdr:col>
      <xdr:colOff>1114425</xdr:colOff>
      <xdr:row>1</xdr:row>
      <xdr:rowOff>0</xdr:rowOff>
    </xdr:to>
    <xdr:sp macro="" textlink="">
      <xdr:nvSpPr>
        <xdr:cNvPr id="13" name="Rectangle 4">
          <a:extLst>
            <a:ext uri="{FF2B5EF4-FFF2-40B4-BE49-F238E27FC236}">
              <a16:creationId xmlns:a16="http://schemas.microsoft.com/office/drawing/2014/main" id="{F832D3F3-5620-44A2-A2DC-4A531764C85B}"/>
            </a:ext>
          </a:extLst>
        </xdr:cNvPr>
        <xdr:cNvSpPr>
          <a:spLocks noChangeArrowheads="1"/>
        </xdr:cNvSpPr>
      </xdr:nvSpPr>
      <xdr:spPr bwMode="auto">
        <a:xfrm>
          <a:off x="485775" y="200025"/>
          <a:ext cx="5181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a:t>
          </a:r>
        </a:p>
      </xdr:txBody>
    </xdr:sp>
    <xdr:clientData/>
  </xdr:twoCellAnchor>
  <xdr:twoCellAnchor>
    <xdr:from>
      <xdr:col>1</xdr:col>
      <xdr:colOff>228600</xdr:colOff>
      <xdr:row>1</xdr:row>
      <xdr:rowOff>0</xdr:rowOff>
    </xdr:from>
    <xdr:to>
      <xdr:col>9</xdr:col>
      <xdr:colOff>1485900</xdr:colOff>
      <xdr:row>1</xdr:row>
      <xdr:rowOff>0</xdr:rowOff>
    </xdr:to>
    <xdr:sp macro="" textlink="">
      <xdr:nvSpPr>
        <xdr:cNvPr id="14" name="Rectangle 5">
          <a:extLst>
            <a:ext uri="{FF2B5EF4-FFF2-40B4-BE49-F238E27FC236}">
              <a16:creationId xmlns:a16="http://schemas.microsoft.com/office/drawing/2014/main" id="{AB15FFE9-1D4B-4A7A-A633-8C0426E1A1E4}"/>
            </a:ext>
          </a:extLst>
        </xdr:cNvPr>
        <xdr:cNvSpPr>
          <a:spLocks noChangeArrowheads="1"/>
        </xdr:cNvSpPr>
      </xdr:nvSpPr>
      <xdr:spPr bwMode="auto">
        <a:xfrm>
          <a:off x="476250" y="200025"/>
          <a:ext cx="5562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endParaRPr lang="ja-JP" altLang="en-US" sz="900" b="0" i="0" u="none" strike="noStrike" baseline="0">
            <a:solidFill>
              <a:srgbClr val="80808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1</xdr:col>
      <xdr:colOff>247650</xdr:colOff>
      <xdr:row>237</xdr:row>
      <xdr:rowOff>85725</xdr:rowOff>
    </xdr:from>
    <xdr:to>
      <xdr:col>4</xdr:col>
      <xdr:colOff>419100</xdr:colOff>
      <xdr:row>238</xdr:row>
      <xdr:rowOff>142875</xdr:rowOff>
    </xdr:to>
    <xdr:sp macro="" textlink="">
      <xdr:nvSpPr>
        <xdr:cNvPr id="15" name="AutoShape 8">
          <a:extLst>
            <a:ext uri="{FF2B5EF4-FFF2-40B4-BE49-F238E27FC236}">
              <a16:creationId xmlns:a16="http://schemas.microsoft.com/office/drawing/2014/main" id="{092A2E64-B3B4-457B-8A8F-53C2EE6E3EAB}"/>
            </a:ext>
          </a:extLst>
        </xdr:cNvPr>
        <xdr:cNvSpPr>
          <a:spLocks noChangeArrowheads="1"/>
        </xdr:cNvSpPr>
      </xdr:nvSpPr>
      <xdr:spPr bwMode="auto">
        <a:xfrm>
          <a:off x="495300" y="4730115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228600</xdr:colOff>
      <xdr:row>246</xdr:row>
      <xdr:rowOff>114300</xdr:rowOff>
    </xdr:from>
    <xdr:to>
      <xdr:col>4</xdr:col>
      <xdr:colOff>381000</xdr:colOff>
      <xdr:row>248</xdr:row>
      <xdr:rowOff>0</xdr:rowOff>
    </xdr:to>
    <xdr:sp macro="" textlink="">
      <xdr:nvSpPr>
        <xdr:cNvPr id="16" name="AutoShape 9">
          <a:extLst>
            <a:ext uri="{FF2B5EF4-FFF2-40B4-BE49-F238E27FC236}">
              <a16:creationId xmlns:a16="http://schemas.microsoft.com/office/drawing/2014/main" id="{4F346189-CB2A-491E-BE25-6B82CC7D6A3A}"/>
            </a:ext>
          </a:extLst>
        </xdr:cNvPr>
        <xdr:cNvSpPr>
          <a:spLocks noChangeArrowheads="1"/>
        </xdr:cNvSpPr>
      </xdr:nvSpPr>
      <xdr:spPr bwMode="auto">
        <a:xfrm>
          <a:off x="476250" y="49101375"/>
          <a:ext cx="124777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200025</xdr:colOff>
      <xdr:row>48</xdr:row>
      <xdr:rowOff>9525</xdr:rowOff>
    </xdr:from>
    <xdr:to>
      <xdr:col>9</xdr:col>
      <xdr:colOff>1323975</xdr:colOff>
      <xdr:row>58</xdr:row>
      <xdr:rowOff>76200</xdr:rowOff>
    </xdr:to>
    <xdr:pic>
      <xdr:nvPicPr>
        <xdr:cNvPr id="17" name="Picture 26">
          <a:extLst>
            <a:ext uri="{FF2B5EF4-FFF2-40B4-BE49-F238E27FC236}">
              <a16:creationId xmlns:a16="http://schemas.microsoft.com/office/drawing/2014/main" id="{2F90AD65-6831-4641-B4DF-38B792EAAE6C}"/>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26718" t="25293" r="28751" b="53516"/>
        <a:stretch>
          <a:fillRect/>
        </a:stretch>
      </xdr:blipFill>
      <xdr:spPr bwMode="auto">
        <a:xfrm>
          <a:off x="447675" y="9515475"/>
          <a:ext cx="5429250" cy="2066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285750</xdr:colOff>
      <xdr:row>74</xdr:row>
      <xdr:rowOff>0</xdr:rowOff>
    </xdr:from>
    <xdr:to>
      <xdr:col>5</xdr:col>
      <xdr:colOff>180975</xdr:colOff>
      <xdr:row>75</xdr:row>
      <xdr:rowOff>47625</xdr:rowOff>
    </xdr:to>
    <xdr:sp macro="" textlink="">
      <xdr:nvSpPr>
        <xdr:cNvPr id="18" name="AutoShape 29">
          <a:extLst>
            <a:ext uri="{FF2B5EF4-FFF2-40B4-BE49-F238E27FC236}">
              <a16:creationId xmlns:a16="http://schemas.microsoft.com/office/drawing/2014/main" id="{6E60B2F2-7FEF-4A85-8062-453551674105}"/>
            </a:ext>
          </a:extLst>
        </xdr:cNvPr>
        <xdr:cNvSpPr>
          <a:spLocks noChangeArrowheads="1"/>
        </xdr:cNvSpPr>
      </xdr:nvSpPr>
      <xdr:spPr bwMode="auto">
        <a:xfrm>
          <a:off x="533400" y="14706600"/>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390525</xdr:colOff>
      <xdr:row>76</xdr:row>
      <xdr:rowOff>57150</xdr:rowOff>
    </xdr:from>
    <xdr:to>
      <xdr:col>9</xdr:col>
      <xdr:colOff>1590675</xdr:colOff>
      <xdr:row>79</xdr:row>
      <xdr:rowOff>104775</xdr:rowOff>
    </xdr:to>
    <xdr:sp macro="" textlink="">
      <xdr:nvSpPr>
        <xdr:cNvPr id="19" name="Rectangle 35">
          <a:extLst>
            <a:ext uri="{FF2B5EF4-FFF2-40B4-BE49-F238E27FC236}">
              <a16:creationId xmlns:a16="http://schemas.microsoft.com/office/drawing/2014/main" id="{91AE95A9-1B3A-4455-A1FB-FAE93B52B869}"/>
            </a:ext>
          </a:extLst>
        </xdr:cNvPr>
        <xdr:cNvSpPr>
          <a:spLocks noChangeArrowheads="1"/>
        </xdr:cNvSpPr>
      </xdr:nvSpPr>
      <xdr:spPr bwMode="auto">
        <a:xfrm>
          <a:off x="4943475" y="15163800"/>
          <a:ext cx="1200150" cy="647700"/>
        </a:xfrm>
        <a:prstGeom prst="rect">
          <a:avLst/>
        </a:prstGeom>
        <a:noFill/>
        <a:ln w="15875">
          <a:solidFill>
            <a:srgbClr xmlns:mc="http://schemas.openxmlformats.org/markup-compatibility/2006" xmlns:a14="http://schemas.microsoft.com/office/drawing/2010/main" val="339966" mc:Ignorable="a14" a14:legacySpreadsheetColorIndex="57"/>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219075</xdr:colOff>
      <xdr:row>69</xdr:row>
      <xdr:rowOff>142875</xdr:rowOff>
    </xdr:from>
    <xdr:to>
      <xdr:col>9</xdr:col>
      <xdr:colOff>2638425</xdr:colOff>
      <xdr:row>74</xdr:row>
      <xdr:rowOff>38100</xdr:rowOff>
    </xdr:to>
    <xdr:sp macro="" textlink="">
      <xdr:nvSpPr>
        <xdr:cNvPr id="20" name="AutoShape 36">
          <a:extLst>
            <a:ext uri="{FF2B5EF4-FFF2-40B4-BE49-F238E27FC236}">
              <a16:creationId xmlns:a16="http://schemas.microsoft.com/office/drawing/2014/main" id="{F0324DF5-F643-4AEE-8F9F-32DE2F4CBCDA}"/>
            </a:ext>
          </a:extLst>
        </xdr:cNvPr>
        <xdr:cNvSpPr>
          <a:spLocks noChangeArrowheads="1"/>
        </xdr:cNvSpPr>
      </xdr:nvSpPr>
      <xdr:spPr bwMode="auto">
        <a:xfrm>
          <a:off x="4772025" y="13849350"/>
          <a:ext cx="2419350" cy="895350"/>
        </a:xfrm>
        <a:prstGeom prst="wedgeRectCallout">
          <a:avLst>
            <a:gd name="adj1" fmla="val -29134"/>
            <a:gd name="adj2" fmla="val 82912"/>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900" b="0" i="0" u="none" strike="noStrike" baseline="0">
              <a:solidFill>
                <a:srgbClr val="000000"/>
              </a:solidFill>
              <a:latin typeface="ＭＳ Ｐゴシック"/>
              <a:ea typeface="ＭＳ Ｐゴシック"/>
            </a:rPr>
            <a:t>指定したキーによって正しく</a:t>
          </a:r>
        </a:p>
        <a:p>
          <a:pPr algn="ctr" rtl="0">
            <a:lnSpc>
              <a:spcPts val="1100"/>
            </a:lnSpc>
            <a:defRPr sz="1000"/>
          </a:pPr>
          <a:r>
            <a:rPr lang="ja-JP" altLang="en-US" sz="900" b="0" i="0" u="none" strike="noStrike" baseline="0">
              <a:solidFill>
                <a:srgbClr val="000000"/>
              </a:solidFill>
              <a:latin typeface="ＭＳ Ｐゴシック"/>
              <a:ea typeface="ＭＳ Ｐゴシック"/>
            </a:rPr>
            <a:t>グループ化されていることを確認。</a:t>
          </a:r>
        </a:p>
        <a:p>
          <a:pPr algn="ctr" rtl="0">
            <a:lnSpc>
              <a:spcPts val="1000"/>
            </a:lnSpc>
            <a:defRPr sz="1000"/>
          </a:pPr>
          <a:r>
            <a:rPr lang="ja-JP" altLang="en-US" sz="900" b="0" i="0" u="none" strike="noStrike" baseline="0">
              <a:solidFill>
                <a:srgbClr val="000000"/>
              </a:solidFill>
              <a:latin typeface="ＭＳ Ｐゴシック"/>
              <a:ea typeface="ＭＳ Ｐゴシック"/>
            </a:rPr>
            <a:t>　</a:t>
          </a:r>
        </a:p>
        <a:p>
          <a:pPr algn="ctr" rtl="0">
            <a:lnSpc>
              <a:spcPts val="1000"/>
            </a:lnSpc>
            <a:defRPr sz="1000"/>
          </a:pPr>
          <a:r>
            <a:rPr lang="ja-JP" altLang="en-US" sz="900" b="0" i="0" u="none" strike="noStrike" baseline="0">
              <a:solidFill>
                <a:srgbClr val="000000"/>
              </a:solidFill>
              <a:latin typeface="ＭＳ Ｐゴシック"/>
              <a:ea typeface="ＭＳ Ｐゴシック"/>
            </a:rPr>
            <a:t>集計計算が正しいことを確認。</a:t>
          </a:r>
        </a:p>
      </xdr:txBody>
    </xdr:sp>
    <xdr:clientData/>
  </xdr:twoCellAnchor>
  <xdr:twoCellAnchor>
    <xdr:from>
      <xdr:col>1</xdr:col>
      <xdr:colOff>238125</xdr:colOff>
      <xdr:row>109</xdr:row>
      <xdr:rowOff>95250</xdr:rowOff>
    </xdr:from>
    <xdr:to>
      <xdr:col>5</xdr:col>
      <xdr:colOff>133350</xdr:colOff>
      <xdr:row>110</xdr:row>
      <xdr:rowOff>152400</xdr:rowOff>
    </xdr:to>
    <xdr:sp macro="" textlink="">
      <xdr:nvSpPr>
        <xdr:cNvPr id="21" name="AutoShape 39">
          <a:extLst>
            <a:ext uri="{FF2B5EF4-FFF2-40B4-BE49-F238E27FC236}">
              <a16:creationId xmlns:a16="http://schemas.microsoft.com/office/drawing/2014/main" id="{B12BB2C5-35FA-467E-A7CA-3DC727343808}"/>
            </a:ext>
          </a:extLst>
        </xdr:cNvPr>
        <xdr:cNvSpPr>
          <a:spLocks noChangeArrowheads="1"/>
        </xdr:cNvSpPr>
      </xdr:nvSpPr>
      <xdr:spPr bwMode="auto">
        <a:xfrm>
          <a:off x="485775" y="21774150"/>
          <a:ext cx="167640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152400</xdr:colOff>
      <xdr:row>85</xdr:row>
      <xdr:rowOff>66675</xdr:rowOff>
    </xdr:from>
    <xdr:to>
      <xdr:col>9</xdr:col>
      <xdr:colOff>2828925</xdr:colOff>
      <xdr:row>93</xdr:row>
      <xdr:rowOff>133350</xdr:rowOff>
    </xdr:to>
    <xdr:pic>
      <xdr:nvPicPr>
        <xdr:cNvPr id="22" name="Picture 40">
          <a:extLst>
            <a:ext uri="{FF2B5EF4-FFF2-40B4-BE49-F238E27FC236}">
              <a16:creationId xmlns:a16="http://schemas.microsoft.com/office/drawing/2014/main" id="{AC896F08-8CFA-47CC-9A4C-493E2E32ADF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l="14766" t="23047" r="27968" b="60254"/>
        <a:stretch>
          <a:fillRect/>
        </a:stretch>
      </xdr:blipFill>
      <xdr:spPr bwMode="auto">
        <a:xfrm>
          <a:off x="400050" y="16944975"/>
          <a:ext cx="6981825" cy="1666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285750</xdr:colOff>
      <xdr:row>148</xdr:row>
      <xdr:rowOff>0</xdr:rowOff>
    </xdr:from>
    <xdr:to>
      <xdr:col>5</xdr:col>
      <xdr:colOff>180975</xdr:colOff>
      <xdr:row>149</xdr:row>
      <xdr:rowOff>47625</xdr:rowOff>
    </xdr:to>
    <xdr:sp macro="" textlink="">
      <xdr:nvSpPr>
        <xdr:cNvPr id="23" name="AutoShape 43">
          <a:extLst>
            <a:ext uri="{FF2B5EF4-FFF2-40B4-BE49-F238E27FC236}">
              <a16:creationId xmlns:a16="http://schemas.microsoft.com/office/drawing/2014/main" id="{2A83231C-B863-4C8D-9952-C6B2866750CC}"/>
            </a:ext>
          </a:extLst>
        </xdr:cNvPr>
        <xdr:cNvSpPr>
          <a:spLocks noChangeArrowheads="1"/>
        </xdr:cNvSpPr>
      </xdr:nvSpPr>
      <xdr:spPr bwMode="auto">
        <a:xfrm>
          <a:off x="533400" y="29489400"/>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出力レポート sample</a:t>
          </a:r>
        </a:p>
      </xdr:txBody>
    </xdr:sp>
    <xdr:clientData/>
  </xdr:twoCellAnchor>
  <xdr:twoCellAnchor editAs="oneCell">
    <xdr:from>
      <xdr:col>1</xdr:col>
      <xdr:colOff>152400</xdr:colOff>
      <xdr:row>119</xdr:row>
      <xdr:rowOff>66675</xdr:rowOff>
    </xdr:from>
    <xdr:to>
      <xdr:col>9</xdr:col>
      <xdr:colOff>2828925</xdr:colOff>
      <xdr:row>127</xdr:row>
      <xdr:rowOff>95250</xdr:rowOff>
    </xdr:to>
    <xdr:pic>
      <xdr:nvPicPr>
        <xdr:cNvPr id="24" name="Picture 44">
          <a:extLst>
            <a:ext uri="{FF2B5EF4-FFF2-40B4-BE49-F238E27FC236}">
              <a16:creationId xmlns:a16="http://schemas.microsoft.com/office/drawing/2014/main" id="{14F15F74-A8DE-425C-A5B4-25FE805537A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l="14766" t="23047" r="27968" b="60254"/>
        <a:stretch>
          <a:fillRect/>
        </a:stretch>
      </xdr:blipFill>
      <xdr:spPr bwMode="auto">
        <a:xfrm>
          <a:off x="400050" y="23755350"/>
          <a:ext cx="6981825" cy="1628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276225</xdr:colOff>
      <xdr:row>204</xdr:row>
      <xdr:rowOff>0</xdr:rowOff>
    </xdr:from>
    <xdr:to>
      <xdr:col>5</xdr:col>
      <xdr:colOff>171450</xdr:colOff>
      <xdr:row>205</xdr:row>
      <xdr:rowOff>47625</xdr:rowOff>
    </xdr:to>
    <xdr:sp macro="" textlink="">
      <xdr:nvSpPr>
        <xdr:cNvPr id="25" name="AutoShape 47">
          <a:extLst>
            <a:ext uri="{FF2B5EF4-FFF2-40B4-BE49-F238E27FC236}">
              <a16:creationId xmlns:a16="http://schemas.microsoft.com/office/drawing/2014/main" id="{C76C90F3-B071-4387-ACC4-B937DE16E9E7}"/>
            </a:ext>
          </a:extLst>
        </xdr:cNvPr>
        <xdr:cNvSpPr>
          <a:spLocks noChangeArrowheads="1"/>
        </xdr:cNvSpPr>
      </xdr:nvSpPr>
      <xdr:spPr bwMode="auto">
        <a:xfrm>
          <a:off x="523875" y="40700325"/>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2152650</xdr:colOff>
      <xdr:row>156</xdr:row>
      <xdr:rowOff>28575</xdr:rowOff>
    </xdr:from>
    <xdr:to>
      <xdr:col>12</xdr:col>
      <xdr:colOff>704850</xdr:colOff>
      <xdr:row>162</xdr:row>
      <xdr:rowOff>57150</xdr:rowOff>
    </xdr:to>
    <xdr:sp macro="" textlink="">
      <xdr:nvSpPr>
        <xdr:cNvPr id="26" name="AutoShape 49">
          <a:extLst>
            <a:ext uri="{FF2B5EF4-FFF2-40B4-BE49-F238E27FC236}">
              <a16:creationId xmlns:a16="http://schemas.microsoft.com/office/drawing/2014/main" id="{767A9525-011A-45DC-AAB9-58AF6A51B1B4}"/>
            </a:ext>
          </a:extLst>
        </xdr:cNvPr>
        <xdr:cNvSpPr>
          <a:spLocks noChangeArrowheads="1"/>
        </xdr:cNvSpPr>
      </xdr:nvSpPr>
      <xdr:spPr bwMode="auto">
        <a:xfrm>
          <a:off x="6705600" y="31118175"/>
          <a:ext cx="3124200" cy="1238250"/>
        </a:xfrm>
        <a:prstGeom prst="wedgeRectCallout">
          <a:avLst>
            <a:gd name="adj1" fmla="val -50000"/>
            <a:gd name="adj2" fmla="val -660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p>
        <a:p>
          <a:pPr algn="l" rtl="0">
            <a:lnSpc>
              <a:spcPts val="1300"/>
            </a:lnSpc>
            <a:defRPr sz="1000"/>
          </a:pPr>
          <a:r>
            <a:rPr lang="ja-JP" altLang="en-US" sz="1100" b="1" i="0" u="none" strike="noStrike" baseline="0">
              <a:solidFill>
                <a:srgbClr val="008000"/>
              </a:solidFill>
              <a:latin typeface="ＭＳ Ｐゴシック"/>
              <a:ea typeface="ＭＳ Ｐゴシック"/>
            </a:rPr>
            <a:t> b5 ：</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結合キーによって、</a:t>
          </a:r>
        </a:p>
        <a:p>
          <a:pPr algn="l" rtl="0">
            <a:lnSpc>
              <a:spcPts val="1200"/>
            </a:lnSpc>
            <a:defRPr sz="1000"/>
          </a:pPr>
          <a:r>
            <a:rPr lang="ja-JP" altLang="en-US" sz="1000" b="0" i="0" u="none" strike="noStrike" baseline="0">
              <a:solidFill>
                <a:srgbClr val="000000"/>
              </a:solidFill>
              <a:latin typeface="ＭＳ Ｐゴシック"/>
              <a:ea typeface="ＭＳ Ｐゴシック"/>
            </a:rPr>
            <a:t>　 　　　 正しく結合されていることを確認。</a:t>
          </a:r>
        </a:p>
        <a:p>
          <a:pPr algn="l" rtl="0">
            <a:lnSpc>
              <a:spcPts val="1200"/>
            </a:lnSpc>
            <a:defRPr sz="1000"/>
          </a:pPr>
          <a:endParaRPr lang="ja-JP" altLang="en-US" sz="1000" b="0" i="0" u="none" strike="noStrike" baseline="0">
            <a:solidFill>
              <a:srgbClr val="000000"/>
            </a:solidFill>
            <a:latin typeface="ＭＳ Ｐゴシック"/>
            <a:ea typeface="ＭＳ Ｐゴシック"/>
          </a:endParaRPr>
        </a:p>
        <a:p>
          <a:pPr algn="l" rtl="0">
            <a:defRPr sz="1000"/>
          </a:pPr>
          <a:r>
            <a:rPr lang="ja-JP" altLang="en-US" sz="1000" b="0" i="0" u="none" strike="noStrike" baseline="0">
              <a:solidFill>
                <a:srgbClr val="000000"/>
              </a:solidFill>
              <a:latin typeface="ＭＳ Ｐゴシック"/>
              <a:ea typeface="ＭＳ Ｐゴシック"/>
            </a:rPr>
            <a:t> 　　　　 商品マスタに該当データが存在しない場合も</a:t>
          </a:r>
        </a:p>
        <a:p>
          <a:pPr algn="l" rtl="0">
            <a:lnSpc>
              <a:spcPts val="1200"/>
            </a:lnSpc>
            <a:defRPr sz="1000"/>
          </a:pPr>
          <a:r>
            <a:rPr lang="ja-JP" altLang="en-US" sz="1000" b="0" i="0" u="none" strike="noStrike" baseline="0">
              <a:solidFill>
                <a:srgbClr val="000000"/>
              </a:solidFill>
              <a:latin typeface="ＭＳ Ｐゴシック"/>
              <a:ea typeface="ＭＳ Ｐゴシック"/>
            </a:rPr>
            <a:t> 　　　 　出力していることを確認。</a:t>
          </a:r>
          <a:endParaRPr lang="ja-JP" altLang="en-US" sz="900" b="0" i="0" u="none" strike="noStrike" baseline="0">
            <a:solidFill>
              <a:srgbClr val="000000"/>
            </a:solidFill>
            <a:latin typeface="ＭＳ Ｐゴシック"/>
            <a:ea typeface="ＭＳ Ｐゴシック"/>
          </a:endParaRPr>
        </a:p>
        <a:p>
          <a:pPr algn="l" rtl="0">
            <a:lnSpc>
              <a:spcPts val="1100"/>
            </a:lnSpc>
            <a:defRPr sz="1000"/>
          </a:pPr>
          <a:r>
            <a:rPr lang="ja-JP" altLang="en-US" sz="900" b="0" i="0" u="none" strike="noStrike" baseline="0">
              <a:solidFill>
                <a:srgbClr val="000000"/>
              </a:solidFill>
              <a:latin typeface="ＭＳ Ｐゴシック"/>
              <a:ea typeface="ＭＳ Ｐゴシック"/>
            </a:rPr>
            <a:t>　　　　　　　　　　　</a:t>
          </a:r>
        </a:p>
      </xdr:txBody>
    </xdr:sp>
    <xdr:clientData/>
  </xdr:twoCellAnchor>
  <xdr:twoCellAnchor>
    <xdr:from>
      <xdr:col>9</xdr:col>
      <xdr:colOff>1733550</xdr:colOff>
      <xdr:row>154</xdr:row>
      <xdr:rowOff>38100</xdr:rowOff>
    </xdr:from>
    <xdr:to>
      <xdr:col>9</xdr:col>
      <xdr:colOff>2228850</xdr:colOff>
      <xdr:row>154</xdr:row>
      <xdr:rowOff>152400</xdr:rowOff>
    </xdr:to>
    <xdr:sp macro="" textlink="">
      <xdr:nvSpPr>
        <xdr:cNvPr id="27" name="Rectangle 50">
          <a:extLst>
            <a:ext uri="{FF2B5EF4-FFF2-40B4-BE49-F238E27FC236}">
              <a16:creationId xmlns:a16="http://schemas.microsoft.com/office/drawing/2014/main" id="{EE71E59C-8051-44D8-8B4B-635A2A09E1A8}"/>
            </a:ext>
          </a:extLst>
        </xdr:cNvPr>
        <xdr:cNvSpPr>
          <a:spLocks noChangeArrowheads="1"/>
        </xdr:cNvSpPr>
      </xdr:nvSpPr>
      <xdr:spPr bwMode="auto">
        <a:xfrm>
          <a:off x="6286500" y="30727650"/>
          <a:ext cx="495300" cy="114300"/>
        </a:xfrm>
        <a:prstGeom prst="rect">
          <a:avLst/>
        </a:prstGeom>
        <a:noFill/>
        <a:ln w="12700">
          <a:solidFill>
            <a:srgbClr xmlns:mc="http://schemas.openxmlformats.org/markup-compatibility/2006" xmlns:a14="http://schemas.microsoft.com/office/drawing/2010/main" val="339966" mc:Ignorable="a14" a14:legacySpreadsheetColorIndex="57"/>
          </a:solidFill>
          <a:miter lim="800000"/>
          <a:headEnd/>
          <a:tailEnd/>
        </a:ln>
        <a:effectLst/>
        <a:extLst>
          <a:ext uri="{909E8E84-426E-40DD-AFC4-6F175D3DCCD1}">
            <a14:hiddenFill xmlns:a14="http://schemas.microsoft.com/office/drawing/2010/main">
              <a:solidFill>
                <a:srgbClr xmlns:mc="http://schemas.openxmlformats.org/markup-compatibility/2006" val="CCFFCC" mc:Ignorable="a14" a14:legacySpreadsheetColorIndex="42">
                  <a:alpha val="50000"/>
                </a:srgbClr>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304800</xdr:colOff>
      <xdr:row>115</xdr:row>
      <xdr:rowOff>0</xdr:rowOff>
    </xdr:from>
    <xdr:to>
      <xdr:col>9</xdr:col>
      <xdr:colOff>2828925</xdr:colOff>
      <xdr:row>115</xdr:row>
      <xdr:rowOff>104775</xdr:rowOff>
    </xdr:to>
    <xdr:sp macro="" textlink="">
      <xdr:nvSpPr>
        <xdr:cNvPr id="28" name="Rectangle 53">
          <a:extLst>
            <a:ext uri="{FF2B5EF4-FFF2-40B4-BE49-F238E27FC236}">
              <a16:creationId xmlns:a16="http://schemas.microsoft.com/office/drawing/2014/main" id="{7CD8DD5F-EA71-4390-91B5-15CF18DDE189}"/>
            </a:ext>
          </a:extLst>
        </xdr:cNvPr>
        <xdr:cNvSpPr>
          <a:spLocks noChangeArrowheads="1"/>
        </xdr:cNvSpPr>
      </xdr:nvSpPr>
      <xdr:spPr bwMode="auto">
        <a:xfrm>
          <a:off x="1333500" y="22879050"/>
          <a:ext cx="6048375" cy="104775"/>
        </a:xfrm>
        <a:prstGeom prst="rect">
          <a:avLst/>
        </a:prstGeom>
        <a:solidFill>
          <a:srgbClr xmlns:mc="http://schemas.openxmlformats.org/markup-compatibility/2006" xmlns:a14="http://schemas.microsoft.com/office/drawing/2010/main" val="CCFFCC" mc:Ignorable="a14" a14:legacySpreadsheetColorIndex="42">
            <a:alpha val="50000"/>
          </a:srgbClr>
        </a:solidFill>
        <a:ln w="12700">
          <a:solidFill>
            <a:srgbClr xmlns:mc="http://schemas.openxmlformats.org/markup-compatibility/2006" xmlns:a14="http://schemas.microsoft.com/office/drawing/2010/main" val="339966" mc:Ignorable="a14" a14:legacySpreadsheetColorIndex="57"/>
          </a:solidFill>
          <a:prstDash val="dash"/>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200025</xdr:colOff>
      <xdr:row>10</xdr:row>
      <xdr:rowOff>9525</xdr:rowOff>
    </xdr:from>
    <xdr:to>
      <xdr:col>9</xdr:col>
      <xdr:colOff>1323975</xdr:colOff>
      <xdr:row>20</xdr:row>
      <xdr:rowOff>76200</xdr:rowOff>
    </xdr:to>
    <xdr:pic>
      <xdr:nvPicPr>
        <xdr:cNvPr id="29" name="Picture 70">
          <a:extLst>
            <a:ext uri="{FF2B5EF4-FFF2-40B4-BE49-F238E27FC236}">
              <a16:creationId xmlns:a16="http://schemas.microsoft.com/office/drawing/2014/main" id="{9B868397-9DA9-4D0C-8EDF-A7C45637B3EB}"/>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26718" t="25293" r="28751" b="53516"/>
        <a:stretch>
          <a:fillRect/>
        </a:stretch>
      </xdr:blipFill>
      <xdr:spPr bwMode="auto">
        <a:xfrm>
          <a:off x="447675" y="1943100"/>
          <a:ext cx="5429250" cy="2066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342900</xdr:colOff>
      <xdr:row>35</xdr:row>
      <xdr:rowOff>133350</xdr:rowOff>
    </xdr:from>
    <xdr:to>
      <xdr:col>5</xdr:col>
      <xdr:colOff>238125</xdr:colOff>
      <xdr:row>37</xdr:row>
      <xdr:rowOff>19050</xdr:rowOff>
    </xdr:to>
    <xdr:sp macro="" textlink="">
      <xdr:nvSpPr>
        <xdr:cNvPr id="30" name="AutoShape 73">
          <a:extLst>
            <a:ext uri="{FF2B5EF4-FFF2-40B4-BE49-F238E27FC236}">
              <a16:creationId xmlns:a16="http://schemas.microsoft.com/office/drawing/2014/main" id="{71F247AF-D55A-456B-90E0-15EA963270F8}"/>
            </a:ext>
          </a:extLst>
        </xdr:cNvPr>
        <xdr:cNvSpPr>
          <a:spLocks noChangeArrowheads="1"/>
        </xdr:cNvSpPr>
      </xdr:nvSpPr>
      <xdr:spPr bwMode="auto">
        <a:xfrm>
          <a:off x="590550" y="7067550"/>
          <a:ext cx="1676400"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381000</xdr:colOff>
      <xdr:row>38</xdr:row>
      <xdr:rowOff>28575</xdr:rowOff>
    </xdr:from>
    <xdr:to>
      <xdr:col>9</xdr:col>
      <xdr:colOff>1581150</xdr:colOff>
      <xdr:row>45</xdr:row>
      <xdr:rowOff>47625</xdr:rowOff>
    </xdr:to>
    <xdr:sp macro="" textlink="">
      <xdr:nvSpPr>
        <xdr:cNvPr id="31" name="Rectangle 75">
          <a:extLst>
            <a:ext uri="{FF2B5EF4-FFF2-40B4-BE49-F238E27FC236}">
              <a16:creationId xmlns:a16="http://schemas.microsoft.com/office/drawing/2014/main" id="{E46CE8FA-D08E-44C6-AC76-08391F602A72}"/>
            </a:ext>
          </a:extLst>
        </xdr:cNvPr>
        <xdr:cNvSpPr>
          <a:spLocks noChangeArrowheads="1"/>
        </xdr:cNvSpPr>
      </xdr:nvSpPr>
      <xdr:spPr bwMode="auto">
        <a:xfrm>
          <a:off x="4933950" y="7562850"/>
          <a:ext cx="1200150" cy="1419225"/>
        </a:xfrm>
        <a:prstGeom prst="rect">
          <a:avLst/>
        </a:prstGeom>
        <a:noFill/>
        <a:ln w="19050">
          <a:solidFill>
            <a:srgbClr xmlns:mc="http://schemas.openxmlformats.org/markup-compatibility/2006" xmlns:a14="http://schemas.microsoft.com/office/drawing/2010/main" val="008000" mc:Ignorable="a14" a14:legacySpreadsheetColorIndex="17"/>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190500</xdr:colOff>
      <xdr:row>30</xdr:row>
      <xdr:rowOff>47625</xdr:rowOff>
    </xdr:from>
    <xdr:to>
      <xdr:col>10</xdr:col>
      <xdr:colOff>371475</xdr:colOff>
      <xdr:row>35</xdr:row>
      <xdr:rowOff>66675</xdr:rowOff>
    </xdr:to>
    <xdr:sp macro="" textlink="">
      <xdr:nvSpPr>
        <xdr:cNvPr id="32" name="AutoShape 76">
          <a:extLst>
            <a:ext uri="{FF2B5EF4-FFF2-40B4-BE49-F238E27FC236}">
              <a16:creationId xmlns:a16="http://schemas.microsoft.com/office/drawing/2014/main" id="{9AF93DA9-727F-4B6C-83C8-1DAD055DB0FB}"/>
            </a:ext>
          </a:extLst>
        </xdr:cNvPr>
        <xdr:cNvSpPr>
          <a:spLocks noChangeArrowheads="1"/>
        </xdr:cNvSpPr>
      </xdr:nvSpPr>
      <xdr:spPr bwMode="auto">
        <a:xfrm>
          <a:off x="4743450" y="5981700"/>
          <a:ext cx="3324225" cy="1019175"/>
        </a:xfrm>
        <a:prstGeom prst="wedgeRectCallout">
          <a:avLst>
            <a:gd name="adj1" fmla="val -21347"/>
            <a:gd name="adj2" fmla="val 86843"/>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b1： </a:t>
          </a:r>
          <a:r>
            <a:rPr lang="ja-JP" altLang="en-US" sz="900" b="0" i="0" u="none" strike="noStrike" baseline="0">
              <a:solidFill>
                <a:srgbClr val="000000"/>
              </a:solidFill>
              <a:latin typeface="ＭＳ Ｐゴシック"/>
              <a:ea typeface="ＭＳ Ｐゴシック"/>
            </a:rPr>
            <a:t>検索条件に該当するデータを</a:t>
          </a:r>
        </a:p>
        <a:p>
          <a:pPr algn="l" rtl="0">
            <a:lnSpc>
              <a:spcPts val="1100"/>
            </a:lnSpc>
            <a:defRPr sz="1000"/>
          </a:pPr>
          <a:r>
            <a:rPr lang="ja-JP" altLang="en-US" sz="900" b="0" i="0" u="none" strike="noStrike" baseline="0">
              <a:solidFill>
                <a:srgbClr val="000000"/>
              </a:solidFill>
              <a:latin typeface="ＭＳ Ｐゴシック"/>
              <a:ea typeface="ＭＳ Ｐゴシック"/>
            </a:rPr>
            <a:t>　　　　　　　　　</a:t>
          </a:r>
          <a:r>
            <a:rPr lang="ja-JP" altLang="en-US" sz="900" b="1" i="0" u="none" strike="noStrike" baseline="0">
              <a:solidFill>
                <a:srgbClr val="000000"/>
              </a:solidFill>
              <a:latin typeface="ＭＳ Ｐゴシック"/>
              <a:ea typeface="ＭＳ Ｐゴシック"/>
            </a:rPr>
            <a:t>すべて</a:t>
          </a:r>
          <a:r>
            <a:rPr lang="ja-JP" altLang="en-US" sz="900" b="0" i="0" u="none" strike="noStrike" baseline="0">
              <a:solidFill>
                <a:srgbClr val="000000"/>
              </a:solidFill>
              <a:latin typeface="ＭＳ Ｐゴシック"/>
              <a:ea typeface="ＭＳ Ｐゴシック"/>
            </a:rPr>
            <a:t>抽出していることを確認。</a:t>
          </a:r>
        </a:p>
        <a:p>
          <a:pPr algn="l" rtl="0">
            <a:lnSpc>
              <a:spcPts val="1100"/>
            </a:lnSpc>
            <a:defRPr sz="1000"/>
          </a:pPr>
          <a:r>
            <a:rPr lang="ja-JP" altLang="en-US" sz="900" b="0" i="0" u="none" strike="noStrike" baseline="0">
              <a:solidFill>
                <a:srgbClr val="000000"/>
              </a:solidFill>
              <a:latin typeface="ＭＳ Ｐゴシック"/>
              <a:ea typeface="ＭＳ Ｐゴシック"/>
            </a:rPr>
            <a:t>　　　　　　　　（抽出対象外のデータを抽出していないことを確認。）</a:t>
          </a:r>
          <a:endParaRPr lang="ja-JP" altLang="en-US" sz="1100" b="0" i="0" u="none" strike="noStrike" baseline="0">
            <a:solidFill>
              <a:srgbClr val="000000"/>
            </a:solidFill>
            <a:latin typeface="ＭＳ Ｐゴシック"/>
            <a:ea typeface="ＭＳ Ｐゴシック"/>
          </a:endParaRP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b2：　</a:t>
          </a:r>
          <a:r>
            <a:rPr lang="ja-JP" altLang="en-US" sz="900" b="0" i="0" u="none" strike="noStrike" baseline="0">
              <a:solidFill>
                <a:srgbClr val="000000"/>
              </a:solidFill>
              <a:latin typeface="ＭＳ Ｐゴシック"/>
              <a:ea typeface="ＭＳ Ｐゴシック"/>
            </a:rPr>
            <a:t>ソート順が正しいことを確認。</a:t>
          </a:r>
        </a:p>
      </xdr:txBody>
    </xdr:sp>
    <xdr:clientData/>
  </xdr:twoCellAnchor>
  <xdr:twoCellAnchor>
    <xdr:from>
      <xdr:col>4</xdr:col>
      <xdr:colOff>457200</xdr:colOff>
      <xdr:row>14</xdr:row>
      <xdr:rowOff>133350</xdr:rowOff>
    </xdr:from>
    <xdr:to>
      <xdr:col>6</xdr:col>
      <xdr:colOff>638175</xdr:colOff>
      <xdr:row>19</xdr:row>
      <xdr:rowOff>142875</xdr:rowOff>
    </xdr:to>
    <xdr:sp macro="" textlink="">
      <xdr:nvSpPr>
        <xdr:cNvPr id="33" name="Rectangle 81">
          <a:extLst>
            <a:ext uri="{FF2B5EF4-FFF2-40B4-BE49-F238E27FC236}">
              <a16:creationId xmlns:a16="http://schemas.microsoft.com/office/drawing/2014/main" id="{BFC88E43-B7CD-4845-A34C-9042552E5C67}"/>
            </a:ext>
          </a:extLst>
        </xdr:cNvPr>
        <xdr:cNvSpPr>
          <a:spLocks noChangeArrowheads="1"/>
        </xdr:cNvSpPr>
      </xdr:nvSpPr>
      <xdr:spPr bwMode="auto">
        <a:xfrm>
          <a:off x="1800225" y="2867025"/>
          <a:ext cx="1552575" cy="100965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4</xdr:col>
      <xdr:colOff>457200</xdr:colOff>
      <xdr:row>52</xdr:row>
      <xdr:rowOff>123825</xdr:rowOff>
    </xdr:from>
    <xdr:to>
      <xdr:col>5</xdr:col>
      <xdr:colOff>466725</xdr:colOff>
      <xdr:row>57</xdr:row>
      <xdr:rowOff>152400</xdr:rowOff>
    </xdr:to>
    <xdr:sp macro="" textlink="">
      <xdr:nvSpPr>
        <xdr:cNvPr id="34" name="Rectangle 82">
          <a:extLst>
            <a:ext uri="{FF2B5EF4-FFF2-40B4-BE49-F238E27FC236}">
              <a16:creationId xmlns:a16="http://schemas.microsoft.com/office/drawing/2014/main" id="{087DEFC8-17CF-45C2-A024-E323B6EBACB5}"/>
            </a:ext>
          </a:extLst>
        </xdr:cNvPr>
        <xdr:cNvSpPr>
          <a:spLocks noChangeArrowheads="1"/>
        </xdr:cNvSpPr>
      </xdr:nvSpPr>
      <xdr:spPr bwMode="auto">
        <a:xfrm>
          <a:off x="1800225" y="10429875"/>
          <a:ext cx="695325" cy="10287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638175</xdr:colOff>
      <xdr:row>52</xdr:row>
      <xdr:rowOff>123825</xdr:rowOff>
    </xdr:from>
    <xdr:to>
      <xdr:col>8</xdr:col>
      <xdr:colOff>257175</xdr:colOff>
      <xdr:row>57</xdr:row>
      <xdr:rowOff>152400</xdr:rowOff>
    </xdr:to>
    <xdr:sp macro="" textlink="">
      <xdr:nvSpPr>
        <xdr:cNvPr id="35" name="Rectangle 84">
          <a:extLst>
            <a:ext uri="{FF2B5EF4-FFF2-40B4-BE49-F238E27FC236}">
              <a16:creationId xmlns:a16="http://schemas.microsoft.com/office/drawing/2014/main" id="{491807FB-FB9E-4282-8DBF-E5399776A676}"/>
            </a:ext>
          </a:extLst>
        </xdr:cNvPr>
        <xdr:cNvSpPr>
          <a:spLocks noChangeArrowheads="1"/>
        </xdr:cNvSpPr>
      </xdr:nvSpPr>
      <xdr:spPr bwMode="auto">
        <a:xfrm>
          <a:off x="3352800" y="10429875"/>
          <a:ext cx="914400" cy="10287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114300</xdr:colOff>
      <xdr:row>165</xdr:row>
      <xdr:rowOff>66675</xdr:rowOff>
    </xdr:from>
    <xdr:to>
      <xdr:col>6</xdr:col>
      <xdr:colOff>628650</xdr:colOff>
      <xdr:row>168</xdr:row>
      <xdr:rowOff>9525</xdr:rowOff>
    </xdr:to>
    <xdr:sp macro="" textlink="">
      <xdr:nvSpPr>
        <xdr:cNvPr id="36" name="Rectangle 87">
          <a:extLst>
            <a:ext uri="{FF2B5EF4-FFF2-40B4-BE49-F238E27FC236}">
              <a16:creationId xmlns:a16="http://schemas.microsoft.com/office/drawing/2014/main" id="{B0A2D287-16C5-4E36-93B5-E1AFF91B4543}"/>
            </a:ext>
          </a:extLst>
        </xdr:cNvPr>
        <xdr:cNvSpPr>
          <a:spLocks noChangeArrowheads="1"/>
        </xdr:cNvSpPr>
      </xdr:nvSpPr>
      <xdr:spPr bwMode="auto">
        <a:xfrm>
          <a:off x="904875" y="32966025"/>
          <a:ext cx="24384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123825</xdr:colOff>
      <xdr:row>172</xdr:row>
      <xdr:rowOff>19050</xdr:rowOff>
    </xdr:from>
    <xdr:to>
      <xdr:col>6</xdr:col>
      <xdr:colOff>638175</xdr:colOff>
      <xdr:row>174</xdr:row>
      <xdr:rowOff>133350</xdr:rowOff>
    </xdr:to>
    <xdr:sp macro="" textlink="">
      <xdr:nvSpPr>
        <xdr:cNvPr id="37" name="Rectangle 88">
          <a:extLst>
            <a:ext uri="{FF2B5EF4-FFF2-40B4-BE49-F238E27FC236}">
              <a16:creationId xmlns:a16="http://schemas.microsoft.com/office/drawing/2014/main" id="{1F1BCB02-C5DA-46F6-80EB-A0F24D7D8379}"/>
            </a:ext>
          </a:extLst>
        </xdr:cNvPr>
        <xdr:cNvSpPr>
          <a:spLocks noChangeArrowheads="1"/>
        </xdr:cNvSpPr>
      </xdr:nvSpPr>
      <xdr:spPr bwMode="auto">
        <a:xfrm>
          <a:off x="914400" y="34318575"/>
          <a:ext cx="2438400" cy="51435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247650</xdr:colOff>
      <xdr:row>219</xdr:row>
      <xdr:rowOff>47625</xdr:rowOff>
    </xdr:from>
    <xdr:to>
      <xdr:col>4</xdr:col>
      <xdr:colOff>419100</xdr:colOff>
      <xdr:row>220</xdr:row>
      <xdr:rowOff>104775</xdr:rowOff>
    </xdr:to>
    <xdr:sp macro="" textlink="">
      <xdr:nvSpPr>
        <xdr:cNvPr id="38" name="AutoShape 93">
          <a:extLst>
            <a:ext uri="{FF2B5EF4-FFF2-40B4-BE49-F238E27FC236}">
              <a16:creationId xmlns:a16="http://schemas.microsoft.com/office/drawing/2014/main" id="{4A9055C4-90C5-46FF-93B5-4B7FB929B15A}"/>
            </a:ext>
          </a:extLst>
        </xdr:cNvPr>
        <xdr:cNvSpPr>
          <a:spLocks noChangeArrowheads="1"/>
        </xdr:cNvSpPr>
      </xdr:nvSpPr>
      <xdr:spPr bwMode="auto">
        <a:xfrm>
          <a:off x="495300" y="4371975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304800</xdr:colOff>
      <xdr:row>21</xdr:row>
      <xdr:rowOff>114300</xdr:rowOff>
    </xdr:from>
    <xdr:to>
      <xdr:col>7</xdr:col>
      <xdr:colOff>542925</xdr:colOff>
      <xdr:row>34</xdr:row>
      <xdr:rowOff>104775</xdr:rowOff>
    </xdr:to>
    <xdr:sp macro="" textlink="">
      <xdr:nvSpPr>
        <xdr:cNvPr id="39" name="Text Box 111">
          <a:extLst>
            <a:ext uri="{FF2B5EF4-FFF2-40B4-BE49-F238E27FC236}">
              <a16:creationId xmlns:a16="http://schemas.microsoft.com/office/drawing/2014/main" id="{78236987-E3CB-4498-B9F4-AF8DD4739C0F}"/>
            </a:ext>
          </a:extLst>
        </xdr:cNvPr>
        <xdr:cNvSpPr txBox="1">
          <a:spLocks noChangeArrowheads="1"/>
        </xdr:cNvSpPr>
      </xdr:nvSpPr>
      <xdr:spPr bwMode="auto">
        <a:xfrm>
          <a:off x="552450" y="4248150"/>
          <a:ext cx="3390900" cy="259080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倉庫番号，商品コード，在庫台数,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a:t>
          </a:r>
          <a:endParaRPr lang="ja-JP" altLang="en-US" sz="900" b="0" i="0" u="none" strike="noStrike" baseline="0">
            <a:solidFill>
              <a:srgbClr val="339966"/>
            </a:solidFill>
            <a:latin typeface="ＭＳ ゴシック"/>
            <a:ea typeface="ＭＳ ゴシック"/>
          </a:endParaRP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年月　＝　'200607'</a:t>
          </a:r>
        </a:p>
        <a:p>
          <a:pPr algn="l" rtl="0">
            <a:lnSpc>
              <a:spcPts val="1100"/>
            </a:lnSpc>
            <a:defRPr sz="1000"/>
          </a:pPr>
          <a:r>
            <a:rPr lang="ja-JP" altLang="en-US" sz="900" b="0" i="0" u="none" strike="noStrike" baseline="0">
              <a:solidFill>
                <a:srgbClr val="000000"/>
              </a:solidFill>
              <a:latin typeface="ＭＳ ゴシック"/>
              <a:ea typeface="ＭＳ ゴシック"/>
            </a:rPr>
            <a:t>　  order by 倉庫番号, 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l_商品コード,</a:t>
          </a:r>
        </a:p>
        <a:p>
          <a:pPr algn="l" rtl="0">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7</xdr:col>
      <xdr:colOff>247650</xdr:colOff>
      <xdr:row>21</xdr:row>
      <xdr:rowOff>114300</xdr:rowOff>
    </xdr:from>
    <xdr:to>
      <xdr:col>8</xdr:col>
      <xdr:colOff>352425</xdr:colOff>
      <xdr:row>34</xdr:row>
      <xdr:rowOff>66675</xdr:rowOff>
    </xdr:to>
    <xdr:sp macro="" textlink="">
      <xdr:nvSpPr>
        <xdr:cNvPr id="40" name="AutoShape 74">
          <a:extLst>
            <a:ext uri="{FF2B5EF4-FFF2-40B4-BE49-F238E27FC236}">
              <a16:creationId xmlns:a16="http://schemas.microsoft.com/office/drawing/2014/main" id="{91DBE148-7E72-477E-9A39-52759EBF1494}"/>
            </a:ext>
          </a:extLst>
        </xdr:cNvPr>
        <xdr:cNvSpPr>
          <a:spLocks noChangeArrowheads="1"/>
        </xdr:cNvSpPr>
      </xdr:nvSpPr>
      <xdr:spPr bwMode="auto">
        <a:xfrm>
          <a:off x="3648075" y="4248150"/>
          <a:ext cx="714375" cy="2552700"/>
        </a:xfrm>
        <a:prstGeom prst="downArrow">
          <a:avLst>
            <a:gd name="adj1" fmla="val 50000"/>
            <a:gd name="adj2" fmla="val 77333"/>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228600</xdr:colOff>
      <xdr:row>60</xdr:row>
      <xdr:rowOff>0</xdr:rowOff>
    </xdr:from>
    <xdr:to>
      <xdr:col>7</xdr:col>
      <xdr:colOff>571500</xdr:colOff>
      <xdr:row>71</xdr:row>
      <xdr:rowOff>133350</xdr:rowOff>
    </xdr:to>
    <xdr:sp macro="" textlink="">
      <xdr:nvSpPr>
        <xdr:cNvPr id="41" name="Text Box 117">
          <a:extLst>
            <a:ext uri="{FF2B5EF4-FFF2-40B4-BE49-F238E27FC236}">
              <a16:creationId xmlns:a16="http://schemas.microsoft.com/office/drawing/2014/main" id="{1D858D80-0E74-4BE0-A669-1DFEA1EAC3BE}"/>
            </a:ext>
          </a:extLst>
        </xdr:cNvPr>
        <xdr:cNvSpPr txBox="1">
          <a:spLocks noChangeArrowheads="1"/>
        </xdr:cNvSpPr>
      </xdr:nvSpPr>
      <xdr:spPr bwMode="auto">
        <a:xfrm>
          <a:off x="1257300" y="11906250"/>
          <a:ext cx="2714625" cy="2333625"/>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倉庫番号，sum(在庫台数)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a:t>
          </a:r>
        </a:p>
        <a:p>
          <a:pPr algn="l" rtl="0">
            <a:lnSpc>
              <a:spcPts val="1100"/>
            </a:lnSpc>
            <a:defRPr sz="1000"/>
          </a:pPr>
          <a:r>
            <a:rPr lang="ja-JP" altLang="en-US" sz="900" b="0" i="0" u="none" strike="noStrike" baseline="0">
              <a:solidFill>
                <a:srgbClr val="000000"/>
              </a:solidFill>
              <a:latin typeface="ＭＳ ゴシック"/>
              <a:ea typeface="ＭＳ ゴシック"/>
            </a:rPr>
            <a:t>    where     年月　＝　'200607'</a:t>
          </a:r>
        </a:p>
        <a:p>
          <a:pPr algn="l" rtl="0">
            <a:lnSpc>
              <a:spcPts val="1100"/>
            </a:lnSpc>
            <a:defRPr sz="1000"/>
          </a:pPr>
          <a:r>
            <a:rPr lang="ja-JP" altLang="en-US" sz="900" b="0" i="0" u="none" strike="noStrike" baseline="0">
              <a:solidFill>
                <a:srgbClr val="000000"/>
              </a:solidFill>
              <a:latin typeface="ＭＳ ゴシック"/>
              <a:ea typeface="ＭＳ ゴシック"/>
            </a:rPr>
            <a:t>　  group by  倉庫番号</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l_在庫台数</a:t>
          </a:r>
        </a:p>
        <a:p>
          <a:pPr algn="l" rtl="0">
            <a:defRPr sz="1000"/>
          </a:pPr>
          <a:r>
            <a:rPr lang="ja-JP" altLang="en-US" sz="900" b="0" i="0" u="none" strike="noStrike" baseline="0">
              <a:solidFill>
                <a:srgbClr val="000000"/>
              </a:solidFill>
              <a:latin typeface="ＭＳ ゴシック"/>
              <a:ea typeface="ＭＳ ゴシック"/>
            </a:rPr>
            <a:t>    with resume;</a:t>
          </a:r>
        </a:p>
        <a:p>
          <a:pPr algn="l" rtl="0">
            <a:lnSpc>
              <a:spcPts val="1100"/>
            </a:lnSpc>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7</xdr:col>
      <xdr:colOff>228600</xdr:colOff>
      <xdr:row>59</xdr:row>
      <xdr:rowOff>152400</xdr:rowOff>
    </xdr:from>
    <xdr:to>
      <xdr:col>8</xdr:col>
      <xdr:colOff>333375</xdr:colOff>
      <xdr:row>71</xdr:row>
      <xdr:rowOff>152400</xdr:rowOff>
    </xdr:to>
    <xdr:sp macro="" textlink="">
      <xdr:nvSpPr>
        <xdr:cNvPr id="42" name="AutoShape 28">
          <a:extLst>
            <a:ext uri="{FF2B5EF4-FFF2-40B4-BE49-F238E27FC236}">
              <a16:creationId xmlns:a16="http://schemas.microsoft.com/office/drawing/2014/main" id="{77F6728A-097E-49B5-BB4D-3323EFD6925D}"/>
            </a:ext>
          </a:extLst>
        </xdr:cNvPr>
        <xdr:cNvSpPr>
          <a:spLocks noChangeArrowheads="1"/>
        </xdr:cNvSpPr>
      </xdr:nvSpPr>
      <xdr:spPr bwMode="auto">
        <a:xfrm>
          <a:off x="3629025" y="11858625"/>
          <a:ext cx="714375" cy="2400300"/>
        </a:xfrm>
        <a:prstGeom prst="downArrow">
          <a:avLst>
            <a:gd name="adj1" fmla="val 50000"/>
            <a:gd name="adj2" fmla="val 72000"/>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247650</xdr:colOff>
      <xdr:row>95</xdr:row>
      <xdr:rowOff>28575</xdr:rowOff>
    </xdr:from>
    <xdr:to>
      <xdr:col>9</xdr:col>
      <xdr:colOff>476250</xdr:colOff>
      <xdr:row>108</xdr:row>
      <xdr:rowOff>38100</xdr:rowOff>
    </xdr:to>
    <xdr:sp macro="" textlink="">
      <xdr:nvSpPr>
        <xdr:cNvPr id="43" name="Text Box 119">
          <a:extLst>
            <a:ext uri="{FF2B5EF4-FFF2-40B4-BE49-F238E27FC236}">
              <a16:creationId xmlns:a16="http://schemas.microsoft.com/office/drawing/2014/main" id="{EE16E0D9-E699-405C-8B69-BD4A1239D400}"/>
            </a:ext>
          </a:extLst>
        </xdr:cNvPr>
        <xdr:cNvSpPr txBox="1">
          <a:spLocks noChangeArrowheads="1"/>
        </xdr:cNvSpPr>
      </xdr:nvSpPr>
      <xdr:spPr bwMode="auto">
        <a:xfrm>
          <a:off x="495300" y="18907125"/>
          <a:ext cx="4533900" cy="260985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倉庫番号，</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ｂ．</a:t>
          </a:r>
          <a:r>
            <a:rPr lang="ja-JP" altLang="en-US" sz="900" b="0" i="0" u="none" strike="noStrike" baseline="0">
              <a:solidFill>
                <a:srgbClr val="000000"/>
              </a:solidFill>
              <a:latin typeface="ＭＳ ゴシック"/>
              <a:ea typeface="ＭＳ ゴシック"/>
            </a:rPr>
            <a:t>商品名称，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l_商品名称,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　商品マスタ　</a:t>
          </a:r>
          <a:r>
            <a:rPr lang="ja-JP" altLang="en-US" sz="900" b="0" i="0" u="none" strike="noStrike" baseline="0">
              <a:solidFill>
                <a:srgbClr val="339966"/>
              </a:solidFill>
              <a:latin typeface="ＭＳ ゴシック"/>
              <a:ea typeface="ＭＳ ゴシック"/>
            </a:rPr>
            <a:t>ｂ</a:t>
          </a: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a:t>
          </a: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　ｂ．</a:t>
          </a:r>
          <a:r>
            <a:rPr lang="ja-JP" altLang="en-US" sz="900" b="0" i="0" u="none" strike="noStrike" baseline="0">
              <a:solidFill>
                <a:srgbClr val="000000"/>
              </a:solidFill>
              <a:latin typeface="ＭＳ ゴシック"/>
              <a:ea typeface="ＭＳ ゴシック"/>
            </a:rPr>
            <a:t>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  　return  0, 0, 0, " ",</a:t>
          </a:r>
        </a:p>
        <a:p>
          <a:pPr algn="l" rtl="0">
            <a:defRPr sz="1000"/>
          </a:pPr>
          <a:r>
            <a:rPr lang="ja-JP" altLang="en-US" sz="900" b="0" i="0" u="none" strike="noStrike" baseline="0">
              <a:solidFill>
                <a:srgbClr val="000000"/>
              </a:solidFill>
              <a:latin typeface="ＭＳ ゴシック"/>
              <a:ea typeface="ＭＳ ゴシック"/>
            </a:rPr>
            <a:t>            l_倉庫番号,</a:t>
          </a:r>
        </a:p>
        <a:p>
          <a:pPr algn="l" rtl="0">
            <a:lnSpc>
              <a:spcPts val="1100"/>
            </a:lnSpc>
            <a:defRPr sz="1000"/>
          </a:pPr>
          <a:r>
            <a:rPr lang="ja-JP" altLang="en-US" sz="900" b="0" i="0" u="none" strike="noStrike" baseline="0">
              <a:solidFill>
                <a:srgbClr val="000000"/>
              </a:solidFill>
              <a:latin typeface="ＭＳ ゴシック"/>
              <a:ea typeface="ＭＳ ゴシック"/>
            </a:rPr>
            <a:t>　　 　　　 l_商品コード,</a:t>
          </a:r>
        </a:p>
        <a:p>
          <a:pPr algn="l" rtl="0">
            <a:defRPr sz="1000"/>
          </a:pPr>
          <a:r>
            <a:rPr lang="ja-JP" altLang="en-US" sz="900" b="0" i="0" u="none" strike="noStrike" baseline="0">
              <a:solidFill>
                <a:srgbClr val="000000"/>
              </a:solidFill>
              <a:latin typeface="ＭＳ ゴシック"/>
              <a:ea typeface="ＭＳ ゴシック"/>
            </a:rPr>
            <a:t>　　 　　　 l_商品名称,</a:t>
          </a:r>
        </a:p>
        <a:p>
          <a:pPr algn="l" rtl="0">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9</xdr:col>
      <xdr:colOff>228600</xdr:colOff>
      <xdr:row>95</xdr:row>
      <xdr:rowOff>9525</xdr:rowOff>
    </xdr:from>
    <xdr:to>
      <xdr:col>9</xdr:col>
      <xdr:colOff>942975</xdr:colOff>
      <xdr:row>108</xdr:row>
      <xdr:rowOff>114300</xdr:rowOff>
    </xdr:to>
    <xdr:sp macro="" textlink="">
      <xdr:nvSpPr>
        <xdr:cNvPr id="44" name="AutoShape 38">
          <a:extLst>
            <a:ext uri="{FF2B5EF4-FFF2-40B4-BE49-F238E27FC236}">
              <a16:creationId xmlns:a16="http://schemas.microsoft.com/office/drawing/2014/main" id="{F18F37AE-1773-47B0-93A3-BCFFD304655B}"/>
            </a:ext>
          </a:extLst>
        </xdr:cNvPr>
        <xdr:cNvSpPr>
          <a:spLocks noChangeArrowheads="1"/>
        </xdr:cNvSpPr>
      </xdr:nvSpPr>
      <xdr:spPr bwMode="auto">
        <a:xfrm>
          <a:off x="4781550" y="18888075"/>
          <a:ext cx="714375" cy="2705100"/>
        </a:xfrm>
        <a:prstGeom prst="downArrow">
          <a:avLst>
            <a:gd name="adj1" fmla="val 50000"/>
            <a:gd name="adj2" fmla="val 81667"/>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304800</xdr:colOff>
      <xdr:row>129</xdr:row>
      <xdr:rowOff>76200</xdr:rowOff>
    </xdr:from>
    <xdr:to>
      <xdr:col>9</xdr:col>
      <xdr:colOff>533400</xdr:colOff>
      <xdr:row>146</xdr:row>
      <xdr:rowOff>76200</xdr:rowOff>
    </xdr:to>
    <xdr:sp macro="" textlink="">
      <xdr:nvSpPr>
        <xdr:cNvPr id="45" name="Text Box 121">
          <a:extLst>
            <a:ext uri="{FF2B5EF4-FFF2-40B4-BE49-F238E27FC236}">
              <a16:creationId xmlns:a16="http://schemas.microsoft.com/office/drawing/2014/main" id="{34EA4429-3FBB-4588-A1C5-0F3C1AB621C2}"/>
            </a:ext>
          </a:extLst>
        </xdr:cNvPr>
        <xdr:cNvSpPr txBox="1">
          <a:spLocks noChangeArrowheads="1"/>
        </xdr:cNvSpPr>
      </xdr:nvSpPr>
      <xdr:spPr bwMode="auto">
        <a:xfrm>
          <a:off x="552450" y="25765125"/>
          <a:ext cx="4533900" cy="3400425"/>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倉庫番号，</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ｂ．</a:t>
          </a:r>
          <a:r>
            <a:rPr lang="ja-JP" altLang="en-US" sz="900" b="0" i="0" u="none" strike="noStrike" baseline="0">
              <a:solidFill>
                <a:srgbClr val="000000"/>
              </a:solidFill>
              <a:latin typeface="ＭＳ ゴシック"/>
              <a:ea typeface="ＭＳ ゴシック"/>
            </a:rPr>
            <a:t>商品名称，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l_商品名称,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a:t>
          </a:r>
          <a:r>
            <a:rPr lang="ja-JP" altLang="en-US" sz="900" b="1" i="0" u="none" strike="noStrike" baseline="0">
              <a:solidFill>
                <a:srgbClr val="FF0000"/>
              </a:solidFill>
              <a:latin typeface="ＭＳ ゴシック"/>
              <a:ea typeface="ＭＳ ゴシック"/>
            </a:rPr>
            <a:t>outer</a:t>
          </a:r>
          <a:r>
            <a:rPr lang="ja-JP" altLang="en-US" sz="900" b="0" i="0" u="none" strike="noStrike" baseline="0">
              <a:solidFill>
                <a:srgbClr val="000000"/>
              </a:solidFill>
              <a:latin typeface="ＭＳ ゴシック"/>
              <a:ea typeface="ＭＳ ゴシック"/>
            </a:rPr>
            <a:t>  商品マスタ　</a:t>
          </a:r>
          <a:r>
            <a:rPr lang="ja-JP" altLang="en-US" sz="900" b="0" i="0" u="none" strike="noStrike" baseline="0">
              <a:solidFill>
                <a:srgbClr val="339966"/>
              </a:solidFill>
              <a:latin typeface="ＭＳ ゴシック"/>
              <a:ea typeface="ＭＳ ゴシック"/>
            </a:rPr>
            <a:t>ｂ</a:t>
          </a: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a:t>
          </a: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　ｂ．</a:t>
          </a:r>
          <a:r>
            <a:rPr lang="ja-JP" altLang="en-US" sz="900" b="0" i="0" u="none" strike="noStrike" baseline="0">
              <a:solidFill>
                <a:srgbClr val="000000"/>
              </a:solidFill>
              <a:latin typeface="ＭＳ ゴシック"/>
              <a:ea typeface="ＭＳ ゴシック"/>
            </a:rPr>
            <a:t>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l_商品名称,</a:t>
          </a:r>
        </a:p>
        <a:p>
          <a:pPr algn="l" rtl="0">
            <a:defRPr sz="1000"/>
          </a:pPr>
          <a:r>
            <a:rPr lang="ja-JP" altLang="en-US" sz="900" b="0" i="0" u="none" strike="noStrike" baseline="0">
              <a:solidFill>
                <a:srgbClr val="000000"/>
              </a:solidFill>
              <a:latin typeface="ＭＳ ゴシック"/>
              <a:ea typeface="ＭＳ ゴシック"/>
            </a:rPr>
            <a:t>             l_在庫台数</a:t>
          </a:r>
        </a:p>
        <a:p>
          <a:pPr algn="l" rtl="0">
            <a:defRPr sz="1000"/>
          </a:pPr>
          <a:r>
            <a:rPr lang="ja-JP" altLang="en-US" sz="900" b="0" i="0" u="none" strike="noStrike" baseline="0">
              <a:solidFill>
                <a:srgbClr val="000000"/>
              </a:solidFill>
              <a:latin typeface="ＭＳ ゴシック"/>
              <a:ea typeface="ＭＳ ゴシック"/>
            </a:rPr>
            <a:t>   with resume;</a:t>
          </a:r>
        </a:p>
        <a:p>
          <a:pPr algn="l" rtl="0">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9</xdr:col>
      <xdr:colOff>333375</xdr:colOff>
      <xdr:row>129</xdr:row>
      <xdr:rowOff>9525</xdr:rowOff>
    </xdr:from>
    <xdr:to>
      <xdr:col>9</xdr:col>
      <xdr:colOff>1047750</xdr:colOff>
      <xdr:row>148</xdr:row>
      <xdr:rowOff>9525</xdr:rowOff>
    </xdr:to>
    <xdr:sp macro="" textlink="">
      <xdr:nvSpPr>
        <xdr:cNvPr id="46" name="AutoShape 42">
          <a:extLst>
            <a:ext uri="{FF2B5EF4-FFF2-40B4-BE49-F238E27FC236}">
              <a16:creationId xmlns:a16="http://schemas.microsoft.com/office/drawing/2014/main" id="{45F4643F-D9FD-4FAA-8E85-9C329B407A30}"/>
            </a:ext>
          </a:extLst>
        </xdr:cNvPr>
        <xdr:cNvSpPr>
          <a:spLocks noChangeArrowheads="1"/>
        </xdr:cNvSpPr>
      </xdr:nvSpPr>
      <xdr:spPr bwMode="auto">
        <a:xfrm>
          <a:off x="4886325" y="25698450"/>
          <a:ext cx="714375" cy="3800475"/>
        </a:xfrm>
        <a:prstGeom prst="downArrow">
          <a:avLst>
            <a:gd name="adj1" fmla="val 50000"/>
            <a:gd name="adj2" fmla="val 114000"/>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209550</xdr:colOff>
      <xdr:row>110</xdr:row>
      <xdr:rowOff>152400</xdr:rowOff>
    </xdr:from>
    <xdr:to>
      <xdr:col>9</xdr:col>
      <xdr:colOff>2657475</xdr:colOff>
      <xdr:row>114</xdr:row>
      <xdr:rowOff>47625</xdr:rowOff>
    </xdr:to>
    <xdr:pic>
      <xdr:nvPicPr>
        <xdr:cNvPr id="47" name="Picture 124">
          <a:extLst>
            <a:ext uri="{FF2B5EF4-FFF2-40B4-BE49-F238E27FC236}">
              <a16:creationId xmlns:a16="http://schemas.microsoft.com/office/drawing/2014/main" id="{1789AD28-CCA6-4DD9-A402-33D755A7B05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457200" y="22031325"/>
          <a:ext cx="6753225" cy="6953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2876550</xdr:colOff>
      <xdr:row>105</xdr:row>
      <xdr:rowOff>57150</xdr:rowOff>
    </xdr:from>
    <xdr:to>
      <xdr:col>13</xdr:col>
      <xdr:colOff>381000</xdr:colOff>
      <xdr:row>112</xdr:row>
      <xdr:rowOff>28575</xdr:rowOff>
    </xdr:to>
    <xdr:sp macro="" textlink="">
      <xdr:nvSpPr>
        <xdr:cNvPr id="48" name="AutoShape 80">
          <a:extLst>
            <a:ext uri="{FF2B5EF4-FFF2-40B4-BE49-F238E27FC236}">
              <a16:creationId xmlns:a16="http://schemas.microsoft.com/office/drawing/2014/main" id="{3D156AF9-A14C-4C60-938A-118F494A4B4A}"/>
            </a:ext>
          </a:extLst>
        </xdr:cNvPr>
        <xdr:cNvSpPr>
          <a:spLocks noChangeArrowheads="1"/>
        </xdr:cNvSpPr>
      </xdr:nvSpPr>
      <xdr:spPr bwMode="auto">
        <a:xfrm>
          <a:off x="7429500" y="20935950"/>
          <a:ext cx="2857500" cy="1371600"/>
        </a:xfrm>
        <a:prstGeom prst="wedgeRectCallout">
          <a:avLst>
            <a:gd name="adj1" fmla="val -49333"/>
            <a:gd name="adj2" fmla="val 6869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p>
        <a:p>
          <a:pPr algn="l" rtl="0">
            <a:lnSpc>
              <a:spcPts val="1300"/>
            </a:lnSpc>
            <a:defRPr sz="1000"/>
          </a:pPr>
          <a:r>
            <a:rPr lang="ja-JP" altLang="en-US" sz="1100" b="1" i="0" u="none" strike="noStrike" baseline="0">
              <a:solidFill>
                <a:srgbClr val="008000"/>
              </a:solidFill>
              <a:latin typeface="ＭＳ Ｐゴシック"/>
              <a:ea typeface="ＭＳ Ｐゴシック"/>
            </a:rPr>
            <a:t> b4：</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結合キーによって、</a:t>
          </a:r>
        </a:p>
        <a:p>
          <a:pPr algn="l" rtl="0">
            <a:lnSpc>
              <a:spcPts val="1200"/>
            </a:lnSpc>
            <a:defRPr sz="1000"/>
          </a:pPr>
          <a:r>
            <a:rPr lang="ja-JP" altLang="en-US" sz="1000" b="0" i="0" u="none" strike="noStrike" baseline="0">
              <a:solidFill>
                <a:srgbClr val="000000"/>
              </a:solidFill>
              <a:latin typeface="ＭＳ Ｐゴシック"/>
              <a:ea typeface="ＭＳ Ｐゴシック"/>
            </a:rPr>
            <a:t>　 　　　正しく結合されていることを確認。</a:t>
          </a:r>
        </a:p>
        <a:p>
          <a:pPr algn="l" rtl="0">
            <a:lnSpc>
              <a:spcPts val="1200"/>
            </a:lnSpc>
            <a:defRPr sz="1000"/>
          </a:pPr>
          <a:endParaRPr lang="ja-JP" altLang="en-US" sz="1000" b="0" i="0" u="none" strike="noStrike" baseline="0">
            <a:solidFill>
              <a:srgbClr val="000000"/>
            </a:solidFill>
            <a:latin typeface="ＭＳ Ｐゴシック"/>
            <a:ea typeface="ＭＳ Ｐゴシック"/>
          </a:endParaRPr>
        </a:p>
        <a:p>
          <a:pPr algn="l" rtl="0">
            <a:lnSpc>
              <a:spcPts val="1200"/>
            </a:lnSpc>
            <a:defRPr sz="1000"/>
          </a:pPr>
          <a:r>
            <a:rPr lang="ja-JP" altLang="en-US" sz="1000" b="0" i="0" u="none" strike="noStrike" baseline="0">
              <a:solidFill>
                <a:srgbClr val="000000"/>
              </a:solidFill>
              <a:latin typeface="ＭＳ Ｐゴシック"/>
              <a:ea typeface="ＭＳ Ｐゴシック"/>
            </a:rPr>
            <a:t> 　　　　商品マスタに該当データが存在しない場合は</a:t>
          </a:r>
        </a:p>
        <a:p>
          <a:pPr algn="l" rtl="0">
            <a:lnSpc>
              <a:spcPts val="1200"/>
            </a:lnSpc>
            <a:defRPr sz="1000"/>
          </a:pPr>
          <a:r>
            <a:rPr lang="ja-JP" altLang="en-US" sz="1000" b="0" i="0" u="none" strike="noStrike" baseline="0">
              <a:solidFill>
                <a:srgbClr val="000000"/>
              </a:solidFill>
              <a:latin typeface="ＭＳ Ｐゴシック"/>
              <a:ea typeface="ＭＳ Ｐゴシック"/>
            </a:rPr>
            <a:t> 　　　　出力していないことを確認。</a:t>
          </a:r>
          <a:endParaRPr lang="ja-JP" altLang="en-US" sz="900" b="0" i="0" u="none" strike="noStrike" baseline="0">
            <a:solidFill>
              <a:srgbClr val="000000"/>
            </a:solidFill>
            <a:latin typeface="ＭＳ Ｐゴシック"/>
            <a:ea typeface="ＭＳ Ｐゴシック"/>
          </a:endParaRPr>
        </a:p>
        <a:p>
          <a:pPr algn="l" rtl="0">
            <a:lnSpc>
              <a:spcPts val="1100"/>
            </a:lnSpc>
            <a:defRPr sz="1000"/>
          </a:pPr>
          <a:r>
            <a:rPr lang="ja-JP" altLang="en-US" sz="900" b="0" i="0" u="none" strike="noStrike" baseline="0">
              <a:solidFill>
                <a:srgbClr val="000000"/>
              </a:solidFill>
              <a:latin typeface="ＭＳ Ｐゴシック"/>
              <a:ea typeface="ＭＳ Ｐゴシック"/>
            </a:rPr>
            <a:t>　</a:t>
          </a:r>
        </a:p>
        <a:p>
          <a:pPr algn="l" rtl="0">
            <a:defRPr sz="1000"/>
          </a:pPr>
          <a:r>
            <a:rPr lang="ja-JP" altLang="en-US" sz="900" b="0" i="0" u="none" strike="noStrike" baseline="0">
              <a:solidFill>
                <a:srgbClr val="000000"/>
              </a:solidFill>
              <a:latin typeface="ＭＳ Ｐゴシック"/>
              <a:ea typeface="ＭＳ Ｐゴシック"/>
            </a:rPr>
            <a:t>　　　　　　　　　　</a:t>
          </a:r>
        </a:p>
      </xdr:txBody>
    </xdr:sp>
    <xdr:clientData/>
  </xdr:twoCellAnchor>
  <xdr:twoCellAnchor>
    <xdr:from>
      <xdr:col>2</xdr:col>
      <xdr:colOff>47625</xdr:colOff>
      <xdr:row>176</xdr:row>
      <xdr:rowOff>85725</xdr:rowOff>
    </xdr:from>
    <xdr:to>
      <xdr:col>8</xdr:col>
      <xdr:colOff>209550</xdr:colOff>
      <xdr:row>203</xdr:row>
      <xdr:rowOff>38100</xdr:rowOff>
    </xdr:to>
    <xdr:sp macro="" textlink="">
      <xdr:nvSpPr>
        <xdr:cNvPr id="49" name="Text Box 125">
          <a:extLst>
            <a:ext uri="{FF2B5EF4-FFF2-40B4-BE49-F238E27FC236}">
              <a16:creationId xmlns:a16="http://schemas.microsoft.com/office/drawing/2014/main" id="{99A92AD9-AFED-4046-8CF4-A9747F78308D}"/>
            </a:ext>
          </a:extLst>
        </xdr:cNvPr>
        <xdr:cNvSpPr txBox="1">
          <a:spLocks noChangeArrowheads="1"/>
        </xdr:cNvSpPr>
      </xdr:nvSpPr>
      <xdr:spPr bwMode="auto">
        <a:xfrm>
          <a:off x="838200" y="35185350"/>
          <a:ext cx="3381375" cy="535305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defRPr sz="1000"/>
          </a:pPr>
          <a:r>
            <a:rPr lang="ja-JP" altLang="en-US" sz="1100" b="0" i="0" u="none" strike="noStrike" baseline="0">
              <a:solidFill>
                <a:srgbClr val="FF00FF"/>
              </a:solidFill>
              <a:latin typeface="ＭＳ ゴシック"/>
              <a:ea typeface="ＭＳ ゴシック"/>
            </a:rPr>
            <a:t>foreach</a:t>
          </a:r>
        </a:p>
        <a:p>
          <a:pPr algn="l" rtl="0">
            <a:defRPr sz="1000"/>
          </a:pPr>
          <a:endParaRPr lang="ja-JP" altLang="en-US" sz="1100" b="0" i="0" u="none" strike="noStrike" baseline="0">
            <a:solidFill>
              <a:srgbClr val="FF00FF"/>
            </a:solidFill>
            <a:latin typeface="ＭＳ ゴシック"/>
            <a:ea typeface="ＭＳ ゴシック"/>
          </a:endParaRPr>
        </a:p>
        <a:p>
          <a:pPr algn="l" rtl="0">
            <a:defRPr sz="1000"/>
          </a:pPr>
          <a:endParaRPr lang="ja-JP" altLang="en-US" sz="1100" b="0" i="0" u="none" strike="noStrike" baseline="0">
            <a:solidFill>
              <a:srgbClr val="FF00FF"/>
            </a:solidFill>
            <a:latin typeface="ＭＳ ゴシック"/>
            <a:ea typeface="ＭＳ ゴシック"/>
          </a:endParaRPr>
        </a:p>
        <a:p>
          <a:pPr algn="l" rtl="0">
            <a:defRPr sz="1000"/>
          </a:pP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select  </a:t>
          </a:r>
          <a:r>
            <a:rPr lang="ja-JP" altLang="en-US" sz="900" b="0" i="0" u="none" strike="noStrike" baseline="0">
              <a:solidFill>
                <a:srgbClr val="000000"/>
              </a:solidFill>
              <a:latin typeface="ＭＳ ゴシック"/>
              <a:ea typeface="ＭＳ ゴシック"/>
            </a:rPr>
            <a:t>倉庫番号，商品コード，在庫台数</a:t>
          </a: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from  </a:t>
          </a:r>
          <a:r>
            <a:rPr lang="ja-JP" altLang="en-US" sz="900" b="0" i="0" u="none" strike="noStrike" baseline="0">
              <a:solidFill>
                <a:srgbClr val="000000"/>
              </a:solidFill>
              <a:latin typeface="ＭＳ ゴシック"/>
              <a:ea typeface="ＭＳ ゴシック"/>
            </a:rPr>
            <a:t>倉庫1在庫マスタ</a:t>
          </a:r>
          <a:endParaRPr lang="ja-JP" altLang="en-US" sz="900" b="0" i="0" u="none" strike="noStrike" baseline="0">
            <a:solidFill>
              <a:srgbClr val="339966"/>
            </a:solidFill>
            <a:latin typeface="ＭＳ ゴシック"/>
            <a:ea typeface="ＭＳ ゴシック"/>
          </a:endParaRPr>
        </a:p>
        <a:p>
          <a:pPr algn="l" rtl="0">
            <a:defRPr sz="1000"/>
          </a:pPr>
          <a:r>
            <a:rPr lang="ja-JP" altLang="en-US" sz="900" b="0" i="0" u="none" strike="noStrike" baseline="0">
              <a:solidFill>
                <a:srgbClr val="339966"/>
              </a:solidFill>
              <a:latin typeface="ＭＳ ゴシック"/>
              <a:ea typeface="ＭＳ ゴシック"/>
            </a:rPr>
            <a:t> 　 </a:t>
          </a:r>
          <a:r>
            <a:rPr lang="ja-JP" altLang="en-US" sz="1100" b="0" i="0" u="none" strike="noStrike" baseline="0">
              <a:solidFill>
                <a:srgbClr val="000000"/>
              </a:solidFill>
              <a:latin typeface="ＭＳ ゴシック"/>
              <a:ea typeface="ＭＳ ゴシック"/>
            </a:rPr>
            <a:t>where  </a:t>
          </a:r>
          <a:r>
            <a:rPr lang="ja-JP" altLang="en-US" sz="900" b="0" i="0" u="none" strike="noStrike" baseline="0">
              <a:solidFill>
                <a:srgbClr val="000000"/>
              </a:solidFill>
              <a:latin typeface="ＭＳ ゴシック"/>
              <a:ea typeface="ＭＳ ゴシック"/>
            </a:rPr>
            <a:t>商品コード　＝  l_商品コード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1" i="0" u="none" strike="noStrike" baseline="0">
              <a:solidFill>
                <a:srgbClr val="FF0000"/>
              </a:solidFill>
              <a:latin typeface="ＭＳ ゴシック"/>
              <a:ea typeface="ＭＳ ゴシック"/>
            </a:rPr>
            <a:t>　　union</a:t>
          </a:r>
          <a:endParaRPr lang="ja-JP" altLang="en-US" sz="900" b="0" i="0" u="none" strike="noStrike" baseline="0">
            <a:solidFill>
              <a:srgbClr val="000000"/>
            </a:solidFill>
            <a:latin typeface="ＭＳ ゴシック"/>
            <a:ea typeface="ＭＳ ゴシック"/>
          </a:endParaRP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select  </a:t>
          </a:r>
          <a:r>
            <a:rPr lang="ja-JP" altLang="en-US" sz="900" b="0" i="0" u="none" strike="noStrike" baseline="0">
              <a:solidFill>
                <a:srgbClr val="000000"/>
              </a:solidFill>
              <a:latin typeface="ＭＳ ゴシック"/>
              <a:ea typeface="ＭＳ ゴシック"/>
            </a:rPr>
            <a:t>倉庫番号，商品コード，在庫台数</a:t>
          </a:r>
        </a:p>
        <a:p>
          <a:pPr algn="l" rtl="0">
            <a:defRPr sz="1000"/>
          </a:pPr>
          <a:r>
            <a:rPr lang="ja-JP" altLang="en-US" sz="1100" b="0" i="0" u="none" strike="noStrike" baseline="0">
              <a:solidFill>
                <a:srgbClr val="000000"/>
              </a:solidFill>
              <a:latin typeface="ＭＳ ゴシック"/>
              <a:ea typeface="ＭＳ ゴシック"/>
            </a:rPr>
            <a:t>　　into  </a:t>
          </a:r>
          <a:r>
            <a:rPr lang="ja-JP" altLang="en-US" sz="900" b="0" i="0" u="none" strike="noStrike" baseline="0">
              <a:solidFill>
                <a:srgbClr val="000000"/>
              </a:solidFill>
              <a:latin typeface="ＭＳ ゴシック"/>
              <a:ea typeface="ＭＳ ゴシック"/>
            </a:rPr>
            <a:t> l_倉庫番号, l_商品コード, l_在庫台数</a:t>
          </a:r>
        </a:p>
        <a:p>
          <a:pPr algn="l" rtl="0">
            <a:defRPr sz="1000"/>
          </a:pPr>
          <a:r>
            <a:rPr lang="ja-JP" altLang="en-US" sz="1100" b="0" i="0" u="none" strike="noStrike" baseline="0">
              <a:solidFill>
                <a:srgbClr val="000000"/>
              </a:solidFill>
              <a:latin typeface="ＭＳ ゴシック"/>
              <a:ea typeface="ＭＳ ゴシック"/>
            </a:rPr>
            <a:t>　　from   </a:t>
          </a:r>
          <a:r>
            <a:rPr lang="ja-JP" altLang="en-US" sz="900" b="0" i="0" u="none" strike="noStrike" baseline="0">
              <a:solidFill>
                <a:srgbClr val="000000"/>
              </a:solidFill>
              <a:latin typeface="ＭＳ ゴシック"/>
              <a:ea typeface="ＭＳ ゴシック"/>
            </a:rPr>
            <a:t>倉庫2在庫マスタ</a:t>
          </a:r>
        </a:p>
        <a:p>
          <a:pPr algn="l" rtl="0">
            <a:lnSpc>
              <a:spcPts val="1300"/>
            </a:lnSpc>
            <a:defRPr sz="1000"/>
          </a:pPr>
          <a:r>
            <a:rPr lang="ja-JP" altLang="en-US" sz="900" b="0" i="0" u="none" strike="noStrike" baseline="0">
              <a:solidFill>
                <a:srgbClr val="000000"/>
              </a:solidFill>
              <a:latin typeface="ＭＳ ゴシック"/>
              <a:ea typeface="ＭＳ ゴシック"/>
            </a:rPr>
            <a:t> </a:t>
          </a:r>
          <a:r>
            <a:rPr lang="ja-JP" altLang="en-US" sz="1100" b="0" i="0" u="none" strike="noStrike" baseline="0">
              <a:solidFill>
                <a:srgbClr val="000000"/>
              </a:solidFill>
              <a:latin typeface="ＭＳ ゴシック"/>
              <a:ea typeface="ＭＳ ゴシック"/>
            </a:rPr>
            <a:t>　where</a:t>
          </a:r>
          <a:r>
            <a:rPr lang="ja-JP" altLang="en-US" sz="900" b="0" i="0" u="none" strike="noStrike" baseline="0">
              <a:solidFill>
                <a:srgbClr val="000000"/>
              </a:solidFill>
              <a:latin typeface="ＭＳ ゴシック"/>
              <a:ea typeface="ＭＳ ゴシック"/>
            </a:rPr>
            <a:t>    not exists(</a:t>
          </a:r>
        </a:p>
        <a:p>
          <a:pPr algn="l" rtl="0">
            <a:lnSpc>
              <a:spcPts val="1100"/>
            </a:lnSpc>
            <a:defRPr sz="1000"/>
          </a:pPr>
          <a:r>
            <a:rPr lang="ja-JP" altLang="en-US" sz="900" b="0" i="0" u="none" strike="noStrike" baseline="0">
              <a:solidFill>
                <a:srgbClr val="000000"/>
              </a:solidFill>
              <a:latin typeface="ＭＳ ゴシック"/>
              <a:ea typeface="ＭＳ ゴシック"/>
            </a:rPr>
            <a:t>                  Select  1</a:t>
          </a:r>
        </a:p>
        <a:p>
          <a:pPr algn="l" rtl="0">
            <a:lnSpc>
              <a:spcPts val="1100"/>
            </a:lnSpc>
            <a:defRPr sz="1000"/>
          </a:pPr>
          <a:r>
            <a:rPr lang="ja-JP" altLang="en-US" sz="900" b="0" i="0" u="none" strike="noStrike" baseline="0">
              <a:solidFill>
                <a:srgbClr val="000000"/>
              </a:solidFill>
              <a:latin typeface="ＭＳ ゴシック"/>
              <a:ea typeface="ＭＳ ゴシック"/>
            </a:rPr>
            <a:t>                    from  倉庫1在庫マスタ</a:t>
          </a:r>
        </a:p>
        <a:p>
          <a:pPr algn="l" rtl="0">
            <a:lnSpc>
              <a:spcPts val="1100"/>
            </a:lnSpc>
            <a:defRPr sz="1000"/>
          </a:pPr>
          <a:r>
            <a:rPr lang="ja-JP" altLang="en-US" sz="900" b="0" i="0" u="none" strike="noStrike" baseline="0">
              <a:solidFill>
                <a:srgbClr val="000000"/>
              </a:solidFill>
              <a:latin typeface="ＭＳ ゴシック"/>
              <a:ea typeface="ＭＳ ゴシック"/>
            </a:rPr>
            <a:t>　　　　　　　     where  商品コード　＝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and  商品コード　＝  l_商品コード</a:t>
          </a:r>
        </a:p>
        <a:p>
          <a:pPr algn="l" rtl="0">
            <a:defRPr sz="1000"/>
          </a:pPr>
          <a:endParaRPr lang="ja-JP" altLang="en-US" sz="1100" b="0" i="0" u="none" strike="noStrike" baseline="0">
            <a:solidFill>
              <a:srgbClr val="000000"/>
            </a:solidFill>
            <a:latin typeface="ＭＳ ゴシック"/>
            <a:ea typeface="ＭＳ ゴシック"/>
          </a:endParaRPr>
        </a:p>
        <a:p>
          <a:pPr algn="l" rtl="0">
            <a:lnSpc>
              <a:spcPts val="1300"/>
            </a:lnSpc>
            <a:defRPr sz="1000"/>
          </a:pPr>
          <a:r>
            <a:rPr lang="ja-JP" altLang="en-US" sz="1100" b="0" i="0" u="none" strike="noStrike" baseline="0">
              <a:solidFill>
                <a:srgbClr val="000000"/>
              </a:solidFill>
              <a:latin typeface="ＭＳ ゴシック"/>
              <a:ea typeface="ＭＳ ゴシック"/>
            </a:rPr>
            <a:t>  return  </a:t>
          </a:r>
          <a:r>
            <a:rPr lang="ja-JP" altLang="en-US" sz="900" b="0" i="0" u="none" strike="noStrike" baseline="0">
              <a:solidFill>
                <a:srgbClr val="000000"/>
              </a:solidFill>
              <a:latin typeface="ＭＳ ゴシック"/>
              <a:ea typeface="ＭＳ ゴシック"/>
            </a:rPr>
            <a:t>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lnSpc>
              <a:spcPts val="1100"/>
            </a:lnSpc>
            <a:defRPr sz="1000"/>
          </a:pPr>
          <a:r>
            <a:rPr lang="ja-JP" altLang="en-US" sz="900" b="0" i="0" u="none" strike="noStrike" baseline="0">
              <a:solidFill>
                <a:srgbClr val="000000"/>
              </a:solidFill>
              <a:latin typeface="ＭＳ ゴシック"/>
              <a:ea typeface="ＭＳ ゴシック"/>
            </a:rPr>
            <a:t>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lnSpc>
              <a:spcPts val="1100"/>
            </a:lnSpc>
            <a:defRPr sz="1000"/>
          </a:pPr>
          <a:r>
            <a:rPr lang="ja-JP" altLang="en-US" sz="900" b="0" i="0" u="none" strike="noStrike" baseline="0">
              <a:solidFill>
                <a:srgbClr val="000000"/>
              </a:solidFill>
              <a:latin typeface="ＭＳ ゴシック"/>
              <a:ea typeface="ＭＳ ゴシック"/>
            </a:rPr>
            <a:t>  ;</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300"/>
            </a:lnSpc>
            <a:defRPr sz="1000"/>
          </a:pPr>
          <a:r>
            <a:rPr lang="ja-JP" altLang="en-US" sz="1100" b="0" i="0" u="none" strike="noStrike" baseline="0">
              <a:solidFill>
                <a:srgbClr val="FF00FF"/>
              </a:solidFill>
              <a:latin typeface="ＭＳ ゴシック"/>
              <a:ea typeface="ＭＳ ゴシック"/>
            </a:rPr>
            <a:t>end foreach</a:t>
          </a: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8</xdr:col>
      <xdr:colOff>190500</xdr:colOff>
      <xdr:row>175</xdr:row>
      <xdr:rowOff>104775</xdr:rowOff>
    </xdr:from>
    <xdr:to>
      <xdr:col>9</xdr:col>
      <xdr:colOff>180975</xdr:colOff>
      <xdr:row>203</xdr:row>
      <xdr:rowOff>19050</xdr:rowOff>
    </xdr:to>
    <xdr:sp macro="" textlink="">
      <xdr:nvSpPr>
        <xdr:cNvPr id="50" name="AutoShape 46">
          <a:extLst>
            <a:ext uri="{FF2B5EF4-FFF2-40B4-BE49-F238E27FC236}">
              <a16:creationId xmlns:a16="http://schemas.microsoft.com/office/drawing/2014/main" id="{24B21046-99EC-41C5-AC2C-5D4050242553}"/>
            </a:ext>
          </a:extLst>
        </xdr:cNvPr>
        <xdr:cNvSpPr>
          <a:spLocks noChangeArrowheads="1"/>
        </xdr:cNvSpPr>
      </xdr:nvSpPr>
      <xdr:spPr bwMode="auto">
        <a:xfrm>
          <a:off x="4200525" y="35004375"/>
          <a:ext cx="533400" cy="5514975"/>
        </a:xfrm>
        <a:prstGeom prst="downArrow">
          <a:avLst>
            <a:gd name="adj1" fmla="val 50000"/>
            <a:gd name="adj2" fmla="val 220982"/>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0</xdr:colOff>
      <xdr:row>176</xdr:row>
      <xdr:rowOff>104775</xdr:rowOff>
    </xdr:from>
    <xdr:to>
      <xdr:col>9</xdr:col>
      <xdr:colOff>2419350</xdr:colOff>
      <xdr:row>181</xdr:row>
      <xdr:rowOff>57150</xdr:rowOff>
    </xdr:to>
    <xdr:sp macro="" textlink="">
      <xdr:nvSpPr>
        <xdr:cNvPr id="51" name="AutoShape 138">
          <a:extLst>
            <a:ext uri="{FF2B5EF4-FFF2-40B4-BE49-F238E27FC236}">
              <a16:creationId xmlns:a16="http://schemas.microsoft.com/office/drawing/2014/main" id="{AB94E418-6A7F-49D5-93D1-0DB79E9D60C8}"/>
            </a:ext>
          </a:extLst>
        </xdr:cNvPr>
        <xdr:cNvSpPr>
          <a:spLocks noChangeArrowheads="1"/>
        </xdr:cNvSpPr>
      </xdr:nvSpPr>
      <xdr:spPr bwMode="auto">
        <a:xfrm>
          <a:off x="4552950" y="35204400"/>
          <a:ext cx="2419350" cy="952500"/>
        </a:xfrm>
        <a:prstGeom prst="wedgeRectCallout">
          <a:avLst>
            <a:gd name="adj1" fmla="val -66144"/>
            <a:gd name="adj2" fmla="val 39657"/>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Ｐゴシック"/>
              <a:ea typeface="ＭＳ Ｐゴシック"/>
            </a:rPr>
            <a:t>処理内でl_商品コードは</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foreachループ1回目　→　Y_BIKE_001</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foreachループ2回目　→　Y_BIKE_004</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foreachループ3回目　→　Y_BIKE_005</a:t>
          </a:r>
        </a:p>
        <a:p>
          <a:pPr algn="l" rtl="0">
            <a:lnSpc>
              <a:spcPts val="1100"/>
            </a:lnSpc>
            <a:defRPr sz="1000"/>
          </a:pPr>
          <a:r>
            <a:rPr lang="ja-JP" altLang="en-US" sz="900" b="0" i="0" u="none" strike="noStrike" baseline="0">
              <a:solidFill>
                <a:srgbClr val="000000"/>
              </a:solidFill>
              <a:latin typeface="ＭＳ Ｐゴシック"/>
              <a:ea typeface="ＭＳ Ｐゴシック"/>
            </a:rPr>
            <a:t>と変化するものとする</a:t>
          </a:r>
        </a:p>
      </xdr:txBody>
    </xdr:sp>
    <xdr:clientData/>
  </xdr:twoCellAnchor>
  <xdr:twoCellAnchor>
    <xdr:from>
      <xdr:col>2</xdr:col>
      <xdr:colOff>152400</xdr:colOff>
      <xdr:row>179</xdr:row>
      <xdr:rowOff>123825</xdr:rowOff>
    </xdr:from>
    <xdr:to>
      <xdr:col>8</xdr:col>
      <xdr:colOff>123825</xdr:colOff>
      <xdr:row>181</xdr:row>
      <xdr:rowOff>114300</xdr:rowOff>
    </xdr:to>
    <xdr:sp macro="" textlink="">
      <xdr:nvSpPr>
        <xdr:cNvPr id="52" name="Rectangle 139">
          <a:extLst>
            <a:ext uri="{FF2B5EF4-FFF2-40B4-BE49-F238E27FC236}">
              <a16:creationId xmlns:a16="http://schemas.microsoft.com/office/drawing/2014/main" id="{40F84946-E188-4361-BEC0-7A2CF7B38EF3}"/>
            </a:ext>
          </a:extLst>
        </xdr:cNvPr>
        <xdr:cNvSpPr>
          <a:spLocks noChangeArrowheads="1"/>
        </xdr:cNvSpPr>
      </xdr:nvSpPr>
      <xdr:spPr bwMode="auto">
        <a:xfrm>
          <a:off x="942975" y="35823525"/>
          <a:ext cx="3190875" cy="390525"/>
        </a:xfrm>
        <a:prstGeom prst="rect">
          <a:avLst/>
        </a:prstGeom>
        <a:solidFill>
          <a:srgbClr xmlns:mc="http://schemas.openxmlformats.org/markup-compatibility/2006" xmlns:a14="http://schemas.microsoft.com/office/drawing/2010/main" val="FFFFFF" mc:Ignorable="a14" a14:legacySpreadsheetColorIndex="65"/>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22860" rIns="36576" bIns="0" anchor="t" upright="1"/>
        <a:lstStyle/>
        <a:p>
          <a:pPr algn="ctr" rtl="0">
            <a:defRPr sz="1000"/>
          </a:pPr>
          <a:r>
            <a:rPr lang="ja-JP" altLang="en-US" sz="1800" b="0" i="0" u="none" strike="noStrike" baseline="0">
              <a:solidFill>
                <a:srgbClr val="FF0000"/>
              </a:solidFill>
              <a:latin typeface="ＭＳ Ｐゴシック"/>
              <a:ea typeface="ＭＳ Ｐゴシック"/>
            </a:rPr>
            <a:t>処理</a:t>
          </a:r>
        </a:p>
      </xdr:txBody>
    </xdr:sp>
    <xdr:clientData/>
  </xdr:twoCellAnchor>
  <xdr:twoCellAnchor editAs="oneCell">
    <xdr:from>
      <xdr:col>1</xdr:col>
      <xdr:colOff>276225</xdr:colOff>
      <xdr:row>205</xdr:row>
      <xdr:rowOff>85725</xdr:rowOff>
    </xdr:from>
    <xdr:to>
      <xdr:col>9</xdr:col>
      <xdr:colOff>2028825</xdr:colOff>
      <xdr:row>209</xdr:row>
      <xdr:rowOff>152400</xdr:rowOff>
    </xdr:to>
    <xdr:pic>
      <xdr:nvPicPr>
        <xdr:cNvPr id="53" name="Picture 141">
          <a:extLst>
            <a:ext uri="{FF2B5EF4-FFF2-40B4-BE49-F238E27FC236}">
              <a16:creationId xmlns:a16="http://schemas.microsoft.com/office/drawing/2014/main" id="{E7EFFE63-8498-4D59-B02B-A212B88EEC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523875" y="40986075"/>
          <a:ext cx="605790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7</xdr:col>
      <xdr:colOff>533400</xdr:colOff>
      <xdr:row>211</xdr:row>
      <xdr:rowOff>152400</xdr:rowOff>
    </xdr:from>
    <xdr:to>
      <xdr:col>9</xdr:col>
      <xdr:colOff>2447925</xdr:colOff>
      <xdr:row>213</xdr:row>
      <xdr:rowOff>47625</xdr:rowOff>
    </xdr:to>
    <xdr:sp macro="" textlink="">
      <xdr:nvSpPr>
        <xdr:cNvPr id="54" name="AutoShape 56">
          <a:extLst>
            <a:ext uri="{FF2B5EF4-FFF2-40B4-BE49-F238E27FC236}">
              <a16:creationId xmlns:a16="http://schemas.microsoft.com/office/drawing/2014/main" id="{F4D6E434-A7A8-48E0-963E-506ECCA9AE9E}"/>
            </a:ext>
          </a:extLst>
        </xdr:cNvPr>
        <xdr:cNvSpPr>
          <a:spLocks noChangeArrowheads="1"/>
        </xdr:cNvSpPr>
      </xdr:nvSpPr>
      <xdr:spPr bwMode="auto">
        <a:xfrm>
          <a:off x="3933825" y="42252900"/>
          <a:ext cx="3067050" cy="295275"/>
        </a:xfrm>
        <a:prstGeom prst="wedgeRectCallout">
          <a:avLst>
            <a:gd name="adj1" fmla="val -13977"/>
            <a:gd name="adj2" fmla="val -15400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36576" bIns="0" anchor="t" upright="1"/>
        <a:lstStyle/>
        <a:p>
          <a:pPr algn="ctr" rtl="0">
            <a:defRPr sz="1000"/>
          </a:pPr>
          <a:r>
            <a:rPr lang="ja-JP" altLang="en-US" sz="1100" b="1" i="0" u="none" strike="noStrike" baseline="0">
              <a:solidFill>
                <a:srgbClr val="008000"/>
              </a:solidFill>
              <a:latin typeface="ＭＳ Ｐゴシック"/>
              <a:ea typeface="ＭＳ Ｐゴシック"/>
            </a:rPr>
            <a:t> b6：</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結合が正しく行われていることを確認。</a:t>
          </a:r>
        </a:p>
      </xdr:txBody>
    </xdr:sp>
    <xdr:clientData/>
  </xdr:twoCellAnchor>
  <xdr:twoCellAnchor editAs="oneCell">
    <xdr:from>
      <xdr:col>1</xdr:col>
      <xdr:colOff>276225</xdr:colOff>
      <xdr:row>239</xdr:row>
      <xdr:rowOff>0</xdr:rowOff>
    </xdr:from>
    <xdr:to>
      <xdr:col>9</xdr:col>
      <xdr:colOff>1704975</xdr:colOff>
      <xdr:row>241</xdr:row>
      <xdr:rowOff>152400</xdr:rowOff>
    </xdr:to>
    <xdr:pic>
      <xdr:nvPicPr>
        <xdr:cNvPr id="55" name="Picture 170">
          <a:extLst>
            <a:ext uri="{FF2B5EF4-FFF2-40B4-BE49-F238E27FC236}">
              <a16:creationId xmlns:a16="http://schemas.microsoft.com/office/drawing/2014/main" id="{80832C6E-B728-486A-86DA-4AC5A863607A}"/>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23875" y="47615475"/>
          <a:ext cx="5734050" cy="5524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266700</xdr:colOff>
      <xdr:row>248</xdr:row>
      <xdr:rowOff>38100</xdr:rowOff>
    </xdr:from>
    <xdr:to>
      <xdr:col>9</xdr:col>
      <xdr:colOff>1695450</xdr:colOff>
      <xdr:row>250</xdr:row>
      <xdr:rowOff>161925</xdr:rowOff>
    </xdr:to>
    <xdr:pic>
      <xdr:nvPicPr>
        <xdr:cNvPr id="56" name="Picture 171">
          <a:extLst>
            <a:ext uri="{FF2B5EF4-FFF2-40B4-BE49-F238E27FC236}">
              <a16:creationId xmlns:a16="http://schemas.microsoft.com/office/drawing/2014/main" id="{C46B04AA-BEDC-4099-A902-563C2B73957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14350" y="494252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220</xdr:row>
      <xdr:rowOff>142875</xdr:rowOff>
    </xdr:from>
    <xdr:to>
      <xdr:col>9</xdr:col>
      <xdr:colOff>1743075</xdr:colOff>
      <xdr:row>223</xdr:row>
      <xdr:rowOff>66675</xdr:rowOff>
    </xdr:to>
    <xdr:pic>
      <xdr:nvPicPr>
        <xdr:cNvPr id="57" name="Picture 173">
          <a:extLst>
            <a:ext uri="{FF2B5EF4-FFF2-40B4-BE49-F238E27FC236}">
              <a16:creationId xmlns:a16="http://schemas.microsoft.com/office/drawing/2014/main" id="{3820D74A-205D-4C4D-BC83-EAABE38F57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561975" y="440150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247650</xdr:colOff>
      <xdr:row>228</xdr:row>
      <xdr:rowOff>85725</xdr:rowOff>
    </xdr:from>
    <xdr:to>
      <xdr:col>4</xdr:col>
      <xdr:colOff>419100</xdr:colOff>
      <xdr:row>229</xdr:row>
      <xdr:rowOff>142875</xdr:rowOff>
    </xdr:to>
    <xdr:sp macro="" textlink="">
      <xdr:nvSpPr>
        <xdr:cNvPr id="58" name="AutoShape 175">
          <a:extLst>
            <a:ext uri="{FF2B5EF4-FFF2-40B4-BE49-F238E27FC236}">
              <a16:creationId xmlns:a16="http://schemas.microsoft.com/office/drawing/2014/main" id="{C13478A7-CB3E-4C59-9411-F502AA166777}"/>
            </a:ext>
          </a:extLst>
        </xdr:cNvPr>
        <xdr:cNvSpPr>
          <a:spLocks noChangeArrowheads="1"/>
        </xdr:cNvSpPr>
      </xdr:nvSpPr>
      <xdr:spPr bwMode="auto">
        <a:xfrm>
          <a:off x="495300" y="4552950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276225</xdr:colOff>
      <xdr:row>230</xdr:row>
      <xdr:rowOff>0</xdr:rowOff>
    </xdr:from>
    <xdr:to>
      <xdr:col>9</xdr:col>
      <xdr:colOff>1704975</xdr:colOff>
      <xdr:row>233</xdr:row>
      <xdr:rowOff>38100</xdr:rowOff>
    </xdr:to>
    <xdr:grpSp>
      <xdr:nvGrpSpPr>
        <xdr:cNvPr id="59" name="Group 179">
          <a:extLst>
            <a:ext uri="{FF2B5EF4-FFF2-40B4-BE49-F238E27FC236}">
              <a16:creationId xmlns:a16="http://schemas.microsoft.com/office/drawing/2014/main" id="{9466B3D8-4399-4E16-B8C2-A2A3A72A2E33}"/>
            </a:ext>
          </a:extLst>
        </xdr:cNvPr>
        <xdr:cNvGrpSpPr>
          <a:grpSpLocks/>
        </xdr:cNvGrpSpPr>
      </xdr:nvGrpSpPr>
      <xdr:grpSpPr bwMode="auto">
        <a:xfrm>
          <a:off x="501650" y="43824525"/>
          <a:ext cx="5372100" cy="609600"/>
          <a:chOff x="55" y="4087"/>
          <a:chExt cx="602" cy="58"/>
        </a:xfrm>
      </xdr:grpSpPr>
      <xdr:pic>
        <xdr:nvPicPr>
          <xdr:cNvPr id="60" name="Picture 176">
            <a:extLst>
              <a:ext uri="{FF2B5EF4-FFF2-40B4-BE49-F238E27FC236}">
                <a16:creationId xmlns:a16="http://schemas.microsoft.com/office/drawing/2014/main" id="{E1795520-AB5A-DE86-2BB2-DD44030EC96E}"/>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5" y="4087"/>
            <a:ext cx="602" cy="58"/>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pic>
        <xdr:nvPicPr>
          <xdr:cNvPr id="61" name="Picture 177">
            <a:extLst>
              <a:ext uri="{FF2B5EF4-FFF2-40B4-BE49-F238E27FC236}">
                <a16:creationId xmlns:a16="http://schemas.microsoft.com/office/drawing/2014/main" id="{86B52FFA-9ED3-E1E5-52D9-12619572288A}"/>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261" y="4127"/>
            <a:ext cx="34" cy="16"/>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clientData/>
  </xdr:twoCellAnchor>
  <xdr:twoCellAnchor>
    <xdr:from>
      <xdr:col>1</xdr:col>
      <xdr:colOff>323850</xdr:colOff>
      <xdr:row>2</xdr:row>
      <xdr:rowOff>133350</xdr:rowOff>
    </xdr:from>
    <xdr:to>
      <xdr:col>9</xdr:col>
      <xdr:colOff>2476500</xdr:colOff>
      <xdr:row>5</xdr:row>
      <xdr:rowOff>104775</xdr:rowOff>
    </xdr:to>
    <xdr:sp macro="" textlink="">
      <xdr:nvSpPr>
        <xdr:cNvPr id="62" name="Rectangle 180">
          <a:extLst>
            <a:ext uri="{FF2B5EF4-FFF2-40B4-BE49-F238E27FC236}">
              <a16:creationId xmlns:a16="http://schemas.microsoft.com/office/drawing/2014/main" id="{8DF61A46-D0B3-4104-80FC-BE5AD60BCBFC}"/>
            </a:ext>
          </a:extLst>
        </xdr:cNvPr>
        <xdr:cNvSpPr>
          <a:spLocks noChangeArrowheads="1"/>
        </xdr:cNvSpPr>
      </xdr:nvSpPr>
      <xdr:spPr bwMode="auto">
        <a:xfrm>
          <a:off x="571500" y="638175"/>
          <a:ext cx="6457950" cy="485775"/>
        </a:xfrm>
        <a:prstGeom prst="rect">
          <a:avLst/>
        </a:prstGeom>
        <a:solidFill>
          <a:srgbClr xmlns:mc="http://schemas.openxmlformats.org/markup-compatibility/2006" xmlns:a14="http://schemas.microsoft.com/office/drawing/2010/main" val="FFFFE7" mc:Ignorable="a14" a14:legacySpreadsheetColorIndex="26">
            <a:alpha val="50000"/>
          </a:srgbClr>
        </a:solidFill>
        <a:ln w="5715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500"/>
            </a:lnSpc>
            <a:defRPr sz="1000"/>
          </a:pPr>
          <a:r>
            <a:rPr lang="ja-JP" altLang="en-US" sz="1200" b="0" i="0" u="none" strike="noStrike" baseline="0">
              <a:solidFill>
                <a:srgbClr val="FF0000"/>
              </a:solidFill>
              <a:latin typeface="ＭＳ ゴシック"/>
              <a:ea typeface="ＭＳ ゴシック"/>
            </a:rPr>
            <a:t>※　INPUT情報に対するSELECT文とOUTPUT情報から正しい結果である事を確認する</a:t>
          </a:r>
        </a:p>
        <a:p>
          <a:pPr algn="ctr" rtl="0">
            <a:lnSpc>
              <a:spcPts val="1400"/>
            </a:lnSpc>
            <a:defRPr sz="1000"/>
          </a:pPr>
          <a:r>
            <a:rPr lang="ja-JP" altLang="en-US" sz="1200" b="0" i="0" u="none" strike="noStrike" baseline="0">
              <a:solidFill>
                <a:srgbClr val="FF0000"/>
              </a:solidFill>
              <a:latin typeface="ＭＳ ゴシック"/>
              <a:ea typeface="ＭＳ ゴシック"/>
            </a:rPr>
            <a:t>（ 検索結果を確認するために処理の途中経過をUNLOADする必要はありません。）</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38100</xdr:colOff>
      <xdr:row>9</xdr:row>
      <xdr:rowOff>28575</xdr:rowOff>
    </xdr:from>
    <xdr:to>
      <xdr:col>9</xdr:col>
      <xdr:colOff>180975</xdr:colOff>
      <xdr:row>12</xdr:row>
      <xdr:rowOff>123825</xdr:rowOff>
    </xdr:to>
    <xdr:sp macro="" textlink="">
      <xdr:nvSpPr>
        <xdr:cNvPr id="2" name="AutoShape 4">
          <a:extLst>
            <a:ext uri="{FF2B5EF4-FFF2-40B4-BE49-F238E27FC236}">
              <a16:creationId xmlns:a16="http://schemas.microsoft.com/office/drawing/2014/main" id="{EDCC511C-598C-49D7-AAB4-37AF535ADBFB}"/>
            </a:ext>
          </a:extLst>
        </xdr:cNvPr>
        <xdr:cNvSpPr>
          <a:spLocks/>
        </xdr:cNvSpPr>
      </xdr:nvSpPr>
      <xdr:spPr bwMode="auto">
        <a:xfrm>
          <a:off x="7277100" y="1838325"/>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66675</xdr:rowOff>
    </xdr:from>
    <xdr:to>
      <xdr:col>9</xdr:col>
      <xdr:colOff>219075</xdr:colOff>
      <xdr:row>24</xdr:row>
      <xdr:rowOff>123825</xdr:rowOff>
    </xdr:to>
    <xdr:sp macro="" textlink="">
      <xdr:nvSpPr>
        <xdr:cNvPr id="3" name="AutoShape 5">
          <a:extLst>
            <a:ext uri="{FF2B5EF4-FFF2-40B4-BE49-F238E27FC236}">
              <a16:creationId xmlns:a16="http://schemas.microsoft.com/office/drawing/2014/main" id="{C1D62D72-CD55-49A8-913A-DF85F3360E64}"/>
            </a:ext>
          </a:extLst>
        </xdr:cNvPr>
        <xdr:cNvSpPr>
          <a:spLocks/>
        </xdr:cNvSpPr>
      </xdr:nvSpPr>
      <xdr:spPr bwMode="auto">
        <a:xfrm>
          <a:off x="7296150" y="3705225"/>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9</xdr:row>
      <xdr:rowOff>66675</xdr:rowOff>
    </xdr:from>
    <xdr:to>
      <xdr:col>10</xdr:col>
      <xdr:colOff>361950</xdr:colOff>
      <xdr:row>12</xdr:row>
      <xdr:rowOff>0</xdr:rowOff>
    </xdr:to>
    <xdr:sp macro="" textlink="">
      <xdr:nvSpPr>
        <xdr:cNvPr id="4" name="Text Box 6">
          <a:extLst>
            <a:ext uri="{FF2B5EF4-FFF2-40B4-BE49-F238E27FC236}">
              <a16:creationId xmlns:a16="http://schemas.microsoft.com/office/drawing/2014/main" id="{92595B9A-9A4B-485E-ABD2-B8934D888D88}"/>
            </a:ext>
          </a:extLst>
        </xdr:cNvPr>
        <xdr:cNvSpPr txBox="1">
          <a:spLocks noChangeArrowheads="1"/>
        </xdr:cNvSpPr>
      </xdr:nvSpPr>
      <xdr:spPr bwMode="auto">
        <a:xfrm>
          <a:off x="7458075" y="1876425"/>
          <a:ext cx="138112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 削除対象</a:t>
          </a:r>
        </a:p>
      </xdr:txBody>
    </xdr:sp>
    <xdr:clientData/>
  </xdr:twoCellAnchor>
  <xdr:twoCellAnchor>
    <xdr:from>
      <xdr:col>9</xdr:col>
      <xdr:colOff>247650</xdr:colOff>
      <xdr:row>21</xdr:row>
      <xdr:rowOff>123825</xdr:rowOff>
    </xdr:from>
    <xdr:to>
      <xdr:col>10</xdr:col>
      <xdr:colOff>504825</xdr:colOff>
      <xdr:row>23</xdr:row>
      <xdr:rowOff>114300</xdr:rowOff>
    </xdr:to>
    <xdr:sp macro="" textlink="">
      <xdr:nvSpPr>
        <xdr:cNvPr id="5" name="Text Box 7">
          <a:extLst>
            <a:ext uri="{FF2B5EF4-FFF2-40B4-BE49-F238E27FC236}">
              <a16:creationId xmlns:a16="http://schemas.microsoft.com/office/drawing/2014/main" id="{98285DFC-4F7C-439E-B456-F9098A25E5E8}"/>
            </a:ext>
          </a:extLst>
        </xdr:cNvPr>
        <xdr:cNvSpPr txBox="1">
          <a:spLocks noChangeArrowheads="1"/>
        </xdr:cNvSpPr>
      </xdr:nvSpPr>
      <xdr:spPr bwMode="auto">
        <a:xfrm>
          <a:off x="7486650" y="3762375"/>
          <a:ext cx="1495425"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追加対象</a:t>
          </a:r>
        </a:p>
      </xdr:txBody>
    </xdr:sp>
    <xdr:clientData/>
  </xdr:twoCellAnchor>
  <xdr:twoCellAnchor>
    <xdr:from>
      <xdr:col>9</xdr:col>
      <xdr:colOff>190500</xdr:colOff>
      <xdr:row>15</xdr:row>
      <xdr:rowOff>142875</xdr:rowOff>
    </xdr:from>
    <xdr:to>
      <xdr:col>10</xdr:col>
      <xdr:colOff>400050</xdr:colOff>
      <xdr:row>17</xdr:row>
      <xdr:rowOff>38100</xdr:rowOff>
    </xdr:to>
    <xdr:sp macro="" textlink="">
      <xdr:nvSpPr>
        <xdr:cNvPr id="6" name="Text Box 8">
          <a:extLst>
            <a:ext uri="{FF2B5EF4-FFF2-40B4-BE49-F238E27FC236}">
              <a16:creationId xmlns:a16="http://schemas.microsoft.com/office/drawing/2014/main" id="{A8DBBED4-AC49-40B9-AA43-230F14327ADE}"/>
            </a:ext>
          </a:extLst>
        </xdr:cNvPr>
        <xdr:cNvSpPr txBox="1">
          <a:spLocks noChangeArrowheads="1"/>
        </xdr:cNvSpPr>
      </xdr:nvSpPr>
      <xdr:spPr bwMode="auto">
        <a:xfrm>
          <a:off x="7429500" y="2867025"/>
          <a:ext cx="144780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FF6600"/>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9">
          <a:extLst>
            <a:ext uri="{FF2B5EF4-FFF2-40B4-BE49-F238E27FC236}">
              <a16:creationId xmlns:a16="http://schemas.microsoft.com/office/drawing/2014/main" id="{F1EB34EC-B0B7-464E-9206-AF6743E11061}"/>
            </a:ext>
          </a:extLst>
        </xdr:cNvPr>
        <xdr:cNvSpPr>
          <a:spLocks noChangeArrowheads="1"/>
        </xdr:cNvSpPr>
      </xdr:nvSpPr>
      <xdr:spPr bwMode="auto">
        <a:xfrm>
          <a:off x="3314700"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38100</xdr:colOff>
      <xdr:row>32</xdr:row>
      <xdr:rowOff>28575</xdr:rowOff>
    </xdr:from>
    <xdr:to>
      <xdr:col>9</xdr:col>
      <xdr:colOff>180975</xdr:colOff>
      <xdr:row>35</xdr:row>
      <xdr:rowOff>123825</xdr:rowOff>
    </xdr:to>
    <xdr:sp macro="" textlink="">
      <xdr:nvSpPr>
        <xdr:cNvPr id="8" name="AutoShape 10">
          <a:extLst>
            <a:ext uri="{FF2B5EF4-FFF2-40B4-BE49-F238E27FC236}">
              <a16:creationId xmlns:a16="http://schemas.microsoft.com/office/drawing/2014/main" id="{AD65F695-BF6C-43E4-8B1B-14A6E0C0317B}"/>
            </a:ext>
          </a:extLst>
        </xdr:cNvPr>
        <xdr:cNvSpPr>
          <a:spLocks/>
        </xdr:cNvSpPr>
      </xdr:nvSpPr>
      <xdr:spPr bwMode="auto">
        <a:xfrm>
          <a:off x="7277100" y="5676900"/>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38100</xdr:colOff>
      <xdr:row>44</xdr:row>
      <xdr:rowOff>9525</xdr:rowOff>
    </xdr:from>
    <xdr:to>
      <xdr:col>9</xdr:col>
      <xdr:colOff>219075</xdr:colOff>
      <xdr:row>47</xdr:row>
      <xdr:rowOff>0</xdr:rowOff>
    </xdr:to>
    <xdr:sp macro="" textlink="">
      <xdr:nvSpPr>
        <xdr:cNvPr id="9" name="AutoShape 11">
          <a:extLst>
            <a:ext uri="{FF2B5EF4-FFF2-40B4-BE49-F238E27FC236}">
              <a16:creationId xmlns:a16="http://schemas.microsoft.com/office/drawing/2014/main" id="{836117E1-0F02-4E11-8B74-6D5F686478FC}"/>
            </a:ext>
          </a:extLst>
        </xdr:cNvPr>
        <xdr:cNvSpPr>
          <a:spLocks/>
        </xdr:cNvSpPr>
      </xdr:nvSpPr>
      <xdr:spPr bwMode="auto">
        <a:xfrm>
          <a:off x="7277100" y="7486650"/>
          <a:ext cx="180975" cy="438150"/>
        </a:xfrm>
        <a:prstGeom prst="rightBrace">
          <a:avLst>
            <a:gd name="adj1" fmla="val 20175"/>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32</xdr:row>
      <xdr:rowOff>66675</xdr:rowOff>
    </xdr:from>
    <xdr:to>
      <xdr:col>10</xdr:col>
      <xdr:colOff>361950</xdr:colOff>
      <xdr:row>35</xdr:row>
      <xdr:rowOff>0</xdr:rowOff>
    </xdr:to>
    <xdr:sp macro="" textlink="">
      <xdr:nvSpPr>
        <xdr:cNvPr id="10" name="Text Box 12">
          <a:extLst>
            <a:ext uri="{FF2B5EF4-FFF2-40B4-BE49-F238E27FC236}">
              <a16:creationId xmlns:a16="http://schemas.microsoft.com/office/drawing/2014/main" id="{202C260A-CC74-49E3-9A80-F847E7710E77}"/>
            </a:ext>
          </a:extLst>
        </xdr:cNvPr>
        <xdr:cNvSpPr txBox="1">
          <a:spLocks noChangeArrowheads="1"/>
        </xdr:cNvSpPr>
      </xdr:nvSpPr>
      <xdr:spPr bwMode="auto">
        <a:xfrm>
          <a:off x="7458075" y="5715000"/>
          <a:ext cx="138112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 削除</a:t>
          </a:r>
        </a:p>
      </xdr:txBody>
    </xdr:sp>
    <xdr:clientData/>
  </xdr:twoCellAnchor>
  <xdr:twoCellAnchor>
    <xdr:from>
      <xdr:col>9</xdr:col>
      <xdr:colOff>247650</xdr:colOff>
      <xdr:row>44</xdr:row>
      <xdr:rowOff>85725</xdr:rowOff>
    </xdr:from>
    <xdr:to>
      <xdr:col>10</xdr:col>
      <xdr:colOff>504825</xdr:colOff>
      <xdr:row>46</xdr:row>
      <xdr:rowOff>76200</xdr:rowOff>
    </xdr:to>
    <xdr:sp macro="" textlink="">
      <xdr:nvSpPr>
        <xdr:cNvPr id="11" name="Text Box 13">
          <a:extLst>
            <a:ext uri="{FF2B5EF4-FFF2-40B4-BE49-F238E27FC236}">
              <a16:creationId xmlns:a16="http://schemas.microsoft.com/office/drawing/2014/main" id="{030EEB22-140E-4FE3-94E8-232899118FE8}"/>
            </a:ext>
          </a:extLst>
        </xdr:cNvPr>
        <xdr:cNvSpPr txBox="1">
          <a:spLocks noChangeArrowheads="1"/>
        </xdr:cNvSpPr>
      </xdr:nvSpPr>
      <xdr:spPr bwMode="auto">
        <a:xfrm>
          <a:off x="7486650" y="7562850"/>
          <a:ext cx="1495425"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追加</a:t>
          </a:r>
        </a:p>
      </xdr:txBody>
    </xdr:sp>
    <xdr:clientData/>
  </xdr:twoCellAnchor>
  <xdr:twoCellAnchor>
    <xdr:from>
      <xdr:col>9</xdr:col>
      <xdr:colOff>171450</xdr:colOff>
      <xdr:row>38</xdr:row>
      <xdr:rowOff>142875</xdr:rowOff>
    </xdr:from>
    <xdr:to>
      <xdr:col>10</xdr:col>
      <xdr:colOff>381000</xdr:colOff>
      <xdr:row>40</xdr:row>
      <xdr:rowOff>38100</xdr:rowOff>
    </xdr:to>
    <xdr:sp macro="" textlink="">
      <xdr:nvSpPr>
        <xdr:cNvPr id="12" name="Text Box 14">
          <a:extLst>
            <a:ext uri="{FF2B5EF4-FFF2-40B4-BE49-F238E27FC236}">
              <a16:creationId xmlns:a16="http://schemas.microsoft.com/office/drawing/2014/main" id="{3360F0C6-1AC6-44C3-AF2D-19B7AA34173A}"/>
            </a:ext>
          </a:extLst>
        </xdr:cNvPr>
        <xdr:cNvSpPr txBox="1">
          <a:spLocks noChangeArrowheads="1"/>
        </xdr:cNvSpPr>
      </xdr:nvSpPr>
      <xdr:spPr bwMode="auto">
        <a:xfrm>
          <a:off x="7410450" y="6705600"/>
          <a:ext cx="144780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FF6600"/>
              </a:solidFill>
              <a:latin typeface="ＭＳ Ｐゴシック"/>
              <a:ea typeface="ＭＳ Ｐゴシック"/>
            </a:rPr>
            <a:t>　更新</a:t>
          </a:r>
        </a:p>
      </xdr:txBody>
    </xdr:sp>
    <xdr:clientData/>
  </xdr:twoCellAnchor>
  <xdr:twoCellAnchor>
    <xdr:from>
      <xdr:col>9</xdr:col>
      <xdr:colOff>47625</xdr:colOff>
      <xdr:row>14</xdr:row>
      <xdr:rowOff>142875</xdr:rowOff>
    </xdr:from>
    <xdr:to>
      <xdr:col>9</xdr:col>
      <xdr:colOff>238125</xdr:colOff>
      <xdr:row>18</xdr:row>
      <xdr:rowOff>0</xdr:rowOff>
    </xdr:to>
    <xdr:sp macro="" textlink="">
      <xdr:nvSpPr>
        <xdr:cNvPr id="13" name="AutoShape 15">
          <a:extLst>
            <a:ext uri="{FF2B5EF4-FFF2-40B4-BE49-F238E27FC236}">
              <a16:creationId xmlns:a16="http://schemas.microsoft.com/office/drawing/2014/main" id="{5A139C4F-1419-450C-9C99-04E8361FDF37}"/>
            </a:ext>
          </a:extLst>
        </xdr:cNvPr>
        <xdr:cNvSpPr>
          <a:spLocks/>
        </xdr:cNvSpPr>
      </xdr:nvSpPr>
      <xdr:spPr bwMode="auto">
        <a:xfrm>
          <a:off x="7286625" y="27146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28575</xdr:colOff>
      <xdr:row>38</xdr:row>
      <xdr:rowOff>0</xdr:rowOff>
    </xdr:from>
    <xdr:to>
      <xdr:col>9</xdr:col>
      <xdr:colOff>219075</xdr:colOff>
      <xdr:row>41</xdr:row>
      <xdr:rowOff>9525</xdr:rowOff>
    </xdr:to>
    <xdr:sp macro="" textlink="">
      <xdr:nvSpPr>
        <xdr:cNvPr id="14" name="AutoShape 16">
          <a:extLst>
            <a:ext uri="{FF2B5EF4-FFF2-40B4-BE49-F238E27FC236}">
              <a16:creationId xmlns:a16="http://schemas.microsoft.com/office/drawing/2014/main" id="{C2AFB695-7F83-493E-9C85-E5EE2318E3B1}"/>
            </a:ext>
          </a:extLst>
        </xdr:cNvPr>
        <xdr:cNvSpPr>
          <a:spLocks/>
        </xdr:cNvSpPr>
      </xdr:nvSpPr>
      <xdr:spPr bwMode="auto">
        <a:xfrm>
          <a:off x="7267575" y="65627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847725</xdr:colOff>
      <xdr:row>32</xdr:row>
      <xdr:rowOff>142875</xdr:rowOff>
    </xdr:from>
    <xdr:to>
      <xdr:col>7</xdr:col>
      <xdr:colOff>676275</xdr:colOff>
      <xdr:row>36</xdr:row>
      <xdr:rowOff>0</xdr:rowOff>
    </xdr:to>
    <xdr:sp macro="" textlink="">
      <xdr:nvSpPr>
        <xdr:cNvPr id="15" name="AutoShape 17">
          <a:extLst>
            <a:ext uri="{FF2B5EF4-FFF2-40B4-BE49-F238E27FC236}">
              <a16:creationId xmlns:a16="http://schemas.microsoft.com/office/drawing/2014/main" id="{184596E4-3CA3-488C-8A11-A9BC9D3B311A}"/>
            </a:ext>
          </a:extLst>
        </xdr:cNvPr>
        <xdr:cNvSpPr>
          <a:spLocks noChangeArrowheads="1"/>
        </xdr:cNvSpPr>
      </xdr:nvSpPr>
      <xdr:spPr bwMode="auto">
        <a:xfrm>
          <a:off x="4524375" y="5791200"/>
          <a:ext cx="1609725" cy="466725"/>
        </a:xfrm>
        <a:prstGeom prst="wedgeRectCallout">
          <a:avLst>
            <a:gd name="adj1" fmla="val 55917"/>
            <a:gd name="adj2" fmla="val 11530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d5:</a:t>
          </a: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900" b="0" i="0" u="none" strike="noStrike" baseline="0">
              <a:solidFill>
                <a:srgbClr val="000000"/>
              </a:solidFill>
              <a:latin typeface="ＭＳ Ｐゴシック"/>
              <a:ea typeface="ＭＳ Ｐゴシック"/>
            </a:rPr>
            <a:t>更新日：システム日付で更新</a:t>
          </a:r>
        </a:p>
      </xdr:txBody>
    </xdr:sp>
    <xdr:clientData/>
  </xdr:twoCellAnchor>
  <xdr:twoCellAnchor>
    <xdr:from>
      <xdr:col>3</xdr:col>
      <xdr:colOff>361950</xdr:colOff>
      <xdr:row>42</xdr:row>
      <xdr:rowOff>38100</xdr:rowOff>
    </xdr:from>
    <xdr:to>
      <xdr:col>4</xdr:col>
      <xdr:colOff>1000125</xdr:colOff>
      <xdr:row>43</xdr:row>
      <xdr:rowOff>133350</xdr:rowOff>
    </xdr:to>
    <xdr:sp macro="" textlink="">
      <xdr:nvSpPr>
        <xdr:cNvPr id="16" name="AutoShape 19">
          <a:extLst>
            <a:ext uri="{FF2B5EF4-FFF2-40B4-BE49-F238E27FC236}">
              <a16:creationId xmlns:a16="http://schemas.microsoft.com/office/drawing/2014/main" id="{E03911A1-5FAC-4E59-9E1D-7FCC240535B4}"/>
            </a:ext>
          </a:extLst>
        </xdr:cNvPr>
        <xdr:cNvSpPr>
          <a:spLocks noChangeArrowheads="1"/>
        </xdr:cNvSpPr>
      </xdr:nvSpPr>
      <xdr:spPr bwMode="auto">
        <a:xfrm>
          <a:off x="1962150" y="7210425"/>
          <a:ext cx="1581150" cy="247650"/>
        </a:xfrm>
        <a:prstGeom prst="wedgeRectCallout">
          <a:avLst>
            <a:gd name="adj1" fmla="val 31926"/>
            <a:gd name="adj2" fmla="val -1307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d2:</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1</xdr:col>
      <xdr:colOff>247650</xdr:colOff>
      <xdr:row>78</xdr:row>
      <xdr:rowOff>28575</xdr:rowOff>
    </xdr:from>
    <xdr:to>
      <xdr:col>3</xdr:col>
      <xdr:colOff>171450</xdr:colOff>
      <xdr:row>79</xdr:row>
      <xdr:rowOff>85725</xdr:rowOff>
    </xdr:to>
    <xdr:sp macro="" textlink="">
      <xdr:nvSpPr>
        <xdr:cNvPr id="17" name="AutoShape 22">
          <a:extLst>
            <a:ext uri="{FF2B5EF4-FFF2-40B4-BE49-F238E27FC236}">
              <a16:creationId xmlns:a16="http://schemas.microsoft.com/office/drawing/2014/main" id="{F6BC6DA7-C7BD-482D-BA05-074CCE6E3E52}"/>
            </a:ext>
          </a:extLst>
        </xdr:cNvPr>
        <xdr:cNvSpPr>
          <a:spLocks noChangeArrowheads="1"/>
        </xdr:cNvSpPr>
      </xdr:nvSpPr>
      <xdr:spPr bwMode="auto">
        <a:xfrm>
          <a:off x="495300" y="14068425"/>
          <a:ext cx="127635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6</xdr:col>
      <xdr:colOff>342900</xdr:colOff>
      <xdr:row>45</xdr:row>
      <xdr:rowOff>19050</xdr:rowOff>
    </xdr:from>
    <xdr:to>
      <xdr:col>9</xdr:col>
      <xdr:colOff>9525</xdr:colOff>
      <xdr:row>48</xdr:row>
      <xdr:rowOff>9525</xdr:rowOff>
    </xdr:to>
    <xdr:sp macro="" textlink="">
      <xdr:nvSpPr>
        <xdr:cNvPr id="18" name="AutoShape 24">
          <a:extLst>
            <a:ext uri="{FF2B5EF4-FFF2-40B4-BE49-F238E27FC236}">
              <a16:creationId xmlns:a16="http://schemas.microsoft.com/office/drawing/2014/main" id="{3C25AC9D-D6F1-42F6-9A6C-EBD815ED1581}"/>
            </a:ext>
          </a:extLst>
        </xdr:cNvPr>
        <xdr:cNvSpPr>
          <a:spLocks noChangeArrowheads="1"/>
        </xdr:cNvSpPr>
      </xdr:nvSpPr>
      <xdr:spPr bwMode="auto">
        <a:xfrm>
          <a:off x="5267325" y="7648575"/>
          <a:ext cx="1981200" cy="485775"/>
        </a:xfrm>
        <a:prstGeom prst="wedgeRectCallout">
          <a:avLst>
            <a:gd name="adj1" fmla="val -68269"/>
            <a:gd name="adj2" fmla="val -18788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900" b="1" i="0" u="none" strike="noStrike" baseline="0">
              <a:solidFill>
                <a:srgbClr val="008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d3:</a:t>
          </a:r>
          <a:endParaRPr lang="ja-JP" altLang="en-US" sz="900" b="0" i="0" u="none" strike="noStrike" baseline="0">
            <a:solidFill>
              <a:srgbClr val="000000"/>
            </a:solidFill>
            <a:latin typeface="ＭＳ Ｐゴシック"/>
            <a:ea typeface="ＭＳ Ｐゴシック"/>
          </a:endParaRPr>
        </a:p>
        <a:p>
          <a:pPr algn="l" rtl="0">
            <a:lnSpc>
              <a:spcPts val="1000"/>
            </a:lnSpc>
            <a:defRPr sz="1000"/>
          </a:pPr>
          <a:r>
            <a:rPr lang="ja-JP" altLang="en-US" sz="900" b="0" i="0" u="none" strike="noStrike" baseline="0">
              <a:solidFill>
                <a:srgbClr val="000000"/>
              </a:solidFill>
              <a:latin typeface="ＭＳ Ｐゴシック"/>
              <a:ea typeface="ＭＳ Ｐゴシック"/>
            </a:rPr>
            <a:t>登録日と登録者は更新されていない</a:t>
          </a:r>
        </a:p>
      </xdr:txBody>
    </xdr:sp>
    <xdr:clientData/>
  </xdr:twoCellAnchor>
  <xdr:twoCellAnchor>
    <xdr:from>
      <xdr:col>9</xdr:col>
      <xdr:colOff>466725</xdr:colOff>
      <xdr:row>40</xdr:row>
      <xdr:rowOff>95250</xdr:rowOff>
    </xdr:from>
    <xdr:to>
      <xdr:col>12</xdr:col>
      <xdr:colOff>123825</xdr:colOff>
      <xdr:row>43</xdr:row>
      <xdr:rowOff>57150</xdr:rowOff>
    </xdr:to>
    <xdr:sp macro="" textlink="">
      <xdr:nvSpPr>
        <xdr:cNvPr id="19" name="AutoShape 25">
          <a:extLst>
            <a:ext uri="{FF2B5EF4-FFF2-40B4-BE49-F238E27FC236}">
              <a16:creationId xmlns:a16="http://schemas.microsoft.com/office/drawing/2014/main" id="{2F0AC38F-036E-4C23-9BA4-7F6673DD3065}"/>
            </a:ext>
          </a:extLst>
        </xdr:cNvPr>
        <xdr:cNvSpPr>
          <a:spLocks noChangeArrowheads="1"/>
        </xdr:cNvSpPr>
      </xdr:nvSpPr>
      <xdr:spPr bwMode="auto">
        <a:xfrm>
          <a:off x="7705725" y="6962775"/>
          <a:ext cx="2266950" cy="419100"/>
        </a:xfrm>
        <a:prstGeom prst="wedgeRectCallout">
          <a:avLst>
            <a:gd name="adj1" fmla="val -70120"/>
            <a:gd name="adj2" fmla="val -6136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d4:</a:t>
          </a:r>
          <a:endParaRPr lang="ja-JP" altLang="en-US" sz="900" b="0" i="0" u="none" strike="noStrike" baseline="0">
            <a:solidFill>
              <a:srgbClr val="000000"/>
            </a:solidFill>
            <a:latin typeface="ＭＳ Ｐゴシック"/>
            <a:ea typeface="ＭＳ Ｐゴシック"/>
          </a:endParaRPr>
        </a:p>
        <a:p>
          <a:pPr algn="l" rtl="0">
            <a:lnSpc>
              <a:spcPts val="1000"/>
            </a:lnSpc>
            <a:defRPr sz="1000"/>
          </a:pPr>
          <a:r>
            <a:rPr lang="ja-JP" altLang="en-US" sz="900" b="0" i="0" u="none" strike="noStrike" baseline="0">
              <a:solidFill>
                <a:srgbClr val="000000"/>
              </a:solidFill>
              <a:latin typeface="ＭＳ Ｐゴシック"/>
              <a:ea typeface="ＭＳ Ｐゴシック"/>
            </a:rPr>
            <a:t> 更新者：仕様通りの値で更新</a:t>
          </a:r>
        </a:p>
      </xdr:txBody>
    </xdr:sp>
    <xdr:clientData/>
  </xdr:twoCellAnchor>
  <xdr:twoCellAnchor>
    <xdr:from>
      <xdr:col>2</xdr:col>
      <xdr:colOff>0</xdr:colOff>
      <xdr:row>87</xdr:row>
      <xdr:rowOff>161925</xdr:rowOff>
    </xdr:from>
    <xdr:to>
      <xdr:col>3</xdr:col>
      <xdr:colOff>314325</xdr:colOff>
      <xdr:row>89</xdr:row>
      <xdr:rowOff>47625</xdr:rowOff>
    </xdr:to>
    <xdr:sp macro="" textlink="">
      <xdr:nvSpPr>
        <xdr:cNvPr id="20" name="AutoShape 31">
          <a:extLst>
            <a:ext uri="{FF2B5EF4-FFF2-40B4-BE49-F238E27FC236}">
              <a16:creationId xmlns:a16="http://schemas.microsoft.com/office/drawing/2014/main" id="{FC486E6D-9B81-4752-B800-C57F014692B4}"/>
            </a:ext>
          </a:extLst>
        </xdr:cNvPr>
        <xdr:cNvSpPr>
          <a:spLocks noChangeArrowheads="1"/>
        </xdr:cNvSpPr>
      </xdr:nvSpPr>
      <xdr:spPr bwMode="auto">
        <a:xfrm>
          <a:off x="838200" y="15973425"/>
          <a:ext cx="10763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68</xdr:row>
      <xdr:rowOff>38100</xdr:rowOff>
    </xdr:from>
    <xdr:to>
      <xdr:col>3</xdr:col>
      <xdr:colOff>285750</xdr:colOff>
      <xdr:row>69</xdr:row>
      <xdr:rowOff>95250</xdr:rowOff>
    </xdr:to>
    <xdr:sp macro="" textlink="">
      <xdr:nvSpPr>
        <xdr:cNvPr id="21" name="AutoShape 36">
          <a:extLst>
            <a:ext uri="{FF2B5EF4-FFF2-40B4-BE49-F238E27FC236}">
              <a16:creationId xmlns:a16="http://schemas.microsoft.com/office/drawing/2014/main" id="{D4CE2688-5642-41DD-9A68-9F0206E59D3F}"/>
            </a:ext>
          </a:extLst>
        </xdr:cNvPr>
        <xdr:cNvSpPr>
          <a:spLocks noChangeArrowheads="1"/>
        </xdr:cNvSpPr>
      </xdr:nvSpPr>
      <xdr:spPr bwMode="auto">
        <a:xfrm>
          <a:off x="609600" y="12106275"/>
          <a:ext cx="127635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54</xdr:row>
      <xdr:rowOff>152400</xdr:rowOff>
    </xdr:from>
    <xdr:to>
      <xdr:col>3</xdr:col>
      <xdr:colOff>285750</xdr:colOff>
      <xdr:row>56</xdr:row>
      <xdr:rowOff>38100</xdr:rowOff>
    </xdr:to>
    <xdr:sp macro="" textlink="">
      <xdr:nvSpPr>
        <xdr:cNvPr id="22" name="AutoShape 39">
          <a:extLst>
            <a:ext uri="{FF2B5EF4-FFF2-40B4-BE49-F238E27FC236}">
              <a16:creationId xmlns:a16="http://schemas.microsoft.com/office/drawing/2014/main" id="{896CDB7B-7F96-423A-A8EC-826B1C143408}"/>
            </a:ext>
          </a:extLst>
        </xdr:cNvPr>
        <xdr:cNvSpPr>
          <a:spLocks noChangeArrowheads="1"/>
        </xdr:cNvSpPr>
      </xdr:nvSpPr>
      <xdr:spPr bwMode="auto">
        <a:xfrm>
          <a:off x="609600" y="9448800"/>
          <a:ext cx="1276350"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371475</xdr:colOff>
      <xdr:row>56</xdr:row>
      <xdr:rowOff>104775</xdr:rowOff>
    </xdr:from>
    <xdr:to>
      <xdr:col>7</xdr:col>
      <xdr:colOff>895350</xdr:colOff>
      <xdr:row>59</xdr:row>
      <xdr:rowOff>28575</xdr:rowOff>
    </xdr:to>
    <xdr:pic>
      <xdr:nvPicPr>
        <xdr:cNvPr id="23" name="Picture 47">
          <a:extLst>
            <a:ext uri="{FF2B5EF4-FFF2-40B4-BE49-F238E27FC236}">
              <a16:creationId xmlns:a16="http://schemas.microsoft.com/office/drawing/2014/main" id="{575F538C-B1EB-4189-9318-025545AF4D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5" y="98012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79</xdr:row>
      <xdr:rowOff>104775</xdr:rowOff>
    </xdr:from>
    <xdr:to>
      <xdr:col>7</xdr:col>
      <xdr:colOff>838200</xdr:colOff>
      <xdr:row>82</xdr:row>
      <xdr:rowOff>28575</xdr:rowOff>
    </xdr:to>
    <xdr:pic>
      <xdr:nvPicPr>
        <xdr:cNvPr id="24" name="Picture 48">
          <a:extLst>
            <a:ext uri="{FF2B5EF4-FFF2-40B4-BE49-F238E27FC236}">
              <a16:creationId xmlns:a16="http://schemas.microsoft.com/office/drawing/2014/main" id="{C4ACC7B4-C2C5-4B49-A7B0-AFA9A04242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61975" y="143446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89</xdr:row>
      <xdr:rowOff>76200</xdr:rowOff>
    </xdr:from>
    <xdr:to>
      <xdr:col>7</xdr:col>
      <xdr:colOff>1123950</xdr:colOff>
      <xdr:row>92</xdr:row>
      <xdr:rowOff>0</xdr:rowOff>
    </xdr:to>
    <xdr:pic>
      <xdr:nvPicPr>
        <xdr:cNvPr id="25" name="Picture 49">
          <a:extLst>
            <a:ext uri="{FF2B5EF4-FFF2-40B4-BE49-F238E27FC236}">
              <a16:creationId xmlns:a16="http://schemas.microsoft.com/office/drawing/2014/main" id="{0BED89CD-5046-4EBB-AF2B-8D799F45EA6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47725" y="162877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381000</xdr:colOff>
      <xdr:row>69</xdr:row>
      <xdr:rowOff>142875</xdr:rowOff>
    </xdr:from>
    <xdr:to>
      <xdr:col>7</xdr:col>
      <xdr:colOff>904875</xdr:colOff>
      <xdr:row>72</xdr:row>
      <xdr:rowOff>66675</xdr:rowOff>
    </xdr:to>
    <xdr:pic>
      <xdr:nvPicPr>
        <xdr:cNvPr id="26" name="Picture 51">
          <a:extLst>
            <a:ext uri="{FF2B5EF4-FFF2-40B4-BE49-F238E27FC236}">
              <a16:creationId xmlns:a16="http://schemas.microsoft.com/office/drawing/2014/main" id="{E6C199CC-E302-4D67-BA60-1205CA622EE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628650" y="124110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171450</xdr:colOff>
      <xdr:row>33</xdr:row>
      <xdr:rowOff>57150</xdr:rowOff>
    </xdr:from>
    <xdr:to>
      <xdr:col>4</xdr:col>
      <xdr:colOff>857250</xdr:colOff>
      <xdr:row>37</xdr:row>
      <xdr:rowOff>0</xdr:rowOff>
    </xdr:to>
    <xdr:sp macro="" textlink="">
      <xdr:nvSpPr>
        <xdr:cNvPr id="27" name="AutoShape 52">
          <a:extLst>
            <a:ext uri="{FF2B5EF4-FFF2-40B4-BE49-F238E27FC236}">
              <a16:creationId xmlns:a16="http://schemas.microsoft.com/office/drawing/2014/main" id="{8F885870-6F71-442D-B07E-6C030EE37C18}"/>
            </a:ext>
          </a:extLst>
        </xdr:cNvPr>
        <xdr:cNvSpPr>
          <a:spLocks noChangeArrowheads="1"/>
        </xdr:cNvSpPr>
      </xdr:nvSpPr>
      <xdr:spPr bwMode="auto">
        <a:xfrm>
          <a:off x="419100" y="5857875"/>
          <a:ext cx="2981325" cy="552450"/>
        </a:xfrm>
        <a:prstGeom prst="wedgeRectCallout">
          <a:avLst>
            <a:gd name="adj1" fmla="val 43931"/>
            <a:gd name="adj2" fmla="val 7931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d1:</a:t>
          </a:r>
          <a:endParaRPr lang="ja-JP" altLang="en-US" sz="1100" b="0" i="0" u="none" strike="noStrike" baseline="0">
            <a:solidFill>
              <a:srgbClr val="000000"/>
            </a:solidFill>
            <a:latin typeface="ＭＳ Ｐゴシック"/>
            <a:ea typeface="ＭＳ Ｐゴシック"/>
          </a:endParaRPr>
        </a:p>
        <a:p>
          <a:pPr algn="l" rtl="0">
            <a:defRPr sz="1000"/>
          </a:pPr>
          <a:r>
            <a:rPr lang="ja-JP" altLang="en-US" sz="1000" b="0" i="0" u="none" strike="noStrike" baseline="0">
              <a:solidFill>
                <a:srgbClr val="000000"/>
              </a:solidFill>
              <a:latin typeface="ＭＳ Ｐゴシック"/>
              <a:ea typeface="ＭＳ Ｐゴシック"/>
            </a:rPr>
            <a:t>　更新条件に該当するレコードを更新している ことを確認</a:t>
          </a:r>
          <a:endParaRPr lang="ja-JP" altLang="en-US" sz="1100" b="0" i="0" u="none" strike="noStrike" baseline="0">
            <a:solidFill>
              <a:srgbClr val="000000"/>
            </a:solidFill>
            <a:latin typeface="ＭＳ Ｐゴシック"/>
            <a:ea typeface="ＭＳ Ｐゴシック"/>
          </a:endParaRPr>
        </a:p>
        <a:p>
          <a:pPr algn="l" rtl="0">
            <a:defRPr sz="1000"/>
          </a:pP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更新対象以外は更新処理を行っていない)</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257175</xdr:colOff>
      <xdr:row>160</xdr:row>
      <xdr:rowOff>9525</xdr:rowOff>
    </xdr:from>
    <xdr:to>
      <xdr:col>9</xdr:col>
      <xdr:colOff>2800350</xdr:colOff>
      <xdr:row>164</xdr:row>
      <xdr:rowOff>76200</xdr:rowOff>
    </xdr:to>
    <xdr:pic>
      <xdr:nvPicPr>
        <xdr:cNvPr id="2" name="Picture 334">
          <a:extLst>
            <a:ext uri="{FF2B5EF4-FFF2-40B4-BE49-F238E27FC236}">
              <a16:creationId xmlns:a16="http://schemas.microsoft.com/office/drawing/2014/main" id="{CB329BA5-F199-4C98-963C-910566E8184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3400" y="32880300"/>
          <a:ext cx="645795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56</xdr:row>
      <xdr:rowOff>142875</xdr:rowOff>
    </xdr:from>
    <xdr:to>
      <xdr:col>9</xdr:col>
      <xdr:colOff>3162300</xdr:colOff>
      <xdr:row>60</xdr:row>
      <xdr:rowOff>133350</xdr:rowOff>
    </xdr:to>
    <xdr:pic>
      <xdr:nvPicPr>
        <xdr:cNvPr id="3" name="Picture 332">
          <a:extLst>
            <a:ext uri="{FF2B5EF4-FFF2-40B4-BE49-F238E27FC236}">
              <a16:creationId xmlns:a16="http://schemas.microsoft.com/office/drawing/2014/main" id="{75C2426E-F223-4AA0-8E9C-22DC6706E7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95350" y="10763250"/>
          <a:ext cx="645795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49</xdr:row>
      <xdr:rowOff>104775</xdr:rowOff>
    </xdr:from>
    <xdr:to>
      <xdr:col>8</xdr:col>
      <xdr:colOff>542925</xdr:colOff>
      <xdr:row>53</xdr:row>
      <xdr:rowOff>152400</xdr:rowOff>
    </xdr:to>
    <xdr:pic>
      <xdr:nvPicPr>
        <xdr:cNvPr id="4" name="Picture 331">
          <a:extLst>
            <a:ext uri="{FF2B5EF4-FFF2-40B4-BE49-F238E27FC236}">
              <a16:creationId xmlns:a16="http://schemas.microsoft.com/office/drawing/2014/main" id="{2B33CF6A-C429-42B1-83A5-8A5445D85AAF}"/>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90550" y="9191625"/>
          <a:ext cx="3457575" cy="923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219075</xdr:colOff>
      <xdr:row>139</xdr:row>
      <xdr:rowOff>114300</xdr:rowOff>
    </xdr:from>
    <xdr:to>
      <xdr:col>9</xdr:col>
      <xdr:colOff>3486150</xdr:colOff>
      <xdr:row>145</xdr:row>
      <xdr:rowOff>9525</xdr:rowOff>
    </xdr:to>
    <xdr:pic>
      <xdr:nvPicPr>
        <xdr:cNvPr id="5" name="Picture 322">
          <a:extLst>
            <a:ext uri="{FF2B5EF4-FFF2-40B4-BE49-F238E27FC236}">
              <a16:creationId xmlns:a16="http://schemas.microsoft.com/office/drawing/2014/main" id="{2F376267-560F-4230-A05B-2BF4179EC1B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95300" y="28689300"/>
          <a:ext cx="7181850" cy="12096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2247900</xdr:colOff>
      <xdr:row>136</xdr:row>
      <xdr:rowOff>180975</xdr:rowOff>
    </xdr:from>
    <xdr:to>
      <xdr:col>10</xdr:col>
      <xdr:colOff>95250</xdr:colOff>
      <xdr:row>138</xdr:row>
      <xdr:rowOff>19050</xdr:rowOff>
    </xdr:to>
    <xdr:sp macro="" textlink="">
      <xdr:nvSpPr>
        <xdr:cNvPr id="6" name="AutoShape 12">
          <a:extLst>
            <a:ext uri="{FF2B5EF4-FFF2-40B4-BE49-F238E27FC236}">
              <a16:creationId xmlns:a16="http://schemas.microsoft.com/office/drawing/2014/main" id="{09EBC6C1-0285-4289-991E-23515EA3E64C}"/>
            </a:ext>
          </a:extLst>
        </xdr:cNvPr>
        <xdr:cNvSpPr>
          <a:spLocks noChangeArrowheads="1"/>
        </xdr:cNvSpPr>
      </xdr:nvSpPr>
      <xdr:spPr bwMode="auto">
        <a:xfrm>
          <a:off x="6438900" y="28098750"/>
          <a:ext cx="2571750" cy="276225"/>
        </a:xfrm>
        <a:prstGeom prst="wedgeRectCallout">
          <a:avLst>
            <a:gd name="adj1" fmla="val 3333"/>
            <a:gd name="adj2" fmla="val 253449"/>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日付の計算が正常に行われていることを確認</a:t>
          </a:r>
        </a:p>
      </xdr:txBody>
    </xdr:sp>
    <xdr:clientData/>
  </xdr:twoCellAnchor>
  <xdr:twoCellAnchor editAs="oneCell">
    <xdr:from>
      <xdr:col>2</xdr:col>
      <xdr:colOff>0</xdr:colOff>
      <xdr:row>121</xdr:row>
      <xdr:rowOff>9525</xdr:rowOff>
    </xdr:from>
    <xdr:to>
      <xdr:col>9</xdr:col>
      <xdr:colOff>4581525</xdr:colOff>
      <xdr:row>125</xdr:row>
      <xdr:rowOff>0</xdr:rowOff>
    </xdr:to>
    <xdr:pic>
      <xdr:nvPicPr>
        <xdr:cNvPr id="7" name="Picture 316">
          <a:extLst>
            <a:ext uri="{FF2B5EF4-FFF2-40B4-BE49-F238E27FC236}">
              <a16:creationId xmlns:a16="http://schemas.microsoft.com/office/drawing/2014/main" id="{CA756A0B-C949-4949-9390-4E5849D177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95350" y="24717375"/>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105</xdr:row>
      <xdr:rowOff>76200</xdr:rowOff>
    </xdr:from>
    <xdr:to>
      <xdr:col>9</xdr:col>
      <xdr:colOff>4238625</xdr:colOff>
      <xdr:row>109</xdr:row>
      <xdr:rowOff>66675</xdr:rowOff>
    </xdr:to>
    <xdr:pic>
      <xdr:nvPicPr>
        <xdr:cNvPr id="8" name="Picture 312">
          <a:extLst>
            <a:ext uri="{FF2B5EF4-FFF2-40B4-BE49-F238E27FC236}">
              <a16:creationId xmlns:a16="http://schemas.microsoft.com/office/drawing/2014/main" id="{E1B15DB7-3360-40A7-883E-6B319177FF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552450" y="21278850"/>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19050</xdr:colOff>
      <xdr:row>89</xdr:row>
      <xdr:rowOff>114300</xdr:rowOff>
    </xdr:from>
    <xdr:to>
      <xdr:col>9</xdr:col>
      <xdr:colOff>4600575</xdr:colOff>
      <xdr:row>93</xdr:row>
      <xdr:rowOff>104775</xdr:rowOff>
    </xdr:to>
    <xdr:pic>
      <xdr:nvPicPr>
        <xdr:cNvPr id="9" name="Picture 310">
          <a:extLst>
            <a:ext uri="{FF2B5EF4-FFF2-40B4-BE49-F238E27FC236}">
              <a16:creationId xmlns:a16="http://schemas.microsoft.com/office/drawing/2014/main" id="{DA44E7AD-419A-4210-9578-E1477E9904CD}"/>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14400" y="17811750"/>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82</xdr:row>
      <xdr:rowOff>28575</xdr:rowOff>
    </xdr:from>
    <xdr:to>
      <xdr:col>9</xdr:col>
      <xdr:colOff>571500</xdr:colOff>
      <xdr:row>86</xdr:row>
      <xdr:rowOff>85725</xdr:rowOff>
    </xdr:to>
    <xdr:pic>
      <xdr:nvPicPr>
        <xdr:cNvPr id="10" name="Picture 307">
          <a:extLst>
            <a:ext uri="{FF2B5EF4-FFF2-40B4-BE49-F238E27FC236}">
              <a16:creationId xmlns:a16="http://schemas.microsoft.com/office/drawing/2014/main" id="{544C2765-485B-4911-B44B-B3C810874F1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04825" y="16192500"/>
          <a:ext cx="4257675" cy="9334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72</xdr:row>
      <xdr:rowOff>209550</xdr:rowOff>
    </xdr:from>
    <xdr:to>
      <xdr:col>9</xdr:col>
      <xdr:colOff>3638550</xdr:colOff>
      <xdr:row>76</xdr:row>
      <xdr:rowOff>200025</xdr:rowOff>
    </xdr:to>
    <xdr:pic>
      <xdr:nvPicPr>
        <xdr:cNvPr id="11" name="Picture 305">
          <a:extLst>
            <a:ext uri="{FF2B5EF4-FFF2-40B4-BE49-F238E27FC236}">
              <a16:creationId xmlns:a16="http://schemas.microsoft.com/office/drawing/2014/main" id="{39188D61-60B7-4405-8BF5-1CB912117A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95350" y="14258925"/>
          <a:ext cx="693420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2762250</xdr:colOff>
      <xdr:row>102</xdr:row>
      <xdr:rowOff>57150</xdr:rowOff>
    </xdr:from>
    <xdr:to>
      <xdr:col>10</xdr:col>
      <xdr:colOff>238125</xdr:colOff>
      <xdr:row>103</xdr:row>
      <xdr:rowOff>133350</xdr:rowOff>
    </xdr:to>
    <xdr:sp macro="" textlink="">
      <xdr:nvSpPr>
        <xdr:cNvPr id="12" name="AutoShape 31">
          <a:extLst>
            <a:ext uri="{FF2B5EF4-FFF2-40B4-BE49-F238E27FC236}">
              <a16:creationId xmlns:a16="http://schemas.microsoft.com/office/drawing/2014/main" id="{F73571AE-B249-417A-9724-7199023D04B6}"/>
            </a:ext>
          </a:extLst>
        </xdr:cNvPr>
        <xdr:cNvSpPr>
          <a:spLocks noChangeArrowheads="1"/>
        </xdr:cNvSpPr>
      </xdr:nvSpPr>
      <xdr:spPr bwMode="auto">
        <a:xfrm>
          <a:off x="6953250" y="20602575"/>
          <a:ext cx="2200275" cy="295275"/>
        </a:xfrm>
        <a:prstGeom prst="wedgeRectCallout">
          <a:avLst>
            <a:gd name="adj1" fmla="val -6278"/>
            <a:gd name="adj2" fmla="val 23387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切り上げ処理ができていることを確認</a:t>
          </a:r>
        </a:p>
      </xdr:txBody>
    </xdr:sp>
    <xdr:clientData/>
  </xdr:twoCellAnchor>
  <xdr:twoCellAnchor>
    <xdr:from>
      <xdr:col>6</xdr:col>
      <xdr:colOff>342900</xdr:colOff>
      <xdr:row>1</xdr:row>
      <xdr:rowOff>0</xdr:rowOff>
    </xdr:from>
    <xdr:to>
      <xdr:col>10</xdr:col>
      <xdr:colOff>542925</xdr:colOff>
      <xdr:row>1</xdr:row>
      <xdr:rowOff>0</xdr:rowOff>
    </xdr:to>
    <xdr:sp macro="" textlink="">
      <xdr:nvSpPr>
        <xdr:cNvPr id="13" name="Text Box 1">
          <a:extLst>
            <a:ext uri="{FF2B5EF4-FFF2-40B4-BE49-F238E27FC236}">
              <a16:creationId xmlns:a16="http://schemas.microsoft.com/office/drawing/2014/main" id="{56624F05-BFCF-4B42-9098-354A0AFFFF94}"/>
            </a:ext>
          </a:extLst>
        </xdr:cNvPr>
        <xdr:cNvSpPr txBox="1">
          <a:spLocks noChangeArrowheads="1"/>
        </xdr:cNvSpPr>
      </xdr:nvSpPr>
      <xdr:spPr bwMode="auto">
        <a:xfrm>
          <a:off x="2476500" y="200025"/>
          <a:ext cx="6981825"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969696" mc:Ignorable="a14" a14:legacySpreadsheetColorIndex="55"/>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333333"/>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LG44LT710 &gt;&gt;&gt; --------- ( Start Time : 2006-08-28 09:44:51 ) ---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f_envi          ) _____ Start [ Time 09:44:51 ]</a:t>
          </a:r>
        </a:p>
        <a:p>
          <a:pPr algn="l" rtl="0">
            <a:defRPr sz="1000"/>
          </a:pPr>
          <a:r>
            <a:rPr lang="ja-JP" altLang="en-US" sz="900" b="0" i="0" u="none" strike="noStrike" baseline="0">
              <a:solidFill>
                <a:srgbClr val="808080"/>
              </a:solidFill>
              <a:latin typeface="ＭＳ ゴシック"/>
              <a:ea typeface="ＭＳ ゴシック"/>
            </a:rPr>
            <a:t>    ( Sub : f_envi          ) _____ End.. [ Time 09:44:51 ] (  0:00:00.039)</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f_init          ) _____ Start [ Time 09:44:51 ]</a:t>
          </a:r>
        </a:p>
        <a:p>
          <a:pPr algn="l" rtl="0">
            <a:defRPr sz="1000"/>
          </a:pPr>
          <a:r>
            <a:rPr lang="ja-JP" altLang="en-US" sz="900" b="0" i="0" u="none" strike="noStrike" baseline="0">
              <a:solidFill>
                <a:srgbClr val="808080"/>
              </a:solidFill>
              <a:latin typeface="ＭＳ ゴシック"/>
              <a:ea typeface="ＭＳ ゴシック"/>
            </a:rPr>
            <a:t>        g_logfile = [/home2/project/pj0204/test/user_kinpara/lg44lt710.log]</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f_init          ) _____ End.. [ Time 09:44:51 ] (  0:00:00.230)</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f_main          ) _____ Start [ Time 09:44:51 ]</a:t>
          </a:r>
        </a:p>
        <a:p>
          <a:pPr algn="l" rtl="0">
            <a:defRPr sz="1000"/>
          </a:pPr>
          <a:r>
            <a:rPr lang="ja-JP" altLang="en-US" sz="900" b="0" i="0" u="none" strike="noStrike" baseline="0">
              <a:solidFill>
                <a:srgbClr val="808080"/>
              </a:solidFill>
              <a:latin typeface="ＭＳ ゴシック"/>
              <a:ea typeface="ＭＳ ゴシック"/>
            </a:rPr>
            <a:t>    ( Sub : f_main          ) _____ End.. [ Time 09:44:51 ] (  0:00:00.087)</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f_term          ) _____ Start [ Time 09:44:51 ]</a:t>
          </a:r>
        </a:p>
        <a:p>
          <a:pPr algn="l" rtl="0">
            <a:defRPr sz="1000"/>
          </a:pPr>
          <a:r>
            <a:rPr lang="ja-JP" altLang="en-US" sz="900" b="0" i="0" u="none" strike="noStrike" baseline="0">
              <a:solidFill>
                <a:srgbClr val="808080"/>
              </a:solidFill>
              <a:latin typeface="ＭＳ ゴシック"/>
              <a:ea typeface="ＭＳ ゴシック"/>
            </a:rPr>
            <a:t>        [cc3_trans_price] delete count =           5</a:t>
          </a:r>
        </a:p>
        <a:p>
          <a:pPr algn="l" rtl="0">
            <a:defRPr sz="1000"/>
          </a:pPr>
          <a:r>
            <a:rPr lang="ja-JP" altLang="en-US" sz="900" b="0" i="0" u="none" strike="noStrike" baseline="0">
              <a:solidFill>
                <a:srgbClr val="808080"/>
              </a:solidFill>
              <a:latin typeface="ＭＳ ゴシック"/>
              <a:ea typeface="ＭＳ ゴシック"/>
            </a:rPr>
            <a:t>        [rel_eifuri_tnk ] select count =           3</a:t>
          </a:r>
        </a:p>
        <a:p>
          <a:pPr algn="l" rtl="0">
            <a:defRPr sz="1000"/>
          </a:pPr>
          <a:r>
            <a:rPr lang="ja-JP" altLang="en-US" sz="900" b="0" i="0" u="none" strike="noStrike" baseline="0">
              <a:solidFill>
                <a:srgbClr val="808080"/>
              </a:solidFill>
              <a:latin typeface="ＭＳ ゴシック"/>
              <a:ea typeface="ＭＳ ゴシック"/>
            </a:rPr>
            <a:t>        [rel_eifuri_item] select count =           4</a:t>
          </a:r>
        </a:p>
        <a:p>
          <a:pPr algn="l" rtl="0">
            <a:defRPr sz="1000"/>
          </a:pPr>
          <a:r>
            <a:rPr lang="ja-JP" altLang="en-US" sz="900" b="0" i="0" u="none" strike="noStrike" baseline="0">
              <a:solidFill>
                <a:srgbClr val="808080"/>
              </a:solidFill>
              <a:latin typeface="ＭＳ ゴシック"/>
              <a:ea typeface="ＭＳ ゴシック"/>
            </a:rPr>
            <a:t>        [cc3_trans_price] insert count =           7</a:t>
          </a:r>
        </a:p>
        <a:p>
          <a:pPr algn="l" rtl="0">
            <a:defRPr sz="1000"/>
          </a:pPr>
          <a:r>
            <a:rPr lang="ja-JP" altLang="en-US" sz="900" b="0" i="0" u="none" strike="noStrike" baseline="0">
              <a:solidFill>
                <a:srgbClr val="808080"/>
              </a:solidFill>
              <a:latin typeface="ＭＳ ゴシック"/>
              <a:ea typeface="ＭＳ ゴシック"/>
            </a:rPr>
            <a:t>    ( Sub : f_term          ) _____ End.. [ Time 09:44:51 ] (  0:00:00.143)</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LG44LT710 &gt;&gt;&gt; --------- ( End   Time : 2006-08-28 09:44:51 ) --- ( Exec :   0:00:00.695 SEC ) --- </a:t>
          </a:r>
        </a:p>
        <a:p>
          <a:pPr algn="l" rtl="0">
            <a:defRPr sz="1000"/>
          </a:pPr>
          <a:r>
            <a:rPr lang="ja-JP" altLang="en-US" sz="900" b="0" i="0" u="none" strike="noStrike" baseline="0">
              <a:solidFill>
                <a:srgbClr val="808080"/>
              </a:solidFill>
              <a:latin typeface="ＭＳ ゴシック"/>
              <a:ea typeface="ＭＳ ゴシック"/>
            </a:rPr>
            <a:t> </a:t>
          </a:r>
        </a:p>
      </xdr:txBody>
    </xdr:sp>
    <xdr:clientData/>
  </xdr:twoCellAnchor>
  <xdr:twoCellAnchor>
    <xdr:from>
      <xdr:col>9</xdr:col>
      <xdr:colOff>2914650</xdr:colOff>
      <xdr:row>74</xdr:row>
      <xdr:rowOff>142875</xdr:rowOff>
    </xdr:from>
    <xdr:to>
      <xdr:col>9</xdr:col>
      <xdr:colOff>3657600</xdr:colOff>
      <xdr:row>77</xdr:row>
      <xdr:rowOff>38100</xdr:rowOff>
    </xdr:to>
    <xdr:sp macro="" textlink="">
      <xdr:nvSpPr>
        <xdr:cNvPr id="14" name="Rectangle 21">
          <a:extLst>
            <a:ext uri="{FF2B5EF4-FFF2-40B4-BE49-F238E27FC236}">
              <a16:creationId xmlns:a16="http://schemas.microsoft.com/office/drawing/2014/main" id="{BF3CDA49-DFD3-4832-BA29-5BCF8F8C9C8D}"/>
            </a:ext>
          </a:extLst>
        </xdr:cNvPr>
        <xdr:cNvSpPr>
          <a:spLocks noChangeArrowheads="1"/>
        </xdr:cNvSpPr>
      </xdr:nvSpPr>
      <xdr:spPr bwMode="auto">
        <a:xfrm>
          <a:off x="7105650" y="14630400"/>
          <a:ext cx="742950" cy="5524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2447925</xdr:colOff>
      <xdr:row>91</xdr:row>
      <xdr:rowOff>9525</xdr:rowOff>
    </xdr:from>
    <xdr:to>
      <xdr:col>9</xdr:col>
      <xdr:colOff>4629150</xdr:colOff>
      <xdr:row>93</xdr:row>
      <xdr:rowOff>95250</xdr:rowOff>
    </xdr:to>
    <xdr:sp macro="" textlink="">
      <xdr:nvSpPr>
        <xdr:cNvPr id="15" name="Rectangle 24">
          <a:extLst>
            <a:ext uri="{FF2B5EF4-FFF2-40B4-BE49-F238E27FC236}">
              <a16:creationId xmlns:a16="http://schemas.microsoft.com/office/drawing/2014/main" id="{41136B35-504D-49ED-8448-C77BCD14B4F9}"/>
            </a:ext>
          </a:extLst>
        </xdr:cNvPr>
        <xdr:cNvSpPr>
          <a:spLocks noChangeArrowheads="1"/>
        </xdr:cNvSpPr>
      </xdr:nvSpPr>
      <xdr:spPr bwMode="auto">
        <a:xfrm>
          <a:off x="6638925" y="18145125"/>
          <a:ext cx="2181225" cy="52387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2457450</xdr:colOff>
      <xdr:row>122</xdr:row>
      <xdr:rowOff>133350</xdr:rowOff>
    </xdr:from>
    <xdr:to>
      <xdr:col>9</xdr:col>
      <xdr:colOff>4619625</xdr:colOff>
      <xdr:row>125</xdr:row>
      <xdr:rowOff>28575</xdr:rowOff>
    </xdr:to>
    <xdr:sp macro="" textlink="">
      <xdr:nvSpPr>
        <xdr:cNvPr id="16" name="Rectangle 30">
          <a:extLst>
            <a:ext uri="{FF2B5EF4-FFF2-40B4-BE49-F238E27FC236}">
              <a16:creationId xmlns:a16="http://schemas.microsoft.com/office/drawing/2014/main" id="{28C3BED1-45DA-49B6-BCF4-29B425688FE4}"/>
            </a:ext>
          </a:extLst>
        </xdr:cNvPr>
        <xdr:cNvSpPr>
          <a:spLocks noChangeArrowheads="1"/>
        </xdr:cNvSpPr>
      </xdr:nvSpPr>
      <xdr:spPr bwMode="auto">
        <a:xfrm>
          <a:off x="6648450" y="25060275"/>
          <a:ext cx="2162175" cy="5524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2438400</xdr:colOff>
      <xdr:row>58</xdr:row>
      <xdr:rowOff>38100</xdr:rowOff>
    </xdr:from>
    <xdr:to>
      <xdr:col>9</xdr:col>
      <xdr:colOff>3171825</xdr:colOff>
      <xdr:row>60</xdr:row>
      <xdr:rowOff>142875</xdr:rowOff>
    </xdr:to>
    <xdr:sp macro="" textlink="">
      <xdr:nvSpPr>
        <xdr:cNvPr id="17" name="Rectangle 32">
          <a:extLst>
            <a:ext uri="{FF2B5EF4-FFF2-40B4-BE49-F238E27FC236}">
              <a16:creationId xmlns:a16="http://schemas.microsoft.com/office/drawing/2014/main" id="{D8450900-5D39-4F94-8346-3BE90529E6F9}"/>
            </a:ext>
          </a:extLst>
        </xdr:cNvPr>
        <xdr:cNvSpPr>
          <a:spLocks noChangeArrowheads="1"/>
        </xdr:cNvSpPr>
      </xdr:nvSpPr>
      <xdr:spPr bwMode="auto">
        <a:xfrm>
          <a:off x="6629400" y="11096625"/>
          <a:ext cx="733425" cy="54292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1447800</xdr:colOff>
      <xdr:row>53</xdr:row>
      <xdr:rowOff>85725</xdr:rowOff>
    </xdr:from>
    <xdr:to>
      <xdr:col>9</xdr:col>
      <xdr:colOff>3933825</xdr:colOff>
      <xdr:row>54</xdr:row>
      <xdr:rowOff>85725</xdr:rowOff>
    </xdr:to>
    <xdr:sp macro="" textlink="">
      <xdr:nvSpPr>
        <xdr:cNvPr id="18" name="AutoShape 33">
          <a:extLst>
            <a:ext uri="{FF2B5EF4-FFF2-40B4-BE49-F238E27FC236}">
              <a16:creationId xmlns:a16="http://schemas.microsoft.com/office/drawing/2014/main" id="{2A133DE4-0FB1-483D-A7E0-A4C76D20D7AA}"/>
            </a:ext>
          </a:extLst>
        </xdr:cNvPr>
        <xdr:cNvSpPr>
          <a:spLocks noChangeArrowheads="1"/>
        </xdr:cNvSpPr>
      </xdr:nvSpPr>
      <xdr:spPr bwMode="auto">
        <a:xfrm>
          <a:off x="5638800" y="10048875"/>
          <a:ext cx="2486025" cy="219075"/>
        </a:xfrm>
        <a:prstGeom prst="wedgeRectCallout">
          <a:avLst>
            <a:gd name="adj1" fmla="val 13602"/>
            <a:gd name="adj2" fmla="val 363042"/>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売上高の計算に間違いがないことを確認</a:t>
          </a:r>
        </a:p>
      </xdr:txBody>
    </xdr:sp>
    <xdr:clientData/>
  </xdr:twoCellAnchor>
  <xdr:twoCellAnchor>
    <xdr:from>
      <xdr:col>9</xdr:col>
      <xdr:colOff>2085975</xdr:colOff>
      <xdr:row>162</xdr:row>
      <xdr:rowOff>19050</xdr:rowOff>
    </xdr:from>
    <xdr:to>
      <xdr:col>9</xdr:col>
      <xdr:colOff>2819400</xdr:colOff>
      <xdr:row>165</xdr:row>
      <xdr:rowOff>57150</xdr:rowOff>
    </xdr:to>
    <xdr:sp macro="" textlink="">
      <xdr:nvSpPr>
        <xdr:cNvPr id="19" name="Rectangle 36">
          <a:extLst>
            <a:ext uri="{FF2B5EF4-FFF2-40B4-BE49-F238E27FC236}">
              <a16:creationId xmlns:a16="http://schemas.microsoft.com/office/drawing/2014/main" id="{C4FE616D-C8BA-4AC9-A2B1-0B4AA483A5EC}"/>
            </a:ext>
          </a:extLst>
        </xdr:cNvPr>
        <xdr:cNvSpPr>
          <a:spLocks noChangeArrowheads="1"/>
        </xdr:cNvSpPr>
      </xdr:nvSpPr>
      <xdr:spPr bwMode="auto">
        <a:xfrm>
          <a:off x="6276975" y="33289875"/>
          <a:ext cx="733425" cy="638175"/>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2190750</xdr:colOff>
      <xdr:row>86</xdr:row>
      <xdr:rowOff>28575</xdr:rowOff>
    </xdr:from>
    <xdr:to>
      <xdr:col>9</xdr:col>
      <xdr:colOff>4257675</xdr:colOff>
      <xdr:row>88</xdr:row>
      <xdr:rowOff>66675</xdr:rowOff>
    </xdr:to>
    <xdr:sp macro="" textlink="">
      <xdr:nvSpPr>
        <xdr:cNvPr id="20" name="AutoShape 7">
          <a:extLst>
            <a:ext uri="{FF2B5EF4-FFF2-40B4-BE49-F238E27FC236}">
              <a16:creationId xmlns:a16="http://schemas.microsoft.com/office/drawing/2014/main" id="{282C749C-BAD2-4572-9E6F-CF5B884FDF2C}"/>
            </a:ext>
          </a:extLst>
        </xdr:cNvPr>
        <xdr:cNvSpPr>
          <a:spLocks noChangeArrowheads="1"/>
        </xdr:cNvSpPr>
      </xdr:nvSpPr>
      <xdr:spPr bwMode="auto">
        <a:xfrm>
          <a:off x="6381750" y="17068800"/>
          <a:ext cx="2066925" cy="476250"/>
        </a:xfrm>
        <a:prstGeom prst="wedgeRectCallout">
          <a:avLst>
            <a:gd name="adj1" fmla="val 67051"/>
            <a:gd name="adj2" fmla="val 184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小数点以下の四捨五入が</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正常に行えていることを確認</a:t>
          </a:r>
        </a:p>
      </xdr:txBody>
    </xdr:sp>
    <xdr:clientData/>
  </xdr:twoCellAnchor>
  <xdr:twoCellAnchor>
    <xdr:from>
      <xdr:col>9</xdr:col>
      <xdr:colOff>981075</xdr:colOff>
      <xdr:row>154</xdr:row>
      <xdr:rowOff>104775</xdr:rowOff>
    </xdr:from>
    <xdr:to>
      <xdr:col>10</xdr:col>
      <xdr:colOff>161925</xdr:colOff>
      <xdr:row>156</xdr:row>
      <xdr:rowOff>161925</xdr:rowOff>
    </xdr:to>
    <xdr:sp macro="" textlink="">
      <xdr:nvSpPr>
        <xdr:cNvPr id="21" name="AutoShape 8">
          <a:extLst>
            <a:ext uri="{FF2B5EF4-FFF2-40B4-BE49-F238E27FC236}">
              <a16:creationId xmlns:a16="http://schemas.microsoft.com/office/drawing/2014/main" id="{3CCA2821-2C5D-46E4-BA53-6B9AC91A0F69}"/>
            </a:ext>
          </a:extLst>
        </xdr:cNvPr>
        <xdr:cNvSpPr>
          <a:spLocks noChangeArrowheads="1"/>
        </xdr:cNvSpPr>
      </xdr:nvSpPr>
      <xdr:spPr bwMode="auto">
        <a:xfrm>
          <a:off x="5172075" y="31775400"/>
          <a:ext cx="3905250" cy="457200"/>
        </a:xfrm>
        <a:prstGeom prst="wedgeRectCallout">
          <a:avLst>
            <a:gd name="adj1" fmla="val -3171"/>
            <a:gd name="adj2" fmla="val 304764"/>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計算した値がオーバフローしていないことを確認</a:t>
          </a:r>
        </a:p>
        <a:p>
          <a:pPr algn="ctr" rtl="0">
            <a:lnSpc>
              <a:spcPts val="1000"/>
            </a:lnSpc>
            <a:defRPr sz="1000"/>
          </a:pPr>
          <a:r>
            <a:rPr lang="ja-JP" altLang="en-US" sz="1000" b="0" i="0" u="none" strike="noStrike" baseline="0">
              <a:solidFill>
                <a:srgbClr val="000000"/>
              </a:solidFill>
              <a:latin typeface="ＭＳ Ｐゴシック"/>
              <a:ea typeface="ＭＳ Ｐゴシック"/>
            </a:rPr>
            <a:t>(計算結果を格納する変数の領域が十分に確保されていることを確認</a:t>
          </a:r>
        </a:p>
      </xdr:txBody>
    </xdr:sp>
    <xdr:clientData/>
  </xdr:twoCellAnchor>
  <xdr:twoCellAnchor editAs="oneCell">
    <xdr:from>
      <xdr:col>1</xdr:col>
      <xdr:colOff>200025</xdr:colOff>
      <xdr:row>170</xdr:row>
      <xdr:rowOff>76200</xdr:rowOff>
    </xdr:from>
    <xdr:to>
      <xdr:col>9</xdr:col>
      <xdr:colOff>1028700</xdr:colOff>
      <xdr:row>174</xdr:row>
      <xdr:rowOff>133350</xdr:rowOff>
    </xdr:to>
    <xdr:pic>
      <xdr:nvPicPr>
        <xdr:cNvPr id="22" name="Picture 211">
          <a:extLst>
            <a:ext uri="{FF2B5EF4-FFF2-40B4-BE49-F238E27FC236}">
              <a16:creationId xmlns:a16="http://schemas.microsoft.com/office/drawing/2014/main" id="{D62E75F7-669A-410D-8710-0A57D2199F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476250" y="34918650"/>
          <a:ext cx="4743450" cy="857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266700</xdr:colOff>
      <xdr:row>178</xdr:row>
      <xdr:rowOff>114300</xdr:rowOff>
    </xdr:from>
    <xdr:to>
      <xdr:col>9</xdr:col>
      <xdr:colOff>742950</xdr:colOff>
      <xdr:row>183</xdr:row>
      <xdr:rowOff>57150</xdr:rowOff>
    </xdr:to>
    <xdr:pic>
      <xdr:nvPicPr>
        <xdr:cNvPr id="23" name="Picture 212">
          <a:extLst>
            <a:ext uri="{FF2B5EF4-FFF2-40B4-BE49-F238E27FC236}">
              <a16:creationId xmlns:a16="http://schemas.microsoft.com/office/drawing/2014/main" id="{C2F7678E-E0F6-461E-8FF1-D35D180A47F3}"/>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42925" y="36556950"/>
          <a:ext cx="4391025" cy="9429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666750</xdr:colOff>
      <xdr:row>175</xdr:row>
      <xdr:rowOff>142875</xdr:rowOff>
    </xdr:from>
    <xdr:to>
      <xdr:col>7</xdr:col>
      <xdr:colOff>247650</xdr:colOff>
      <xdr:row>177</xdr:row>
      <xdr:rowOff>152400</xdr:rowOff>
    </xdr:to>
    <xdr:sp macro="" textlink="">
      <xdr:nvSpPr>
        <xdr:cNvPr id="24" name="AutoShape 215">
          <a:extLst>
            <a:ext uri="{FF2B5EF4-FFF2-40B4-BE49-F238E27FC236}">
              <a16:creationId xmlns:a16="http://schemas.microsoft.com/office/drawing/2014/main" id="{D76FEDD1-2632-4529-99C9-CDB21C68BE84}"/>
            </a:ext>
          </a:extLst>
        </xdr:cNvPr>
        <xdr:cNvSpPr>
          <a:spLocks noChangeArrowheads="1"/>
        </xdr:cNvSpPr>
      </xdr:nvSpPr>
      <xdr:spPr bwMode="auto">
        <a:xfrm>
          <a:off x="2800350" y="35985450"/>
          <a:ext cx="266700" cy="409575"/>
        </a:xfrm>
        <a:prstGeom prst="downArrow">
          <a:avLst>
            <a:gd name="adj1" fmla="val 50000"/>
            <a:gd name="adj2" fmla="val 33036"/>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8</xdr:col>
      <xdr:colOff>638175</xdr:colOff>
      <xdr:row>179</xdr:row>
      <xdr:rowOff>95250</xdr:rowOff>
    </xdr:from>
    <xdr:to>
      <xdr:col>9</xdr:col>
      <xdr:colOff>742950</xdr:colOff>
      <xdr:row>183</xdr:row>
      <xdr:rowOff>114300</xdr:rowOff>
    </xdr:to>
    <xdr:sp macro="" textlink="">
      <xdr:nvSpPr>
        <xdr:cNvPr id="25" name="Rectangle 206">
          <a:extLst>
            <a:ext uri="{FF2B5EF4-FFF2-40B4-BE49-F238E27FC236}">
              <a16:creationId xmlns:a16="http://schemas.microsoft.com/office/drawing/2014/main" id="{E9C2FA08-1D41-439E-87A5-C17D3713EACB}"/>
            </a:ext>
          </a:extLst>
        </xdr:cNvPr>
        <xdr:cNvSpPr>
          <a:spLocks noChangeArrowheads="1"/>
        </xdr:cNvSpPr>
      </xdr:nvSpPr>
      <xdr:spPr bwMode="auto">
        <a:xfrm>
          <a:off x="4143375" y="36737925"/>
          <a:ext cx="790575" cy="819150"/>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276225</xdr:colOff>
      <xdr:row>191</xdr:row>
      <xdr:rowOff>19050</xdr:rowOff>
    </xdr:from>
    <xdr:to>
      <xdr:col>9</xdr:col>
      <xdr:colOff>752475</xdr:colOff>
      <xdr:row>195</xdr:row>
      <xdr:rowOff>9525</xdr:rowOff>
    </xdr:to>
    <xdr:pic>
      <xdr:nvPicPr>
        <xdr:cNvPr id="26" name="Picture 217">
          <a:extLst>
            <a:ext uri="{FF2B5EF4-FFF2-40B4-BE49-F238E27FC236}">
              <a16:creationId xmlns:a16="http://schemas.microsoft.com/office/drawing/2014/main" id="{FB7C1E90-0D90-48CB-BB59-5623CFFB4DE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52450" y="39062025"/>
          <a:ext cx="4391025" cy="7905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1028700</xdr:colOff>
      <xdr:row>225</xdr:row>
      <xdr:rowOff>76200</xdr:rowOff>
    </xdr:from>
    <xdr:to>
      <xdr:col>9</xdr:col>
      <xdr:colOff>1114425</xdr:colOff>
      <xdr:row>226</xdr:row>
      <xdr:rowOff>161925</xdr:rowOff>
    </xdr:to>
    <xdr:sp macro="" textlink="">
      <xdr:nvSpPr>
        <xdr:cNvPr id="27" name="AutoShape 224">
          <a:extLst>
            <a:ext uri="{FF2B5EF4-FFF2-40B4-BE49-F238E27FC236}">
              <a16:creationId xmlns:a16="http://schemas.microsoft.com/office/drawing/2014/main" id="{1C036BD9-03B5-477C-9F68-11CD1B54F200}"/>
            </a:ext>
          </a:extLst>
        </xdr:cNvPr>
        <xdr:cNvSpPr>
          <a:spLocks/>
        </xdr:cNvSpPr>
      </xdr:nvSpPr>
      <xdr:spPr bwMode="auto">
        <a:xfrm>
          <a:off x="5219700" y="45958125"/>
          <a:ext cx="85725" cy="285750"/>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219075</xdr:colOff>
      <xdr:row>206</xdr:row>
      <xdr:rowOff>57150</xdr:rowOff>
    </xdr:from>
    <xdr:to>
      <xdr:col>2</xdr:col>
      <xdr:colOff>542925</xdr:colOff>
      <xdr:row>208</xdr:row>
      <xdr:rowOff>66675</xdr:rowOff>
    </xdr:to>
    <xdr:sp macro="" textlink="">
      <xdr:nvSpPr>
        <xdr:cNvPr id="28" name="AutoShape 229">
          <a:extLst>
            <a:ext uri="{FF2B5EF4-FFF2-40B4-BE49-F238E27FC236}">
              <a16:creationId xmlns:a16="http://schemas.microsoft.com/office/drawing/2014/main" id="{C9B86EB2-B31B-49F0-AE60-882090CC3A5C}"/>
            </a:ext>
          </a:extLst>
        </xdr:cNvPr>
        <xdr:cNvSpPr>
          <a:spLocks noChangeArrowheads="1"/>
        </xdr:cNvSpPr>
      </xdr:nvSpPr>
      <xdr:spPr bwMode="auto">
        <a:xfrm>
          <a:off x="495300" y="42119550"/>
          <a:ext cx="942975" cy="4095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レポート sample</a:t>
          </a:r>
        </a:p>
      </xdr:txBody>
    </xdr:sp>
    <xdr:clientData/>
  </xdr:twoCellAnchor>
  <xdr:twoCellAnchor editAs="oneCell">
    <xdr:from>
      <xdr:col>2</xdr:col>
      <xdr:colOff>104775</xdr:colOff>
      <xdr:row>220</xdr:row>
      <xdr:rowOff>28575</xdr:rowOff>
    </xdr:from>
    <xdr:to>
      <xdr:col>9</xdr:col>
      <xdr:colOff>990600</xdr:colOff>
      <xdr:row>222</xdr:row>
      <xdr:rowOff>104775</xdr:rowOff>
    </xdr:to>
    <xdr:pic>
      <xdr:nvPicPr>
        <xdr:cNvPr id="29" name="Picture 236">
          <a:extLst>
            <a:ext uri="{FF2B5EF4-FFF2-40B4-BE49-F238E27FC236}">
              <a16:creationId xmlns:a16="http://schemas.microsoft.com/office/drawing/2014/main" id="{4D2EC888-8E99-4EF8-981C-085EE033DE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000125" y="44910375"/>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95250</xdr:colOff>
      <xdr:row>223</xdr:row>
      <xdr:rowOff>161925</xdr:rowOff>
    </xdr:from>
    <xdr:to>
      <xdr:col>9</xdr:col>
      <xdr:colOff>981075</xdr:colOff>
      <xdr:row>226</xdr:row>
      <xdr:rowOff>38100</xdr:rowOff>
    </xdr:to>
    <xdr:pic>
      <xdr:nvPicPr>
        <xdr:cNvPr id="30" name="Picture 237">
          <a:extLst>
            <a:ext uri="{FF2B5EF4-FFF2-40B4-BE49-F238E27FC236}">
              <a16:creationId xmlns:a16="http://schemas.microsoft.com/office/drawing/2014/main" id="{ECACA477-C00D-4BAF-90A1-7084EC1F69C8}"/>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990600" y="45643800"/>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104775</xdr:colOff>
      <xdr:row>230</xdr:row>
      <xdr:rowOff>28575</xdr:rowOff>
    </xdr:from>
    <xdr:to>
      <xdr:col>9</xdr:col>
      <xdr:colOff>990600</xdr:colOff>
      <xdr:row>232</xdr:row>
      <xdr:rowOff>104775</xdr:rowOff>
    </xdr:to>
    <xdr:pic>
      <xdr:nvPicPr>
        <xdr:cNvPr id="31" name="Picture 238">
          <a:extLst>
            <a:ext uri="{FF2B5EF4-FFF2-40B4-BE49-F238E27FC236}">
              <a16:creationId xmlns:a16="http://schemas.microsoft.com/office/drawing/2014/main" id="{8E65CF3B-92CA-4717-AFD3-3AD9CF7A6D1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000125" y="46910625"/>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1076325</xdr:colOff>
      <xdr:row>228</xdr:row>
      <xdr:rowOff>114300</xdr:rowOff>
    </xdr:from>
    <xdr:to>
      <xdr:col>9</xdr:col>
      <xdr:colOff>3838575</xdr:colOff>
      <xdr:row>230</xdr:row>
      <xdr:rowOff>85725</xdr:rowOff>
    </xdr:to>
    <xdr:sp macro="" textlink="">
      <xdr:nvSpPr>
        <xdr:cNvPr id="32" name="AutoShape 239">
          <a:extLst>
            <a:ext uri="{FF2B5EF4-FFF2-40B4-BE49-F238E27FC236}">
              <a16:creationId xmlns:a16="http://schemas.microsoft.com/office/drawing/2014/main" id="{61ABCB23-38CB-41DF-8B26-A3A8EAB9D4A1}"/>
            </a:ext>
          </a:extLst>
        </xdr:cNvPr>
        <xdr:cNvSpPr>
          <a:spLocks noChangeArrowheads="1"/>
        </xdr:cNvSpPr>
      </xdr:nvSpPr>
      <xdr:spPr bwMode="auto">
        <a:xfrm>
          <a:off x="5267325" y="46596300"/>
          <a:ext cx="2762250" cy="371475"/>
        </a:xfrm>
        <a:prstGeom prst="wedgeRectCallout">
          <a:avLst>
            <a:gd name="adj1" fmla="val -48968"/>
            <a:gd name="adj2" fmla="val 101514"/>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c8：　</a:t>
          </a:r>
          <a:r>
            <a:rPr lang="ja-JP" altLang="en-US" sz="1000" b="0" i="0" u="none" strike="noStrike" baseline="0">
              <a:solidFill>
                <a:srgbClr val="000000"/>
              </a:solidFill>
              <a:latin typeface="ＭＳ Ｐゴシック"/>
              <a:ea typeface="ＭＳ Ｐゴシック"/>
            </a:rPr>
            <a:t>１：１のデータ数において、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7</xdr:col>
      <xdr:colOff>47625</xdr:colOff>
      <xdr:row>230</xdr:row>
      <xdr:rowOff>47625</xdr:rowOff>
    </xdr:from>
    <xdr:to>
      <xdr:col>9</xdr:col>
      <xdr:colOff>1057275</xdr:colOff>
      <xdr:row>233</xdr:row>
      <xdr:rowOff>38100</xdr:rowOff>
    </xdr:to>
    <xdr:sp macro="" textlink="">
      <xdr:nvSpPr>
        <xdr:cNvPr id="33" name="Rectangle 240">
          <a:extLst>
            <a:ext uri="{FF2B5EF4-FFF2-40B4-BE49-F238E27FC236}">
              <a16:creationId xmlns:a16="http://schemas.microsoft.com/office/drawing/2014/main" id="{3B3CE821-F65F-4706-BD4E-095247C748DF}"/>
            </a:ext>
          </a:extLst>
        </xdr:cNvPr>
        <xdr:cNvSpPr>
          <a:spLocks noChangeArrowheads="1"/>
        </xdr:cNvSpPr>
      </xdr:nvSpPr>
      <xdr:spPr bwMode="auto">
        <a:xfrm>
          <a:off x="2867025" y="46929675"/>
          <a:ext cx="2381250" cy="5905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2</xdr:col>
      <xdr:colOff>114300</xdr:colOff>
      <xdr:row>238</xdr:row>
      <xdr:rowOff>19050</xdr:rowOff>
    </xdr:from>
    <xdr:to>
      <xdr:col>9</xdr:col>
      <xdr:colOff>1000125</xdr:colOff>
      <xdr:row>248</xdr:row>
      <xdr:rowOff>57150</xdr:rowOff>
    </xdr:to>
    <xdr:pic>
      <xdr:nvPicPr>
        <xdr:cNvPr id="34" name="Picture 246">
          <a:extLst>
            <a:ext uri="{FF2B5EF4-FFF2-40B4-BE49-F238E27FC236}">
              <a16:creationId xmlns:a16="http://schemas.microsoft.com/office/drawing/2014/main" id="{F6142586-AE07-44DB-A1C2-B671705E50FB}"/>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1009650" y="48501300"/>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133350</xdr:colOff>
      <xdr:row>251</xdr:row>
      <xdr:rowOff>9525</xdr:rowOff>
    </xdr:from>
    <xdr:to>
      <xdr:col>9</xdr:col>
      <xdr:colOff>1019175</xdr:colOff>
      <xdr:row>253</xdr:row>
      <xdr:rowOff>85725</xdr:rowOff>
    </xdr:to>
    <xdr:pic>
      <xdr:nvPicPr>
        <xdr:cNvPr id="35" name="Picture 247">
          <a:extLst>
            <a:ext uri="{FF2B5EF4-FFF2-40B4-BE49-F238E27FC236}">
              <a16:creationId xmlns:a16="http://schemas.microsoft.com/office/drawing/2014/main" id="{40E83DAA-B51F-4362-88E4-1AE46E93B308}"/>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028700" y="51092100"/>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161925</xdr:colOff>
      <xdr:row>257</xdr:row>
      <xdr:rowOff>19050</xdr:rowOff>
    </xdr:from>
    <xdr:to>
      <xdr:col>9</xdr:col>
      <xdr:colOff>1047750</xdr:colOff>
      <xdr:row>267</xdr:row>
      <xdr:rowOff>57150</xdr:rowOff>
    </xdr:to>
    <xdr:pic>
      <xdr:nvPicPr>
        <xdr:cNvPr id="36" name="Picture 248">
          <a:extLst>
            <a:ext uri="{FF2B5EF4-FFF2-40B4-BE49-F238E27FC236}">
              <a16:creationId xmlns:a16="http://schemas.microsoft.com/office/drawing/2014/main" id="{00BC4882-EBAD-40D5-8674-8303F4F49FF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057275" y="52301775"/>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219075</xdr:colOff>
      <xdr:row>258</xdr:row>
      <xdr:rowOff>152400</xdr:rowOff>
    </xdr:from>
    <xdr:to>
      <xdr:col>9</xdr:col>
      <xdr:colOff>1228725</xdr:colOff>
      <xdr:row>260</xdr:row>
      <xdr:rowOff>9525</xdr:rowOff>
    </xdr:to>
    <xdr:sp macro="" textlink="">
      <xdr:nvSpPr>
        <xdr:cNvPr id="37" name="Rectangle 245">
          <a:extLst>
            <a:ext uri="{FF2B5EF4-FFF2-40B4-BE49-F238E27FC236}">
              <a16:creationId xmlns:a16="http://schemas.microsoft.com/office/drawing/2014/main" id="{B53A6177-AB95-490A-BA7E-E97503C6184E}"/>
            </a:ext>
          </a:extLst>
        </xdr:cNvPr>
        <xdr:cNvSpPr>
          <a:spLocks noChangeArrowheads="1"/>
        </xdr:cNvSpPr>
      </xdr:nvSpPr>
      <xdr:spPr bwMode="auto">
        <a:xfrm>
          <a:off x="3038475" y="52635150"/>
          <a:ext cx="2381250" cy="25717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1447800</xdr:colOff>
      <xdr:row>256</xdr:row>
      <xdr:rowOff>76200</xdr:rowOff>
    </xdr:from>
    <xdr:to>
      <xdr:col>9</xdr:col>
      <xdr:colOff>4210050</xdr:colOff>
      <xdr:row>258</xdr:row>
      <xdr:rowOff>47625</xdr:rowOff>
    </xdr:to>
    <xdr:sp macro="" textlink="">
      <xdr:nvSpPr>
        <xdr:cNvPr id="38" name="AutoShape 250">
          <a:extLst>
            <a:ext uri="{FF2B5EF4-FFF2-40B4-BE49-F238E27FC236}">
              <a16:creationId xmlns:a16="http://schemas.microsoft.com/office/drawing/2014/main" id="{FC4B9BDA-5E1D-4ACD-9A7E-66E7E96D1E7B}"/>
            </a:ext>
          </a:extLst>
        </xdr:cNvPr>
        <xdr:cNvSpPr>
          <a:spLocks noChangeArrowheads="1"/>
        </xdr:cNvSpPr>
      </xdr:nvSpPr>
      <xdr:spPr bwMode="auto">
        <a:xfrm>
          <a:off x="5638800" y="52158900"/>
          <a:ext cx="2762250" cy="371475"/>
        </a:xfrm>
        <a:prstGeom prst="wedgeRectCallout">
          <a:avLst>
            <a:gd name="adj1" fmla="val -58968"/>
            <a:gd name="adj2" fmla="val 10454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１：Nのデータ数において、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正常に動作することを確認</a:t>
          </a:r>
        </a:p>
      </xdr:txBody>
    </xdr:sp>
    <xdr:clientData/>
  </xdr:twoCellAnchor>
  <xdr:twoCellAnchor editAs="oneCell">
    <xdr:from>
      <xdr:col>2</xdr:col>
      <xdr:colOff>95250</xdr:colOff>
      <xdr:row>274</xdr:row>
      <xdr:rowOff>66675</xdr:rowOff>
    </xdr:from>
    <xdr:to>
      <xdr:col>9</xdr:col>
      <xdr:colOff>981075</xdr:colOff>
      <xdr:row>284</xdr:row>
      <xdr:rowOff>104775</xdr:rowOff>
    </xdr:to>
    <xdr:pic>
      <xdr:nvPicPr>
        <xdr:cNvPr id="39" name="Picture 251">
          <a:extLst>
            <a:ext uri="{FF2B5EF4-FFF2-40B4-BE49-F238E27FC236}">
              <a16:creationId xmlns:a16="http://schemas.microsoft.com/office/drawing/2014/main" id="{8F493154-A489-4CED-8627-6559FD1DEA12}"/>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990600" y="55749825"/>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123825</xdr:colOff>
      <xdr:row>287</xdr:row>
      <xdr:rowOff>85725</xdr:rowOff>
    </xdr:from>
    <xdr:to>
      <xdr:col>9</xdr:col>
      <xdr:colOff>1009650</xdr:colOff>
      <xdr:row>291</xdr:row>
      <xdr:rowOff>76200</xdr:rowOff>
    </xdr:to>
    <xdr:pic>
      <xdr:nvPicPr>
        <xdr:cNvPr id="40" name="Picture 252">
          <a:extLst>
            <a:ext uri="{FF2B5EF4-FFF2-40B4-BE49-F238E27FC236}">
              <a16:creationId xmlns:a16="http://schemas.microsoft.com/office/drawing/2014/main" id="{5F4D41E9-211A-4F21-B0E4-91029759EA6A}"/>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1019175" y="58369200"/>
          <a:ext cx="4181475" cy="7905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152400</xdr:colOff>
      <xdr:row>295</xdr:row>
      <xdr:rowOff>9525</xdr:rowOff>
    </xdr:from>
    <xdr:to>
      <xdr:col>9</xdr:col>
      <xdr:colOff>1038225</xdr:colOff>
      <xdr:row>305</xdr:row>
      <xdr:rowOff>47625</xdr:rowOff>
    </xdr:to>
    <xdr:pic>
      <xdr:nvPicPr>
        <xdr:cNvPr id="41" name="Picture 253">
          <a:extLst>
            <a:ext uri="{FF2B5EF4-FFF2-40B4-BE49-F238E27FC236}">
              <a16:creationId xmlns:a16="http://schemas.microsoft.com/office/drawing/2014/main" id="{F737261A-72C6-46CE-A419-23225FD6127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1047750" y="59893200"/>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1447800</xdr:colOff>
      <xdr:row>256</xdr:row>
      <xdr:rowOff>76200</xdr:rowOff>
    </xdr:from>
    <xdr:to>
      <xdr:col>9</xdr:col>
      <xdr:colOff>4210050</xdr:colOff>
      <xdr:row>258</xdr:row>
      <xdr:rowOff>47625</xdr:rowOff>
    </xdr:to>
    <xdr:sp macro="" textlink="">
      <xdr:nvSpPr>
        <xdr:cNvPr id="42" name="AutoShape 254">
          <a:extLst>
            <a:ext uri="{FF2B5EF4-FFF2-40B4-BE49-F238E27FC236}">
              <a16:creationId xmlns:a16="http://schemas.microsoft.com/office/drawing/2014/main" id="{44D0E211-3D95-4479-859A-7FC811650493}"/>
            </a:ext>
          </a:extLst>
        </xdr:cNvPr>
        <xdr:cNvSpPr>
          <a:spLocks noChangeArrowheads="1"/>
        </xdr:cNvSpPr>
      </xdr:nvSpPr>
      <xdr:spPr bwMode="auto">
        <a:xfrm>
          <a:off x="5638800" y="52158900"/>
          <a:ext cx="2762250" cy="371475"/>
        </a:xfrm>
        <a:prstGeom prst="wedgeRectCallout">
          <a:avLst>
            <a:gd name="adj1" fmla="val -58968"/>
            <a:gd name="adj2" fmla="val 10454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c9：</a:t>
          </a:r>
          <a:r>
            <a:rPr lang="ja-JP" altLang="en-US" sz="1000" b="0" i="0" u="none" strike="noStrike" baseline="0">
              <a:solidFill>
                <a:srgbClr val="000000"/>
              </a:solidFill>
              <a:latin typeface="ＭＳ Ｐゴシック"/>
              <a:ea typeface="ＭＳ Ｐゴシック"/>
            </a:rPr>
            <a:t>　１：Nのデータ数において、　</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7</xdr:col>
      <xdr:colOff>342900</xdr:colOff>
      <xdr:row>296</xdr:row>
      <xdr:rowOff>133350</xdr:rowOff>
    </xdr:from>
    <xdr:to>
      <xdr:col>9</xdr:col>
      <xdr:colOff>1152525</xdr:colOff>
      <xdr:row>298</xdr:row>
      <xdr:rowOff>95250</xdr:rowOff>
    </xdr:to>
    <xdr:sp macro="" textlink="">
      <xdr:nvSpPr>
        <xdr:cNvPr id="43" name="Rectangle 255">
          <a:extLst>
            <a:ext uri="{FF2B5EF4-FFF2-40B4-BE49-F238E27FC236}">
              <a16:creationId xmlns:a16="http://schemas.microsoft.com/office/drawing/2014/main" id="{556CE2B8-E08B-4717-9224-3276E92A67BD}"/>
            </a:ext>
          </a:extLst>
        </xdr:cNvPr>
        <xdr:cNvSpPr>
          <a:spLocks noChangeArrowheads="1"/>
        </xdr:cNvSpPr>
      </xdr:nvSpPr>
      <xdr:spPr bwMode="auto">
        <a:xfrm>
          <a:off x="3162300" y="60217050"/>
          <a:ext cx="2181225" cy="3619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304800</xdr:colOff>
      <xdr:row>305</xdr:row>
      <xdr:rowOff>9525</xdr:rowOff>
    </xdr:from>
    <xdr:to>
      <xdr:col>9</xdr:col>
      <xdr:colOff>1190625</xdr:colOff>
      <xdr:row>306</xdr:row>
      <xdr:rowOff>19050</xdr:rowOff>
    </xdr:to>
    <xdr:sp macro="" textlink="">
      <xdr:nvSpPr>
        <xdr:cNvPr id="44" name="Rectangle 257">
          <a:extLst>
            <a:ext uri="{FF2B5EF4-FFF2-40B4-BE49-F238E27FC236}">
              <a16:creationId xmlns:a16="http://schemas.microsoft.com/office/drawing/2014/main" id="{B2ACC804-1AC3-441E-91DD-E200CDCE890C}"/>
            </a:ext>
          </a:extLst>
        </xdr:cNvPr>
        <xdr:cNvSpPr>
          <a:spLocks noChangeArrowheads="1"/>
        </xdr:cNvSpPr>
      </xdr:nvSpPr>
      <xdr:spPr bwMode="auto">
        <a:xfrm>
          <a:off x="3124200" y="61893450"/>
          <a:ext cx="2257425" cy="2095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1495425</xdr:colOff>
      <xdr:row>300</xdr:row>
      <xdr:rowOff>123825</xdr:rowOff>
    </xdr:from>
    <xdr:to>
      <xdr:col>9</xdr:col>
      <xdr:colOff>4029075</xdr:colOff>
      <xdr:row>303</xdr:row>
      <xdr:rowOff>85725</xdr:rowOff>
    </xdr:to>
    <xdr:sp macro="" textlink="">
      <xdr:nvSpPr>
        <xdr:cNvPr id="45" name="AutoShape 258">
          <a:extLst>
            <a:ext uri="{FF2B5EF4-FFF2-40B4-BE49-F238E27FC236}">
              <a16:creationId xmlns:a16="http://schemas.microsoft.com/office/drawing/2014/main" id="{E3862F09-69FF-4A44-8761-87A4E87A2DAA}"/>
            </a:ext>
          </a:extLst>
        </xdr:cNvPr>
        <xdr:cNvSpPr>
          <a:spLocks noChangeArrowheads="1"/>
        </xdr:cNvSpPr>
      </xdr:nvSpPr>
      <xdr:spPr bwMode="auto">
        <a:xfrm>
          <a:off x="5686425" y="61007625"/>
          <a:ext cx="2533650" cy="561975"/>
        </a:xfrm>
        <a:prstGeom prst="wedgeRectCallout">
          <a:avLst>
            <a:gd name="adj1" fmla="val -60903"/>
            <a:gd name="adj2" fmla="val 130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N：Nのデータ数において、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正常に動作することを確認</a:t>
          </a:r>
        </a:p>
      </xdr:txBody>
    </xdr:sp>
    <xdr:clientData/>
  </xdr:twoCellAnchor>
  <xdr:twoCellAnchor>
    <xdr:from>
      <xdr:col>9</xdr:col>
      <xdr:colOff>1495425</xdr:colOff>
      <xdr:row>299</xdr:row>
      <xdr:rowOff>133350</xdr:rowOff>
    </xdr:from>
    <xdr:to>
      <xdr:col>9</xdr:col>
      <xdr:colOff>4029075</xdr:colOff>
      <xdr:row>304</xdr:row>
      <xdr:rowOff>47625</xdr:rowOff>
    </xdr:to>
    <xdr:sp macro="" textlink="">
      <xdr:nvSpPr>
        <xdr:cNvPr id="46" name="AutoShape 256">
          <a:extLst>
            <a:ext uri="{FF2B5EF4-FFF2-40B4-BE49-F238E27FC236}">
              <a16:creationId xmlns:a16="http://schemas.microsoft.com/office/drawing/2014/main" id="{FFE82A88-1CE4-4A08-A796-0B2BD504C720}"/>
            </a:ext>
          </a:extLst>
        </xdr:cNvPr>
        <xdr:cNvSpPr>
          <a:spLocks noChangeArrowheads="1"/>
        </xdr:cNvSpPr>
      </xdr:nvSpPr>
      <xdr:spPr bwMode="auto">
        <a:xfrm>
          <a:off x="5686425" y="60817125"/>
          <a:ext cx="2533650" cy="914400"/>
        </a:xfrm>
        <a:prstGeom prst="wedgeRectCallout">
          <a:avLst>
            <a:gd name="adj1" fmla="val -62782"/>
            <a:gd name="adj2" fmla="val -89505"/>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c10：</a:t>
          </a:r>
          <a:r>
            <a:rPr lang="ja-JP" altLang="en-US" sz="1000" b="0" i="0" u="none" strike="noStrike" baseline="0">
              <a:solidFill>
                <a:srgbClr val="000000"/>
              </a:solidFill>
              <a:latin typeface="ＭＳ Ｐゴシック"/>
              <a:ea typeface="ＭＳ Ｐゴシック"/>
            </a:rPr>
            <a:t>　N：Nのデータ数において、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9</xdr:col>
      <xdr:colOff>1028700</xdr:colOff>
      <xdr:row>221</xdr:row>
      <xdr:rowOff>95250</xdr:rowOff>
    </xdr:from>
    <xdr:to>
      <xdr:col>9</xdr:col>
      <xdr:colOff>1114425</xdr:colOff>
      <xdr:row>223</xdr:row>
      <xdr:rowOff>9525</xdr:rowOff>
    </xdr:to>
    <xdr:sp macro="" textlink="">
      <xdr:nvSpPr>
        <xdr:cNvPr id="47" name="AutoShape 259">
          <a:extLst>
            <a:ext uri="{FF2B5EF4-FFF2-40B4-BE49-F238E27FC236}">
              <a16:creationId xmlns:a16="http://schemas.microsoft.com/office/drawing/2014/main" id="{F0849C2B-0C5C-4B4E-BD32-D3E85A54366C}"/>
            </a:ext>
          </a:extLst>
        </xdr:cNvPr>
        <xdr:cNvSpPr>
          <a:spLocks/>
        </xdr:cNvSpPr>
      </xdr:nvSpPr>
      <xdr:spPr bwMode="auto">
        <a:xfrm>
          <a:off x="5219700" y="45177075"/>
          <a:ext cx="85725" cy="314325"/>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1390650</xdr:colOff>
      <xdr:row>244</xdr:row>
      <xdr:rowOff>0</xdr:rowOff>
    </xdr:from>
    <xdr:to>
      <xdr:col>9</xdr:col>
      <xdr:colOff>2400300</xdr:colOff>
      <xdr:row>245</xdr:row>
      <xdr:rowOff>38100</xdr:rowOff>
    </xdr:to>
    <xdr:sp macro="" textlink="">
      <xdr:nvSpPr>
        <xdr:cNvPr id="48" name="Text Box 260">
          <a:extLst>
            <a:ext uri="{FF2B5EF4-FFF2-40B4-BE49-F238E27FC236}">
              <a16:creationId xmlns:a16="http://schemas.microsoft.com/office/drawing/2014/main" id="{51013554-8112-465F-9508-21A0E3DD2E0B}"/>
            </a:ext>
          </a:extLst>
        </xdr:cNvPr>
        <xdr:cNvSpPr txBox="1">
          <a:spLocks noChangeArrowheads="1"/>
        </xdr:cNvSpPr>
      </xdr:nvSpPr>
      <xdr:spPr bwMode="auto">
        <a:xfrm>
          <a:off x="5581650" y="496824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1171575</xdr:colOff>
      <xdr:row>225</xdr:row>
      <xdr:rowOff>104775</xdr:rowOff>
    </xdr:from>
    <xdr:to>
      <xdr:col>9</xdr:col>
      <xdr:colOff>2181225</xdr:colOff>
      <xdr:row>226</xdr:row>
      <xdr:rowOff>142875</xdr:rowOff>
    </xdr:to>
    <xdr:sp macro="" textlink="">
      <xdr:nvSpPr>
        <xdr:cNvPr id="49" name="Text Box 261">
          <a:extLst>
            <a:ext uri="{FF2B5EF4-FFF2-40B4-BE49-F238E27FC236}">
              <a16:creationId xmlns:a16="http://schemas.microsoft.com/office/drawing/2014/main" id="{6466AB60-8432-4C57-A72D-2CCF8281DA44}"/>
            </a:ext>
          </a:extLst>
        </xdr:cNvPr>
        <xdr:cNvSpPr txBox="1">
          <a:spLocks noChangeArrowheads="1"/>
        </xdr:cNvSpPr>
      </xdr:nvSpPr>
      <xdr:spPr bwMode="auto">
        <a:xfrm>
          <a:off x="5362575" y="459867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1123950</xdr:colOff>
      <xdr:row>239</xdr:row>
      <xdr:rowOff>57150</xdr:rowOff>
    </xdr:from>
    <xdr:to>
      <xdr:col>9</xdr:col>
      <xdr:colOff>1266825</xdr:colOff>
      <xdr:row>249</xdr:row>
      <xdr:rowOff>142875</xdr:rowOff>
    </xdr:to>
    <xdr:sp macro="" textlink="">
      <xdr:nvSpPr>
        <xdr:cNvPr id="50" name="AutoShape 262">
          <a:extLst>
            <a:ext uri="{FF2B5EF4-FFF2-40B4-BE49-F238E27FC236}">
              <a16:creationId xmlns:a16="http://schemas.microsoft.com/office/drawing/2014/main" id="{63F2291A-2DC0-49C3-97DF-A97FDB8BB3B4}"/>
            </a:ext>
          </a:extLst>
        </xdr:cNvPr>
        <xdr:cNvSpPr>
          <a:spLocks/>
        </xdr:cNvSpPr>
      </xdr:nvSpPr>
      <xdr:spPr bwMode="auto">
        <a:xfrm>
          <a:off x="5314950" y="48739425"/>
          <a:ext cx="142875" cy="2085975"/>
        </a:xfrm>
        <a:prstGeom prst="rightBrace">
          <a:avLst>
            <a:gd name="adj1" fmla="val 10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1162050</xdr:colOff>
      <xdr:row>221</xdr:row>
      <xdr:rowOff>133350</xdr:rowOff>
    </xdr:from>
    <xdr:to>
      <xdr:col>9</xdr:col>
      <xdr:colOff>2171700</xdr:colOff>
      <xdr:row>223</xdr:row>
      <xdr:rowOff>0</xdr:rowOff>
    </xdr:to>
    <xdr:sp macro="" textlink="">
      <xdr:nvSpPr>
        <xdr:cNvPr id="51" name="Text Box 263">
          <a:extLst>
            <a:ext uri="{FF2B5EF4-FFF2-40B4-BE49-F238E27FC236}">
              <a16:creationId xmlns:a16="http://schemas.microsoft.com/office/drawing/2014/main" id="{22373974-E413-4D19-9870-9F2E57724444}"/>
            </a:ext>
          </a:extLst>
        </xdr:cNvPr>
        <xdr:cNvSpPr txBox="1">
          <a:spLocks noChangeArrowheads="1"/>
        </xdr:cNvSpPr>
      </xdr:nvSpPr>
      <xdr:spPr bwMode="auto">
        <a:xfrm>
          <a:off x="5353050" y="45215175"/>
          <a:ext cx="1009650" cy="266700"/>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1133475</xdr:colOff>
      <xdr:row>252</xdr:row>
      <xdr:rowOff>85725</xdr:rowOff>
    </xdr:from>
    <xdr:to>
      <xdr:col>9</xdr:col>
      <xdr:colOff>1219200</xdr:colOff>
      <xdr:row>254</xdr:row>
      <xdr:rowOff>0</xdr:rowOff>
    </xdr:to>
    <xdr:sp macro="" textlink="">
      <xdr:nvSpPr>
        <xdr:cNvPr id="52" name="AutoShape 264">
          <a:extLst>
            <a:ext uri="{FF2B5EF4-FFF2-40B4-BE49-F238E27FC236}">
              <a16:creationId xmlns:a16="http://schemas.microsoft.com/office/drawing/2014/main" id="{2E469C27-147A-4457-8711-36B0293298B3}"/>
            </a:ext>
          </a:extLst>
        </xdr:cNvPr>
        <xdr:cNvSpPr>
          <a:spLocks/>
        </xdr:cNvSpPr>
      </xdr:nvSpPr>
      <xdr:spPr bwMode="auto">
        <a:xfrm>
          <a:off x="5324475" y="51368325"/>
          <a:ext cx="85725" cy="314325"/>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1352550</xdr:colOff>
      <xdr:row>252</xdr:row>
      <xdr:rowOff>114300</xdr:rowOff>
    </xdr:from>
    <xdr:to>
      <xdr:col>9</xdr:col>
      <xdr:colOff>2362200</xdr:colOff>
      <xdr:row>253</xdr:row>
      <xdr:rowOff>152400</xdr:rowOff>
    </xdr:to>
    <xdr:sp macro="" textlink="">
      <xdr:nvSpPr>
        <xdr:cNvPr id="53" name="Text Box 265">
          <a:extLst>
            <a:ext uri="{FF2B5EF4-FFF2-40B4-BE49-F238E27FC236}">
              <a16:creationId xmlns:a16="http://schemas.microsoft.com/office/drawing/2014/main" id="{8FB46B30-D707-41B7-B057-B065F0EED294}"/>
            </a:ext>
          </a:extLst>
        </xdr:cNvPr>
        <xdr:cNvSpPr txBox="1">
          <a:spLocks noChangeArrowheads="1"/>
        </xdr:cNvSpPr>
      </xdr:nvSpPr>
      <xdr:spPr bwMode="auto">
        <a:xfrm>
          <a:off x="5543550" y="513969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1095375</xdr:colOff>
      <xdr:row>275</xdr:row>
      <xdr:rowOff>114300</xdr:rowOff>
    </xdr:from>
    <xdr:to>
      <xdr:col>9</xdr:col>
      <xdr:colOff>1238250</xdr:colOff>
      <xdr:row>286</xdr:row>
      <xdr:rowOff>28575</xdr:rowOff>
    </xdr:to>
    <xdr:sp macro="" textlink="">
      <xdr:nvSpPr>
        <xdr:cNvPr id="54" name="AutoShape 266">
          <a:extLst>
            <a:ext uri="{FF2B5EF4-FFF2-40B4-BE49-F238E27FC236}">
              <a16:creationId xmlns:a16="http://schemas.microsoft.com/office/drawing/2014/main" id="{44A89CE6-3A49-4369-823E-525EFDD4979B}"/>
            </a:ext>
          </a:extLst>
        </xdr:cNvPr>
        <xdr:cNvSpPr>
          <a:spLocks/>
        </xdr:cNvSpPr>
      </xdr:nvSpPr>
      <xdr:spPr bwMode="auto">
        <a:xfrm>
          <a:off x="5286375" y="55997475"/>
          <a:ext cx="142875" cy="2114550"/>
        </a:xfrm>
        <a:prstGeom prst="rightBrace">
          <a:avLst>
            <a:gd name="adj1" fmla="val 10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1152525</xdr:colOff>
      <xdr:row>289</xdr:row>
      <xdr:rowOff>123825</xdr:rowOff>
    </xdr:from>
    <xdr:to>
      <xdr:col>9</xdr:col>
      <xdr:colOff>1257300</xdr:colOff>
      <xdr:row>291</xdr:row>
      <xdr:rowOff>152400</xdr:rowOff>
    </xdr:to>
    <xdr:sp macro="" textlink="">
      <xdr:nvSpPr>
        <xdr:cNvPr id="55" name="AutoShape 267">
          <a:extLst>
            <a:ext uri="{FF2B5EF4-FFF2-40B4-BE49-F238E27FC236}">
              <a16:creationId xmlns:a16="http://schemas.microsoft.com/office/drawing/2014/main" id="{D9AAD87B-D6DE-44C1-AF5C-6834CE9CE230}"/>
            </a:ext>
          </a:extLst>
        </xdr:cNvPr>
        <xdr:cNvSpPr>
          <a:spLocks/>
        </xdr:cNvSpPr>
      </xdr:nvSpPr>
      <xdr:spPr bwMode="auto">
        <a:xfrm>
          <a:off x="5343525" y="58807350"/>
          <a:ext cx="104775" cy="428625"/>
        </a:xfrm>
        <a:prstGeom prst="rightBrace">
          <a:avLst>
            <a:gd name="adj1" fmla="val 29545"/>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1438275</xdr:colOff>
      <xdr:row>280</xdr:row>
      <xdr:rowOff>57150</xdr:rowOff>
    </xdr:from>
    <xdr:to>
      <xdr:col>9</xdr:col>
      <xdr:colOff>2447925</xdr:colOff>
      <xdr:row>281</xdr:row>
      <xdr:rowOff>95250</xdr:rowOff>
    </xdr:to>
    <xdr:sp macro="" textlink="">
      <xdr:nvSpPr>
        <xdr:cNvPr id="56" name="Text Box 268">
          <a:extLst>
            <a:ext uri="{FF2B5EF4-FFF2-40B4-BE49-F238E27FC236}">
              <a16:creationId xmlns:a16="http://schemas.microsoft.com/office/drawing/2014/main" id="{D8E8C47A-220F-4568-88F4-335B2BAC4B05}"/>
            </a:ext>
          </a:extLst>
        </xdr:cNvPr>
        <xdr:cNvSpPr txBox="1">
          <a:spLocks noChangeArrowheads="1"/>
        </xdr:cNvSpPr>
      </xdr:nvSpPr>
      <xdr:spPr bwMode="auto">
        <a:xfrm>
          <a:off x="5629275" y="5694045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1400175</xdr:colOff>
      <xdr:row>290</xdr:row>
      <xdr:rowOff>38100</xdr:rowOff>
    </xdr:from>
    <xdr:to>
      <xdr:col>9</xdr:col>
      <xdr:colOff>2409825</xdr:colOff>
      <xdr:row>291</xdr:row>
      <xdr:rowOff>76200</xdr:rowOff>
    </xdr:to>
    <xdr:sp macro="" textlink="">
      <xdr:nvSpPr>
        <xdr:cNvPr id="57" name="Text Box 269">
          <a:extLst>
            <a:ext uri="{FF2B5EF4-FFF2-40B4-BE49-F238E27FC236}">
              <a16:creationId xmlns:a16="http://schemas.microsoft.com/office/drawing/2014/main" id="{DD0DBFCC-A7EC-47C1-A411-FB95F21336B1}"/>
            </a:ext>
          </a:extLst>
        </xdr:cNvPr>
        <xdr:cNvSpPr txBox="1">
          <a:spLocks noChangeArrowheads="1"/>
        </xdr:cNvSpPr>
      </xdr:nvSpPr>
      <xdr:spPr bwMode="auto">
        <a:xfrm>
          <a:off x="5591175" y="5892165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2990850</xdr:colOff>
      <xdr:row>70</xdr:row>
      <xdr:rowOff>104775</xdr:rowOff>
    </xdr:from>
    <xdr:to>
      <xdr:col>10</xdr:col>
      <xdr:colOff>342900</xdr:colOff>
      <xdr:row>72</xdr:row>
      <xdr:rowOff>19050</xdr:rowOff>
    </xdr:to>
    <xdr:sp macro="" textlink="">
      <xdr:nvSpPr>
        <xdr:cNvPr id="58" name="AutoShape 13">
          <a:extLst>
            <a:ext uri="{FF2B5EF4-FFF2-40B4-BE49-F238E27FC236}">
              <a16:creationId xmlns:a16="http://schemas.microsoft.com/office/drawing/2014/main" id="{A20E0384-9EC7-43B2-8DB0-F550FA0AB2AD}"/>
            </a:ext>
          </a:extLst>
        </xdr:cNvPr>
        <xdr:cNvSpPr>
          <a:spLocks noChangeArrowheads="1"/>
        </xdr:cNvSpPr>
      </xdr:nvSpPr>
      <xdr:spPr bwMode="auto">
        <a:xfrm>
          <a:off x="7181850" y="13716000"/>
          <a:ext cx="2076450" cy="352425"/>
        </a:xfrm>
        <a:prstGeom prst="wedgeRectCallout">
          <a:avLst>
            <a:gd name="adj1" fmla="val -19727"/>
            <a:gd name="adj2" fmla="val 20405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小数点計算で誤差がないことを確認</a:t>
          </a:r>
        </a:p>
      </xdr:txBody>
    </xdr:sp>
    <xdr:clientData/>
  </xdr:twoCellAnchor>
  <xdr:twoCellAnchor>
    <xdr:from>
      <xdr:col>9</xdr:col>
      <xdr:colOff>2933700</xdr:colOff>
      <xdr:row>118</xdr:row>
      <xdr:rowOff>114300</xdr:rowOff>
    </xdr:from>
    <xdr:to>
      <xdr:col>10</xdr:col>
      <xdr:colOff>85725</xdr:colOff>
      <xdr:row>120</xdr:row>
      <xdr:rowOff>9525</xdr:rowOff>
    </xdr:to>
    <xdr:sp macro="" textlink="">
      <xdr:nvSpPr>
        <xdr:cNvPr id="59" name="AutoShape 6">
          <a:extLst>
            <a:ext uri="{FF2B5EF4-FFF2-40B4-BE49-F238E27FC236}">
              <a16:creationId xmlns:a16="http://schemas.microsoft.com/office/drawing/2014/main" id="{B073F337-D71A-4A23-B88F-D608B8E3C34D}"/>
            </a:ext>
          </a:extLst>
        </xdr:cNvPr>
        <xdr:cNvSpPr>
          <a:spLocks noChangeArrowheads="1"/>
        </xdr:cNvSpPr>
      </xdr:nvSpPr>
      <xdr:spPr bwMode="auto">
        <a:xfrm>
          <a:off x="7124700" y="24164925"/>
          <a:ext cx="1876425" cy="333375"/>
        </a:xfrm>
        <a:prstGeom prst="wedgeRectCallout">
          <a:avLst>
            <a:gd name="adj1" fmla="val 40356"/>
            <a:gd name="adj2" fmla="val 210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切り捨て処理ができているか確認</a:t>
          </a:r>
        </a:p>
      </xdr:txBody>
    </xdr:sp>
    <xdr:clientData/>
  </xdr:twoCellAnchor>
  <xdr:twoCellAnchor>
    <xdr:from>
      <xdr:col>6</xdr:col>
      <xdr:colOff>466725</xdr:colOff>
      <xdr:row>83</xdr:row>
      <xdr:rowOff>161925</xdr:rowOff>
    </xdr:from>
    <xdr:to>
      <xdr:col>9</xdr:col>
      <xdr:colOff>533400</xdr:colOff>
      <xdr:row>86</xdr:row>
      <xdr:rowOff>76200</xdr:rowOff>
    </xdr:to>
    <xdr:sp macro="" textlink="">
      <xdr:nvSpPr>
        <xdr:cNvPr id="60" name="Rectangle 271">
          <a:extLst>
            <a:ext uri="{FF2B5EF4-FFF2-40B4-BE49-F238E27FC236}">
              <a16:creationId xmlns:a16="http://schemas.microsoft.com/office/drawing/2014/main" id="{1BFB7FBD-8D2E-481B-A730-457E1DC30241}"/>
            </a:ext>
          </a:extLst>
        </xdr:cNvPr>
        <xdr:cNvSpPr>
          <a:spLocks noChangeArrowheads="1"/>
        </xdr:cNvSpPr>
      </xdr:nvSpPr>
      <xdr:spPr bwMode="auto">
        <a:xfrm>
          <a:off x="2600325" y="16544925"/>
          <a:ext cx="2124075" cy="5715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2114550</xdr:colOff>
      <xdr:row>107</xdr:row>
      <xdr:rowOff>0</xdr:rowOff>
    </xdr:from>
    <xdr:to>
      <xdr:col>9</xdr:col>
      <xdr:colOff>4248150</xdr:colOff>
      <xdr:row>109</xdr:row>
      <xdr:rowOff>76200</xdr:rowOff>
    </xdr:to>
    <xdr:sp macro="" textlink="">
      <xdr:nvSpPr>
        <xdr:cNvPr id="61" name="Rectangle 29">
          <a:extLst>
            <a:ext uri="{FF2B5EF4-FFF2-40B4-BE49-F238E27FC236}">
              <a16:creationId xmlns:a16="http://schemas.microsoft.com/office/drawing/2014/main" id="{421755DE-D58B-4258-B305-9AD737C04E63}"/>
            </a:ext>
          </a:extLst>
        </xdr:cNvPr>
        <xdr:cNvSpPr>
          <a:spLocks noChangeArrowheads="1"/>
        </xdr:cNvSpPr>
      </xdr:nvSpPr>
      <xdr:spPr bwMode="auto">
        <a:xfrm>
          <a:off x="6305550" y="21640800"/>
          <a:ext cx="2133600" cy="5143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66675</xdr:colOff>
      <xdr:row>55</xdr:row>
      <xdr:rowOff>76200</xdr:rowOff>
    </xdr:from>
    <xdr:to>
      <xdr:col>5</xdr:col>
      <xdr:colOff>200025</xdr:colOff>
      <xdr:row>56</xdr:row>
      <xdr:rowOff>85725</xdr:rowOff>
    </xdr:to>
    <xdr:sp macro="" textlink="">
      <xdr:nvSpPr>
        <xdr:cNvPr id="62" name="AutoShape 301">
          <a:extLst>
            <a:ext uri="{FF2B5EF4-FFF2-40B4-BE49-F238E27FC236}">
              <a16:creationId xmlns:a16="http://schemas.microsoft.com/office/drawing/2014/main" id="{C26927AE-AE15-4EE3-9780-97F7A487A913}"/>
            </a:ext>
          </a:extLst>
        </xdr:cNvPr>
        <xdr:cNvSpPr>
          <a:spLocks noChangeArrowheads="1"/>
        </xdr:cNvSpPr>
      </xdr:nvSpPr>
      <xdr:spPr bwMode="auto">
        <a:xfrm>
          <a:off x="342900" y="104775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352425</xdr:colOff>
      <xdr:row>66</xdr:row>
      <xdr:rowOff>142875</xdr:rowOff>
    </xdr:from>
    <xdr:to>
      <xdr:col>9</xdr:col>
      <xdr:colOff>600075</xdr:colOff>
      <xdr:row>70</xdr:row>
      <xdr:rowOff>171450</xdr:rowOff>
    </xdr:to>
    <xdr:pic>
      <xdr:nvPicPr>
        <xdr:cNvPr id="63" name="Picture 304">
          <a:extLst>
            <a:ext uri="{FF2B5EF4-FFF2-40B4-BE49-F238E27FC236}">
              <a16:creationId xmlns:a16="http://schemas.microsoft.com/office/drawing/2014/main" id="{456AC1C2-67D8-475C-B14A-85AF73479BDC}"/>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628650" y="12877800"/>
          <a:ext cx="4162425" cy="904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466725</xdr:colOff>
      <xdr:row>68</xdr:row>
      <xdr:rowOff>66675</xdr:rowOff>
    </xdr:from>
    <xdr:to>
      <xdr:col>9</xdr:col>
      <xdr:colOff>619125</xdr:colOff>
      <xdr:row>70</xdr:row>
      <xdr:rowOff>171450</xdr:rowOff>
    </xdr:to>
    <xdr:sp macro="" textlink="">
      <xdr:nvSpPr>
        <xdr:cNvPr id="64" name="Rectangle 270">
          <a:extLst>
            <a:ext uri="{FF2B5EF4-FFF2-40B4-BE49-F238E27FC236}">
              <a16:creationId xmlns:a16="http://schemas.microsoft.com/office/drawing/2014/main" id="{0B5DDE48-8CB4-4C70-9A55-3F2C3438F706}"/>
            </a:ext>
          </a:extLst>
        </xdr:cNvPr>
        <xdr:cNvSpPr>
          <a:spLocks noChangeArrowheads="1"/>
        </xdr:cNvSpPr>
      </xdr:nvSpPr>
      <xdr:spPr bwMode="auto">
        <a:xfrm>
          <a:off x="2600325" y="13239750"/>
          <a:ext cx="22098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76200</xdr:colOff>
      <xdr:row>72</xdr:row>
      <xdr:rowOff>9525</xdr:rowOff>
    </xdr:from>
    <xdr:to>
      <xdr:col>5</xdr:col>
      <xdr:colOff>209550</xdr:colOff>
      <xdr:row>73</xdr:row>
      <xdr:rowOff>19050</xdr:rowOff>
    </xdr:to>
    <xdr:sp macro="" textlink="">
      <xdr:nvSpPr>
        <xdr:cNvPr id="65" name="AutoShape 306">
          <a:extLst>
            <a:ext uri="{FF2B5EF4-FFF2-40B4-BE49-F238E27FC236}">
              <a16:creationId xmlns:a16="http://schemas.microsoft.com/office/drawing/2014/main" id="{B0BF4E76-5A01-413F-B4C8-CDC7B5D92BDF}"/>
            </a:ext>
          </a:extLst>
        </xdr:cNvPr>
        <xdr:cNvSpPr>
          <a:spLocks noChangeArrowheads="1"/>
        </xdr:cNvSpPr>
      </xdr:nvSpPr>
      <xdr:spPr bwMode="auto">
        <a:xfrm>
          <a:off x="352425" y="140589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38100</xdr:colOff>
      <xdr:row>88</xdr:row>
      <xdr:rowOff>47625</xdr:rowOff>
    </xdr:from>
    <xdr:to>
      <xdr:col>5</xdr:col>
      <xdr:colOff>171450</xdr:colOff>
      <xdr:row>89</xdr:row>
      <xdr:rowOff>57150</xdr:rowOff>
    </xdr:to>
    <xdr:sp macro="" textlink="">
      <xdr:nvSpPr>
        <xdr:cNvPr id="66" name="AutoShape 309">
          <a:extLst>
            <a:ext uri="{FF2B5EF4-FFF2-40B4-BE49-F238E27FC236}">
              <a16:creationId xmlns:a16="http://schemas.microsoft.com/office/drawing/2014/main" id="{51A19B9E-8FA0-4365-A72E-28C29817B2C7}"/>
            </a:ext>
          </a:extLst>
        </xdr:cNvPr>
        <xdr:cNvSpPr>
          <a:spLocks noChangeArrowheads="1"/>
        </xdr:cNvSpPr>
      </xdr:nvSpPr>
      <xdr:spPr bwMode="auto">
        <a:xfrm>
          <a:off x="314325" y="175260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352425</xdr:colOff>
      <xdr:row>98</xdr:row>
      <xdr:rowOff>85725</xdr:rowOff>
    </xdr:from>
    <xdr:to>
      <xdr:col>9</xdr:col>
      <xdr:colOff>504825</xdr:colOff>
      <xdr:row>102</xdr:row>
      <xdr:rowOff>104775</xdr:rowOff>
    </xdr:to>
    <xdr:pic>
      <xdr:nvPicPr>
        <xdr:cNvPr id="67" name="Picture 311">
          <a:extLst>
            <a:ext uri="{FF2B5EF4-FFF2-40B4-BE49-F238E27FC236}">
              <a16:creationId xmlns:a16="http://schemas.microsoft.com/office/drawing/2014/main" id="{1578F3C2-D43F-4CB9-B374-CDB5DF1F37E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628650" y="19754850"/>
          <a:ext cx="4067175" cy="8953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409575</xdr:colOff>
      <xdr:row>100</xdr:row>
      <xdr:rowOff>9525</xdr:rowOff>
    </xdr:from>
    <xdr:to>
      <xdr:col>9</xdr:col>
      <xdr:colOff>495300</xdr:colOff>
      <xdr:row>102</xdr:row>
      <xdr:rowOff>104775</xdr:rowOff>
    </xdr:to>
    <xdr:sp macro="" textlink="">
      <xdr:nvSpPr>
        <xdr:cNvPr id="68" name="Rectangle 272">
          <a:extLst>
            <a:ext uri="{FF2B5EF4-FFF2-40B4-BE49-F238E27FC236}">
              <a16:creationId xmlns:a16="http://schemas.microsoft.com/office/drawing/2014/main" id="{FFE5A324-9D2C-4AE7-AFC1-2A7B0487DFA1}"/>
            </a:ext>
          </a:extLst>
        </xdr:cNvPr>
        <xdr:cNvSpPr>
          <a:spLocks noChangeArrowheads="1"/>
        </xdr:cNvSpPr>
      </xdr:nvSpPr>
      <xdr:spPr bwMode="auto">
        <a:xfrm>
          <a:off x="2543175" y="20116800"/>
          <a:ext cx="2143125" cy="5334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352425</xdr:colOff>
      <xdr:row>114</xdr:row>
      <xdr:rowOff>66675</xdr:rowOff>
    </xdr:from>
    <xdr:to>
      <xdr:col>9</xdr:col>
      <xdr:colOff>504825</xdr:colOff>
      <xdr:row>118</xdr:row>
      <xdr:rowOff>85725</xdr:rowOff>
    </xdr:to>
    <xdr:pic>
      <xdr:nvPicPr>
        <xdr:cNvPr id="69" name="Picture 313">
          <a:extLst>
            <a:ext uri="{FF2B5EF4-FFF2-40B4-BE49-F238E27FC236}">
              <a16:creationId xmlns:a16="http://schemas.microsoft.com/office/drawing/2014/main" id="{9091076A-8BCC-46F1-9BCB-7D389F17E0C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628650" y="23241000"/>
          <a:ext cx="4067175" cy="8953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409575</xdr:colOff>
      <xdr:row>115</xdr:row>
      <xdr:rowOff>200025</xdr:rowOff>
    </xdr:from>
    <xdr:to>
      <xdr:col>9</xdr:col>
      <xdr:colOff>504825</xdr:colOff>
      <xdr:row>118</xdr:row>
      <xdr:rowOff>76200</xdr:rowOff>
    </xdr:to>
    <xdr:sp macro="" textlink="">
      <xdr:nvSpPr>
        <xdr:cNvPr id="70" name="Rectangle 273">
          <a:extLst>
            <a:ext uri="{FF2B5EF4-FFF2-40B4-BE49-F238E27FC236}">
              <a16:creationId xmlns:a16="http://schemas.microsoft.com/office/drawing/2014/main" id="{35713C6C-8236-4031-B3AE-BDFE12A57DA2}"/>
            </a:ext>
          </a:extLst>
        </xdr:cNvPr>
        <xdr:cNvSpPr>
          <a:spLocks noChangeArrowheads="1"/>
        </xdr:cNvSpPr>
      </xdr:nvSpPr>
      <xdr:spPr bwMode="auto">
        <a:xfrm>
          <a:off x="2543175" y="23593425"/>
          <a:ext cx="2152650" cy="5334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104775</xdr:colOff>
      <xdr:row>104</xdr:row>
      <xdr:rowOff>47625</xdr:rowOff>
    </xdr:from>
    <xdr:to>
      <xdr:col>5</xdr:col>
      <xdr:colOff>238125</xdr:colOff>
      <xdr:row>105</xdr:row>
      <xdr:rowOff>57150</xdr:rowOff>
    </xdr:to>
    <xdr:sp macro="" textlink="">
      <xdr:nvSpPr>
        <xdr:cNvPr id="71" name="AutoShape 314">
          <a:extLst>
            <a:ext uri="{FF2B5EF4-FFF2-40B4-BE49-F238E27FC236}">
              <a16:creationId xmlns:a16="http://schemas.microsoft.com/office/drawing/2014/main" id="{5B9DDBBC-2906-4DA0-A2EB-31FA70DFF9F8}"/>
            </a:ext>
          </a:extLst>
        </xdr:cNvPr>
        <xdr:cNvSpPr>
          <a:spLocks noChangeArrowheads="1"/>
        </xdr:cNvSpPr>
      </xdr:nvSpPr>
      <xdr:spPr bwMode="auto">
        <a:xfrm>
          <a:off x="381000" y="210312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133350</xdr:colOff>
      <xdr:row>119</xdr:row>
      <xdr:rowOff>133350</xdr:rowOff>
    </xdr:from>
    <xdr:to>
      <xdr:col>5</xdr:col>
      <xdr:colOff>266700</xdr:colOff>
      <xdr:row>120</xdr:row>
      <xdr:rowOff>142875</xdr:rowOff>
    </xdr:to>
    <xdr:sp macro="" textlink="">
      <xdr:nvSpPr>
        <xdr:cNvPr id="72" name="AutoShape 315">
          <a:extLst>
            <a:ext uri="{FF2B5EF4-FFF2-40B4-BE49-F238E27FC236}">
              <a16:creationId xmlns:a16="http://schemas.microsoft.com/office/drawing/2014/main" id="{44BB74F9-D396-4B92-805D-90F451518564}"/>
            </a:ext>
          </a:extLst>
        </xdr:cNvPr>
        <xdr:cNvSpPr>
          <a:spLocks noChangeArrowheads="1"/>
        </xdr:cNvSpPr>
      </xdr:nvSpPr>
      <xdr:spPr bwMode="auto">
        <a:xfrm>
          <a:off x="409575" y="2440305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238125</xdr:colOff>
      <xdr:row>130</xdr:row>
      <xdr:rowOff>76200</xdr:rowOff>
    </xdr:from>
    <xdr:to>
      <xdr:col>8</xdr:col>
      <xdr:colOff>428625</xdr:colOff>
      <xdr:row>136</xdr:row>
      <xdr:rowOff>57150</xdr:rowOff>
    </xdr:to>
    <xdr:pic>
      <xdr:nvPicPr>
        <xdr:cNvPr id="73" name="Picture 319">
          <a:extLst>
            <a:ext uri="{FF2B5EF4-FFF2-40B4-BE49-F238E27FC236}">
              <a16:creationId xmlns:a16="http://schemas.microsoft.com/office/drawing/2014/main" id="{06839AF2-A362-4909-B2DB-2460F8EE5378}"/>
            </a:ext>
          </a:extLst>
        </xdr:cNvPr>
        <xdr:cNvPicPr>
          <a:picLocks noChangeAspect="1" noChangeArrowheads="1"/>
        </xdr:cNvPicPr>
      </xdr:nvPicPr>
      <xdr:blipFill>
        <a:blip xmlns:r="http://schemas.openxmlformats.org/officeDocument/2006/relationships" r:embed="rId22">
          <a:extLst>
            <a:ext uri="{28A0092B-C50C-407E-A947-70E740481C1C}">
              <a14:useLocalDpi xmlns:a14="http://schemas.microsoft.com/office/drawing/2010/main" val="0"/>
            </a:ext>
          </a:extLst>
        </a:blip>
        <a:srcRect/>
        <a:stretch>
          <a:fillRect/>
        </a:stretch>
      </xdr:blipFill>
      <xdr:spPr bwMode="auto">
        <a:xfrm>
          <a:off x="514350" y="26679525"/>
          <a:ext cx="3419475" cy="1295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209550</xdr:colOff>
      <xdr:row>138</xdr:row>
      <xdr:rowOff>9525</xdr:rowOff>
    </xdr:from>
    <xdr:to>
      <xdr:col>5</xdr:col>
      <xdr:colOff>342900</xdr:colOff>
      <xdr:row>139</xdr:row>
      <xdr:rowOff>19050</xdr:rowOff>
    </xdr:to>
    <xdr:sp macro="" textlink="">
      <xdr:nvSpPr>
        <xdr:cNvPr id="74" name="AutoShape 320">
          <a:extLst>
            <a:ext uri="{FF2B5EF4-FFF2-40B4-BE49-F238E27FC236}">
              <a16:creationId xmlns:a16="http://schemas.microsoft.com/office/drawing/2014/main" id="{BD85A908-A103-4B23-9291-32D8CCB5AD0A}"/>
            </a:ext>
          </a:extLst>
        </xdr:cNvPr>
        <xdr:cNvSpPr>
          <a:spLocks noChangeArrowheads="1"/>
        </xdr:cNvSpPr>
      </xdr:nvSpPr>
      <xdr:spPr bwMode="auto">
        <a:xfrm>
          <a:off x="485775" y="2836545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2790825</xdr:colOff>
      <xdr:row>141</xdr:row>
      <xdr:rowOff>38100</xdr:rowOff>
    </xdr:from>
    <xdr:to>
      <xdr:col>9</xdr:col>
      <xdr:colOff>3457575</xdr:colOff>
      <xdr:row>145</xdr:row>
      <xdr:rowOff>9525</xdr:rowOff>
    </xdr:to>
    <xdr:sp macro="" textlink="">
      <xdr:nvSpPr>
        <xdr:cNvPr id="75" name="Rectangle 11">
          <a:extLst>
            <a:ext uri="{FF2B5EF4-FFF2-40B4-BE49-F238E27FC236}">
              <a16:creationId xmlns:a16="http://schemas.microsoft.com/office/drawing/2014/main" id="{715B541B-3080-41A4-B875-EF6A27A6463E}"/>
            </a:ext>
          </a:extLst>
        </xdr:cNvPr>
        <xdr:cNvSpPr>
          <a:spLocks noChangeArrowheads="1"/>
        </xdr:cNvSpPr>
      </xdr:nvSpPr>
      <xdr:spPr bwMode="auto">
        <a:xfrm>
          <a:off x="6981825" y="29051250"/>
          <a:ext cx="666750" cy="847725"/>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171450</xdr:colOff>
      <xdr:row>158</xdr:row>
      <xdr:rowOff>57150</xdr:rowOff>
    </xdr:from>
    <xdr:to>
      <xdr:col>5</xdr:col>
      <xdr:colOff>304800</xdr:colOff>
      <xdr:row>159</xdr:row>
      <xdr:rowOff>114300</xdr:rowOff>
    </xdr:to>
    <xdr:sp macro="" textlink="">
      <xdr:nvSpPr>
        <xdr:cNvPr id="76" name="AutoShape 326">
          <a:extLst>
            <a:ext uri="{FF2B5EF4-FFF2-40B4-BE49-F238E27FC236}">
              <a16:creationId xmlns:a16="http://schemas.microsoft.com/office/drawing/2014/main" id="{790F9BD8-D158-4345-BE84-92280848C0C4}"/>
            </a:ext>
          </a:extLst>
        </xdr:cNvPr>
        <xdr:cNvSpPr>
          <a:spLocks noChangeArrowheads="1"/>
        </xdr:cNvSpPr>
      </xdr:nvSpPr>
      <xdr:spPr bwMode="auto">
        <a:xfrm>
          <a:off x="447675" y="32527875"/>
          <a:ext cx="13049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57150</xdr:colOff>
      <xdr:row>198</xdr:row>
      <xdr:rowOff>57150</xdr:rowOff>
    </xdr:from>
    <xdr:to>
      <xdr:col>5</xdr:col>
      <xdr:colOff>600075</xdr:colOff>
      <xdr:row>199</xdr:row>
      <xdr:rowOff>114300</xdr:rowOff>
    </xdr:to>
    <xdr:sp macro="" textlink="">
      <xdr:nvSpPr>
        <xdr:cNvPr id="77" name="AutoShape 328">
          <a:extLst>
            <a:ext uri="{FF2B5EF4-FFF2-40B4-BE49-F238E27FC236}">
              <a16:creationId xmlns:a16="http://schemas.microsoft.com/office/drawing/2014/main" id="{16084C83-1CA8-4DE8-BEA0-E3BEDDE27068}"/>
            </a:ext>
          </a:extLst>
        </xdr:cNvPr>
        <xdr:cNvSpPr>
          <a:spLocks noChangeArrowheads="1"/>
        </xdr:cNvSpPr>
      </xdr:nvSpPr>
      <xdr:spPr bwMode="auto">
        <a:xfrm>
          <a:off x="333375" y="40500300"/>
          <a:ext cx="171450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6</xdr:col>
      <xdr:colOff>628650</xdr:colOff>
      <xdr:row>51</xdr:row>
      <xdr:rowOff>19050</xdr:rowOff>
    </xdr:from>
    <xdr:to>
      <xdr:col>9</xdr:col>
      <xdr:colOff>57150</xdr:colOff>
      <xdr:row>53</xdr:row>
      <xdr:rowOff>123825</xdr:rowOff>
    </xdr:to>
    <xdr:sp macro="" textlink="">
      <xdr:nvSpPr>
        <xdr:cNvPr id="78" name="Rectangle 330">
          <a:extLst>
            <a:ext uri="{FF2B5EF4-FFF2-40B4-BE49-F238E27FC236}">
              <a16:creationId xmlns:a16="http://schemas.microsoft.com/office/drawing/2014/main" id="{3AD1812D-23B5-4E07-9481-2744863185E2}"/>
            </a:ext>
          </a:extLst>
        </xdr:cNvPr>
        <xdr:cNvSpPr>
          <a:spLocks noChangeArrowheads="1"/>
        </xdr:cNvSpPr>
      </xdr:nvSpPr>
      <xdr:spPr bwMode="auto">
        <a:xfrm>
          <a:off x="2762250" y="9544050"/>
          <a:ext cx="14859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333375</xdr:colOff>
      <xdr:row>150</xdr:row>
      <xdr:rowOff>85725</xdr:rowOff>
    </xdr:from>
    <xdr:to>
      <xdr:col>9</xdr:col>
      <xdr:colOff>571500</xdr:colOff>
      <xdr:row>155</xdr:row>
      <xdr:rowOff>0</xdr:rowOff>
    </xdr:to>
    <xdr:pic>
      <xdr:nvPicPr>
        <xdr:cNvPr id="79" name="Picture 333">
          <a:extLst>
            <a:ext uri="{FF2B5EF4-FFF2-40B4-BE49-F238E27FC236}">
              <a16:creationId xmlns:a16="http://schemas.microsoft.com/office/drawing/2014/main" id="{898FB626-F76D-4F93-BCBB-D3C0126BE64B}"/>
            </a:ext>
          </a:extLst>
        </xdr:cNvPr>
        <xdr:cNvPicPr>
          <a:picLocks noChangeAspect="1" noChangeArrowheads="1"/>
        </xdr:cNvPicPr>
      </xdr:nvPicPr>
      <xdr:blipFill>
        <a:blip xmlns:r="http://schemas.openxmlformats.org/officeDocument/2006/relationships" r:embed="rId23">
          <a:extLst>
            <a:ext uri="{28A0092B-C50C-407E-A947-70E740481C1C}">
              <a14:useLocalDpi xmlns:a14="http://schemas.microsoft.com/office/drawing/2010/main" val="0"/>
            </a:ext>
          </a:extLst>
        </a:blip>
        <a:srcRect/>
        <a:stretch>
          <a:fillRect/>
        </a:stretch>
      </xdr:blipFill>
      <xdr:spPr bwMode="auto">
        <a:xfrm>
          <a:off x="609600" y="30956250"/>
          <a:ext cx="4152900" cy="914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104775</xdr:colOff>
      <xdr:row>199</xdr:row>
      <xdr:rowOff>161925</xdr:rowOff>
    </xdr:from>
    <xdr:to>
      <xdr:col>9</xdr:col>
      <xdr:colOff>19050</xdr:colOff>
      <xdr:row>202</xdr:row>
      <xdr:rowOff>85725</xdr:rowOff>
    </xdr:to>
    <xdr:pic>
      <xdr:nvPicPr>
        <xdr:cNvPr id="80" name="Picture 335">
          <a:extLst>
            <a:ext uri="{FF2B5EF4-FFF2-40B4-BE49-F238E27FC236}">
              <a16:creationId xmlns:a16="http://schemas.microsoft.com/office/drawing/2014/main" id="{98DA7739-5E87-4523-A3B6-FEDC4ADD513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381000" y="4080510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581025</xdr:colOff>
      <xdr:row>199</xdr:row>
      <xdr:rowOff>0</xdr:rowOff>
    </xdr:from>
    <xdr:to>
      <xdr:col>9</xdr:col>
      <xdr:colOff>3343275</xdr:colOff>
      <xdr:row>200</xdr:row>
      <xdr:rowOff>142875</xdr:rowOff>
    </xdr:to>
    <xdr:sp macro="" textlink="">
      <xdr:nvSpPr>
        <xdr:cNvPr id="81" name="AutoShape 337">
          <a:extLst>
            <a:ext uri="{FF2B5EF4-FFF2-40B4-BE49-F238E27FC236}">
              <a16:creationId xmlns:a16="http://schemas.microsoft.com/office/drawing/2014/main" id="{2576184B-BDC1-412A-ADEC-4F854A79BD49}"/>
            </a:ext>
          </a:extLst>
        </xdr:cNvPr>
        <xdr:cNvSpPr>
          <a:spLocks noChangeArrowheads="1"/>
        </xdr:cNvSpPr>
      </xdr:nvSpPr>
      <xdr:spPr bwMode="auto">
        <a:xfrm>
          <a:off x="4772025" y="40643175"/>
          <a:ext cx="2762250" cy="342900"/>
        </a:xfrm>
        <a:prstGeom prst="wedgeRectCallout">
          <a:avLst>
            <a:gd name="adj1" fmla="val -57241"/>
            <a:gd name="adj2" fmla="val 122727"/>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０除算時にはエラーになっていることを確認</a:t>
          </a:r>
        </a:p>
      </xdr:txBody>
    </xdr:sp>
    <xdr:clientData/>
  </xdr:twoCellAnchor>
  <xdr:twoCellAnchor>
    <xdr:from>
      <xdr:col>9</xdr:col>
      <xdr:colOff>762000</xdr:colOff>
      <xdr:row>187</xdr:row>
      <xdr:rowOff>76200</xdr:rowOff>
    </xdr:from>
    <xdr:to>
      <xdr:col>9</xdr:col>
      <xdr:colOff>3524250</xdr:colOff>
      <xdr:row>189</xdr:row>
      <xdr:rowOff>47625</xdr:rowOff>
    </xdr:to>
    <xdr:sp macro="" textlink="">
      <xdr:nvSpPr>
        <xdr:cNvPr id="82" name="AutoShape 203">
          <a:extLst>
            <a:ext uri="{FF2B5EF4-FFF2-40B4-BE49-F238E27FC236}">
              <a16:creationId xmlns:a16="http://schemas.microsoft.com/office/drawing/2014/main" id="{483B9CAE-6692-40C6-9A1F-4767A4445FEE}"/>
            </a:ext>
          </a:extLst>
        </xdr:cNvPr>
        <xdr:cNvSpPr>
          <a:spLocks noChangeArrowheads="1"/>
        </xdr:cNvSpPr>
      </xdr:nvSpPr>
      <xdr:spPr bwMode="auto">
        <a:xfrm>
          <a:off x="4953000" y="38319075"/>
          <a:ext cx="2762250" cy="371475"/>
        </a:xfrm>
        <a:prstGeom prst="wedgeRectCallout">
          <a:avLst>
            <a:gd name="adj1" fmla="val -46208"/>
            <a:gd name="adj2" fmla="val -265153"/>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FF0000"/>
              </a:solidFill>
              <a:latin typeface="ＭＳ Ｐゴシック"/>
              <a:ea typeface="ＭＳ Ｐゴシック"/>
            </a:rPr>
            <a:t>割合を求めるプログラムの場合</a:t>
          </a:r>
        </a:p>
      </xdr:txBody>
    </xdr:sp>
    <xdr:clientData/>
  </xdr:twoCellAnchor>
  <xdr:twoCellAnchor>
    <xdr:from>
      <xdr:col>9</xdr:col>
      <xdr:colOff>657225</xdr:colOff>
      <xdr:row>186</xdr:row>
      <xdr:rowOff>19050</xdr:rowOff>
    </xdr:from>
    <xdr:to>
      <xdr:col>9</xdr:col>
      <xdr:colOff>3752850</xdr:colOff>
      <xdr:row>190</xdr:row>
      <xdr:rowOff>47625</xdr:rowOff>
    </xdr:to>
    <xdr:sp macro="" textlink="">
      <xdr:nvSpPr>
        <xdr:cNvPr id="83" name="AutoShape 216">
          <a:extLst>
            <a:ext uri="{FF2B5EF4-FFF2-40B4-BE49-F238E27FC236}">
              <a16:creationId xmlns:a16="http://schemas.microsoft.com/office/drawing/2014/main" id="{473DB931-20D9-449D-B6D6-2B929D7B1F0D}"/>
            </a:ext>
          </a:extLst>
        </xdr:cNvPr>
        <xdr:cNvSpPr>
          <a:spLocks noChangeArrowheads="1"/>
        </xdr:cNvSpPr>
      </xdr:nvSpPr>
      <xdr:spPr bwMode="auto">
        <a:xfrm>
          <a:off x="4848225" y="38061900"/>
          <a:ext cx="3095625" cy="828675"/>
        </a:xfrm>
        <a:prstGeom prst="wedgeRectCallout">
          <a:avLst>
            <a:gd name="adj1" fmla="val -71537"/>
            <a:gd name="adj2" fmla="val 11333"/>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18288" anchor="ctr" upright="1"/>
        <a:lstStyle/>
        <a:p>
          <a:pPr algn="l" rtl="0">
            <a:lnSpc>
              <a:spcPts val="1200"/>
            </a:lnSpc>
            <a:defRPr sz="1000"/>
          </a:pPr>
          <a:r>
            <a:rPr lang="ja-JP" altLang="en-US" sz="1000" b="0" i="0" u="none" strike="noStrike" baseline="0">
              <a:solidFill>
                <a:srgbClr val="333333"/>
              </a:solidFill>
              <a:latin typeface="ＭＳ Ｐゴシック"/>
              <a:ea typeface="ＭＳ Ｐゴシック"/>
            </a:rPr>
            <a:t>　　割合を求めるプログラムの場合</a:t>
          </a:r>
        </a:p>
        <a:p>
          <a:pPr algn="l" rtl="0">
            <a:lnSpc>
              <a:spcPts val="1100"/>
            </a:lnSpc>
            <a:defRPr sz="1000"/>
          </a:pPr>
          <a:endParaRPr lang="ja-JP" altLang="en-US" sz="1000" b="0" i="0" u="none" strike="noStrike" baseline="0">
            <a:solidFill>
              <a:srgbClr val="333333"/>
            </a:solidFill>
            <a:latin typeface="ＭＳ Ｐゴシック"/>
            <a:ea typeface="ＭＳ Ｐゴシック"/>
          </a:endParaRPr>
        </a:p>
        <a:p>
          <a:pPr algn="l" rtl="0">
            <a:lnSpc>
              <a:spcPts val="1200"/>
            </a:lnSpc>
            <a:defRPr sz="1000"/>
          </a:pPr>
          <a:r>
            <a:rPr lang="ja-JP" altLang="en-US" sz="1000" b="0" i="0" u="none" strike="noStrike" baseline="0">
              <a:solidFill>
                <a:srgbClr val="333333"/>
              </a:solidFill>
              <a:latin typeface="ＭＳ Ｐゴシック"/>
              <a:ea typeface="ＭＳ Ｐゴシック"/>
            </a:rPr>
            <a:t>　　　　0除算テストをするために合計の売上高が０に</a:t>
          </a:r>
        </a:p>
        <a:p>
          <a:pPr algn="l" rtl="0">
            <a:lnSpc>
              <a:spcPts val="1100"/>
            </a:lnSpc>
            <a:defRPr sz="1000"/>
          </a:pPr>
          <a:r>
            <a:rPr lang="ja-JP" altLang="en-US" sz="1000" b="0" i="0" u="none" strike="noStrike" baseline="0">
              <a:solidFill>
                <a:srgbClr val="333333"/>
              </a:solidFill>
              <a:latin typeface="ＭＳ Ｐゴシック"/>
              <a:ea typeface="ＭＳ Ｐゴシック"/>
            </a:rPr>
            <a:t>　　　なるような入力データを用意する</a:t>
          </a:r>
        </a:p>
        <a:p>
          <a:pPr algn="l" rtl="0">
            <a:lnSpc>
              <a:spcPts val="1100"/>
            </a:lnSpc>
            <a:defRPr sz="1000"/>
          </a:pPr>
          <a:endParaRPr lang="ja-JP" altLang="en-US" sz="1000" b="0" i="0" u="none" strike="noStrike" baseline="0">
            <a:solidFill>
              <a:srgbClr val="333333"/>
            </a:solidFill>
            <a:latin typeface="ＭＳ Ｐゴシック"/>
            <a:ea typeface="ＭＳ Ｐゴシック"/>
          </a:endParaRPr>
        </a:p>
      </xdr:txBody>
    </xdr:sp>
    <xdr:clientData/>
  </xdr:twoCellAnchor>
  <xdr:twoCellAnchor>
    <xdr:from>
      <xdr:col>1</xdr:col>
      <xdr:colOff>200025</xdr:colOff>
      <xdr:row>33</xdr:row>
      <xdr:rowOff>133350</xdr:rowOff>
    </xdr:from>
    <xdr:to>
      <xdr:col>5</xdr:col>
      <xdr:colOff>76200</xdr:colOff>
      <xdr:row>35</xdr:row>
      <xdr:rowOff>19050</xdr:rowOff>
    </xdr:to>
    <xdr:sp macro="" textlink="">
      <xdr:nvSpPr>
        <xdr:cNvPr id="84" name="AutoShape 338">
          <a:extLst>
            <a:ext uri="{FF2B5EF4-FFF2-40B4-BE49-F238E27FC236}">
              <a16:creationId xmlns:a16="http://schemas.microsoft.com/office/drawing/2014/main" id="{71F02AF0-97F2-4988-A261-7E66044415A9}"/>
            </a:ext>
          </a:extLst>
        </xdr:cNvPr>
        <xdr:cNvSpPr>
          <a:spLocks noChangeArrowheads="1"/>
        </xdr:cNvSpPr>
      </xdr:nvSpPr>
      <xdr:spPr bwMode="auto">
        <a:xfrm>
          <a:off x="476250" y="6248400"/>
          <a:ext cx="104775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実行 sample</a:t>
          </a:r>
        </a:p>
      </xdr:txBody>
    </xdr:sp>
    <xdr:clientData/>
  </xdr:twoCellAnchor>
  <xdr:twoCellAnchor editAs="oneCell">
    <xdr:from>
      <xdr:col>1</xdr:col>
      <xdr:colOff>342900</xdr:colOff>
      <xdr:row>8</xdr:row>
      <xdr:rowOff>133350</xdr:rowOff>
    </xdr:from>
    <xdr:to>
      <xdr:col>9</xdr:col>
      <xdr:colOff>2209800</xdr:colOff>
      <xdr:row>15</xdr:row>
      <xdr:rowOff>161925</xdr:rowOff>
    </xdr:to>
    <xdr:pic>
      <xdr:nvPicPr>
        <xdr:cNvPr id="85" name="Picture 339">
          <a:extLst>
            <a:ext uri="{FF2B5EF4-FFF2-40B4-BE49-F238E27FC236}">
              <a16:creationId xmlns:a16="http://schemas.microsoft.com/office/drawing/2014/main" id="{23BDF21D-8B06-464F-A188-806564BDD4A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619125" y="1724025"/>
          <a:ext cx="5781675" cy="1295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333375</xdr:colOff>
      <xdr:row>21</xdr:row>
      <xdr:rowOff>9525</xdr:rowOff>
    </xdr:from>
    <xdr:to>
      <xdr:col>9</xdr:col>
      <xdr:colOff>2209800</xdr:colOff>
      <xdr:row>28</xdr:row>
      <xdr:rowOff>171450</xdr:rowOff>
    </xdr:to>
    <xdr:pic>
      <xdr:nvPicPr>
        <xdr:cNvPr id="86" name="Picture 340">
          <a:extLst>
            <a:ext uri="{FF2B5EF4-FFF2-40B4-BE49-F238E27FC236}">
              <a16:creationId xmlns:a16="http://schemas.microsoft.com/office/drawing/2014/main" id="{554958AD-6669-411C-BE7F-D6DD020ABB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609600" y="3952875"/>
          <a:ext cx="5791200" cy="14287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35</xdr:row>
      <xdr:rowOff>38100</xdr:rowOff>
    </xdr:from>
    <xdr:to>
      <xdr:col>9</xdr:col>
      <xdr:colOff>2495550</xdr:colOff>
      <xdr:row>42</xdr:row>
      <xdr:rowOff>28575</xdr:rowOff>
    </xdr:to>
    <xdr:pic>
      <xdr:nvPicPr>
        <xdr:cNvPr id="87" name="Picture 341">
          <a:extLst>
            <a:ext uri="{FF2B5EF4-FFF2-40B4-BE49-F238E27FC236}">
              <a16:creationId xmlns:a16="http://schemas.microsoft.com/office/drawing/2014/main" id="{55825825-DFD7-4600-8819-4B477F4E4E4B}"/>
            </a:ext>
          </a:extLst>
        </xdr:cNvPr>
        <xdr:cNvPicPr>
          <a:picLocks noChangeAspect="1" noChangeArrowheads="1"/>
        </xdr:cNvPicPr>
      </xdr:nvPicPr>
      <xdr:blipFill>
        <a:blip xmlns:r="http://schemas.openxmlformats.org/officeDocument/2006/relationships" r:embed="rId27">
          <a:extLst>
            <a:ext uri="{28A0092B-C50C-407E-A947-70E740481C1C}">
              <a14:useLocalDpi xmlns:a14="http://schemas.microsoft.com/office/drawing/2010/main" val="0"/>
            </a:ext>
          </a:extLst>
        </a:blip>
        <a:srcRect/>
        <a:stretch>
          <a:fillRect/>
        </a:stretch>
      </xdr:blipFill>
      <xdr:spPr bwMode="auto">
        <a:xfrm>
          <a:off x="895350" y="6515100"/>
          <a:ext cx="5791200" cy="12573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1752600</xdr:colOff>
      <xdr:row>33</xdr:row>
      <xdr:rowOff>66675</xdr:rowOff>
    </xdr:from>
    <xdr:to>
      <xdr:col>10</xdr:col>
      <xdr:colOff>0</xdr:colOff>
      <xdr:row>35</xdr:row>
      <xdr:rowOff>28575</xdr:rowOff>
    </xdr:to>
    <xdr:sp macro="" textlink="">
      <xdr:nvSpPr>
        <xdr:cNvPr id="88" name="AutoShape 342">
          <a:extLst>
            <a:ext uri="{FF2B5EF4-FFF2-40B4-BE49-F238E27FC236}">
              <a16:creationId xmlns:a16="http://schemas.microsoft.com/office/drawing/2014/main" id="{5C74FAD4-F76F-418B-ACE4-00DE52BBDDAF}"/>
            </a:ext>
          </a:extLst>
        </xdr:cNvPr>
        <xdr:cNvSpPr>
          <a:spLocks noChangeArrowheads="1"/>
        </xdr:cNvSpPr>
      </xdr:nvSpPr>
      <xdr:spPr bwMode="auto">
        <a:xfrm>
          <a:off x="5943600" y="6181725"/>
          <a:ext cx="2971800" cy="323850"/>
        </a:xfrm>
        <a:prstGeom prst="wedgeRectCallout">
          <a:avLst>
            <a:gd name="adj1" fmla="val -56731"/>
            <a:gd name="adj2" fmla="val -29411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第一引数が１の時は、追加処理</a:t>
          </a:r>
        </a:p>
        <a:p>
          <a:pPr algn="l" rtl="0">
            <a:defRPr sz="1000"/>
          </a:pPr>
          <a:r>
            <a:rPr lang="ja-JP" altLang="en-US" sz="1100" b="0" i="0" u="none" strike="noStrike" baseline="0">
              <a:solidFill>
                <a:srgbClr val="000000"/>
              </a:solidFill>
              <a:latin typeface="ＭＳ Ｐゴシック"/>
              <a:ea typeface="ＭＳ Ｐゴシック"/>
            </a:rPr>
            <a:t>               ２の時は、削除処理</a:t>
          </a:r>
        </a:p>
        <a:p>
          <a:pPr algn="l" rtl="0">
            <a:defRPr sz="1000"/>
          </a:pPr>
          <a:r>
            <a:rPr lang="ja-JP" altLang="en-US" sz="1100" b="0" i="0" u="none" strike="noStrike" baseline="0">
              <a:solidFill>
                <a:srgbClr val="000000"/>
              </a:solidFill>
              <a:latin typeface="ＭＳ Ｐゴシック"/>
              <a:ea typeface="ＭＳ Ｐゴシック"/>
            </a:rPr>
            <a:t>仕様通り、条件分岐できていることを確認</a:t>
          </a:r>
        </a:p>
      </xdr:txBody>
    </xdr:sp>
    <xdr:clientData/>
  </xdr:twoCellAnchor>
  <xdr:twoCellAnchor>
    <xdr:from>
      <xdr:col>9</xdr:col>
      <xdr:colOff>1743075</xdr:colOff>
      <xdr:row>32</xdr:row>
      <xdr:rowOff>47625</xdr:rowOff>
    </xdr:from>
    <xdr:to>
      <xdr:col>9</xdr:col>
      <xdr:colOff>4705350</xdr:colOff>
      <xdr:row>35</xdr:row>
      <xdr:rowOff>47625</xdr:rowOff>
    </xdr:to>
    <xdr:sp macro="" textlink="">
      <xdr:nvSpPr>
        <xdr:cNvPr id="89" name="AutoShape 343">
          <a:extLst>
            <a:ext uri="{FF2B5EF4-FFF2-40B4-BE49-F238E27FC236}">
              <a16:creationId xmlns:a16="http://schemas.microsoft.com/office/drawing/2014/main" id="{52DF635C-D4CF-49E9-AB56-0130FD1E1D88}"/>
            </a:ext>
          </a:extLst>
        </xdr:cNvPr>
        <xdr:cNvSpPr>
          <a:spLocks noChangeArrowheads="1"/>
        </xdr:cNvSpPr>
      </xdr:nvSpPr>
      <xdr:spPr bwMode="auto">
        <a:xfrm>
          <a:off x="5934075" y="5981700"/>
          <a:ext cx="2962275" cy="542925"/>
        </a:xfrm>
        <a:prstGeom prst="wedgeRectCallout">
          <a:avLst>
            <a:gd name="adj1" fmla="val -53856"/>
            <a:gd name="adj2" fmla="val 165792"/>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200"/>
            </a:lnSpc>
            <a:defRPr sz="1000"/>
          </a:pPr>
          <a:r>
            <a:rPr lang="ja-JP" altLang="en-US" sz="1000" b="0" i="0" u="none" strike="noStrike" baseline="0">
              <a:solidFill>
                <a:srgbClr val="000000"/>
              </a:solidFill>
              <a:latin typeface="ＭＳ Ｐゴシック"/>
              <a:ea typeface="ＭＳ Ｐゴシック"/>
            </a:rPr>
            <a:t>第一引数が１の時は、追加処理</a:t>
          </a:r>
        </a:p>
        <a:p>
          <a:pPr algn="l" rtl="0">
            <a:lnSpc>
              <a:spcPts val="1200"/>
            </a:lnSpc>
            <a:defRPr sz="1000"/>
          </a:pPr>
          <a:r>
            <a:rPr lang="ja-JP" altLang="en-US" sz="1000" b="0" i="0" u="none" strike="noStrike" baseline="0">
              <a:solidFill>
                <a:srgbClr val="000000"/>
              </a:solidFill>
              <a:latin typeface="ＭＳ Ｐゴシック"/>
              <a:ea typeface="ＭＳ Ｐゴシック"/>
            </a:rPr>
            <a:t>                ２の時は、削除処理</a:t>
          </a:r>
        </a:p>
        <a:p>
          <a:pPr algn="l" rtl="0">
            <a:lnSpc>
              <a:spcPts val="1100"/>
            </a:lnSpc>
            <a:defRPr sz="1000"/>
          </a:pPr>
          <a:r>
            <a:rPr lang="ja-JP" altLang="en-US" sz="1000" b="0" i="0" u="none" strike="noStrike" baseline="0">
              <a:solidFill>
                <a:srgbClr val="000000"/>
              </a:solidFill>
              <a:latin typeface="ＭＳ Ｐゴシック"/>
              <a:ea typeface="ＭＳ Ｐゴシック"/>
            </a:rPr>
            <a:t>引数の値から、仕様通り条件分岐できていることを確認</a:t>
          </a:r>
        </a:p>
      </xdr:txBody>
    </xdr:sp>
    <xdr:clientData/>
  </xdr:twoCellAnchor>
  <xdr:twoCellAnchor>
    <xdr:from>
      <xdr:col>1</xdr:col>
      <xdr:colOff>142875</xdr:colOff>
      <xdr:row>19</xdr:row>
      <xdr:rowOff>85725</xdr:rowOff>
    </xdr:from>
    <xdr:to>
      <xdr:col>5</xdr:col>
      <xdr:colOff>19050</xdr:colOff>
      <xdr:row>20</xdr:row>
      <xdr:rowOff>142875</xdr:rowOff>
    </xdr:to>
    <xdr:sp macro="" textlink="">
      <xdr:nvSpPr>
        <xdr:cNvPr id="90" name="AutoShape 344">
          <a:extLst>
            <a:ext uri="{FF2B5EF4-FFF2-40B4-BE49-F238E27FC236}">
              <a16:creationId xmlns:a16="http://schemas.microsoft.com/office/drawing/2014/main" id="{B6E463FE-493A-44A1-9926-B61E922F6525}"/>
            </a:ext>
          </a:extLst>
        </xdr:cNvPr>
        <xdr:cNvSpPr>
          <a:spLocks noChangeArrowheads="1"/>
        </xdr:cNvSpPr>
      </xdr:nvSpPr>
      <xdr:spPr bwMode="auto">
        <a:xfrm>
          <a:off x="419100" y="3667125"/>
          <a:ext cx="1047750" cy="23812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実行 sample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38100</xdr:colOff>
      <xdr:row>9</xdr:row>
      <xdr:rowOff>28575</xdr:rowOff>
    </xdr:from>
    <xdr:to>
      <xdr:col>9</xdr:col>
      <xdr:colOff>180975</xdr:colOff>
      <xdr:row>12</xdr:row>
      <xdr:rowOff>123825</xdr:rowOff>
    </xdr:to>
    <xdr:sp macro="" textlink="">
      <xdr:nvSpPr>
        <xdr:cNvPr id="2" name="AutoShape 4">
          <a:extLst>
            <a:ext uri="{FF2B5EF4-FFF2-40B4-BE49-F238E27FC236}">
              <a16:creationId xmlns:a16="http://schemas.microsoft.com/office/drawing/2014/main" id="{F6DC7E83-141F-421D-B792-CBBEF494F859}"/>
            </a:ext>
          </a:extLst>
        </xdr:cNvPr>
        <xdr:cNvSpPr>
          <a:spLocks/>
        </xdr:cNvSpPr>
      </xdr:nvSpPr>
      <xdr:spPr bwMode="auto">
        <a:xfrm>
          <a:off x="7324725" y="1838325"/>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66675</xdr:rowOff>
    </xdr:from>
    <xdr:to>
      <xdr:col>9</xdr:col>
      <xdr:colOff>219075</xdr:colOff>
      <xdr:row>24</xdr:row>
      <xdr:rowOff>123825</xdr:rowOff>
    </xdr:to>
    <xdr:sp macro="" textlink="">
      <xdr:nvSpPr>
        <xdr:cNvPr id="3" name="AutoShape 5">
          <a:extLst>
            <a:ext uri="{FF2B5EF4-FFF2-40B4-BE49-F238E27FC236}">
              <a16:creationId xmlns:a16="http://schemas.microsoft.com/office/drawing/2014/main" id="{51AA2DE4-129F-4819-9B3E-A19709451602}"/>
            </a:ext>
          </a:extLst>
        </xdr:cNvPr>
        <xdr:cNvSpPr>
          <a:spLocks/>
        </xdr:cNvSpPr>
      </xdr:nvSpPr>
      <xdr:spPr bwMode="auto">
        <a:xfrm>
          <a:off x="7343775" y="3705225"/>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9</xdr:row>
      <xdr:rowOff>66675</xdr:rowOff>
    </xdr:from>
    <xdr:to>
      <xdr:col>10</xdr:col>
      <xdr:colOff>361950</xdr:colOff>
      <xdr:row>12</xdr:row>
      <xdr:rowOff>0</xdr:rowOff>
    </xdr:to>
    <xdr:sp macro="" textlink="">
      <xdr:nvSpPr>
        <xdr:cNvPr id="4" name="Text Box 6">
          <a:extLst>
            <a:ext uri="{FF2B5EF4-FFF2-40B4-BE49-F238E27FC236}">
              <a16:creationId xmlns:a16="http://schemas.microsoft.com/office/drawing/2014/main" id="{F7B75B61-5EC0-419E-BD6C-926518BF48C3}"/>
            </a:ext>
          </a:extLst>
        </xdr:cNvPr>
        <xdr:cNvSpPr txBox="1">
          <a:spLocks noChangeArrowheads="1"/>
        </xdr:cNvSpPr>
      </xdr:nvSpPr>
      <xdr:spPr bwMode="auto">
        <a:xfrm>
          <a:off x="7505700" y="1876425"/>
          <a:ext cx="13716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 削除対象</a:t>
          </a:r>
        </a:p>
      </xdr:txBody>
    </xdr:sp>
    <xdr:clientData/>
  </xdr:twoCellAnchor>
  <xdr:twoCellAnchor>
    <xdr:from>
      <xdr:col>9</xdr:col>
      <xdr:colOff>247650</xdr:colOff>
      <xdr:row>21</xdr:row>
      <xdr:rowOff>123825</xdr:rowOff>
    </xdr:from>
    <xdr:to>
      <xdr:col>10</xdr:col>
      <xdr:colOff>504825</xdr:colOff>
      <xdr:row>23</xdr:row>
      <xdr:rowOff>114300</xdr:rowOff>
    </xdr:to>
    <xdr:sp macro="" textlink="">
      <xdr:nvSpPr>
        <xdr:cNvPr id="5" name="Text Box 7">
          <a:extLst>
            <a:ext uri="{FF2B5EF4-FFF2-40B4-BE49-F238E27FC236}">
              <a16:creationId xmlns:a16="http://schemas.microsoft.com/office/drawing/2014/main" id="{22214988-039D-4BB6-90D6-E4C04211355D}"/>
            </a:ext>
          </a:extLst>
        </xdr:cNvPr>
        <xdr:cNvSpPr txBox="1">
          <a:spLocks noChangeArrowheads="1"/>
        </xdr:cNvSpPr>
      </xdr:nvSpPr>
      <xdr:spPr bwMode="auto">
        <a:xfrm>
          <a:off x="7534275" y="3762375"/>
          <a:ext cx="14859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追加対象</a:t>
          </a:r>
        </a:p>
      </xdr:txBody>
    </xdr:sp>
    <xdr:clientData/>
  </xdr:twoCellAnchor>
  <xdr:twoCellAnchor>
    <xdr:from>
      <xdr:col>9</xdr:col>
      <xdr:colOff>190500</xdr:colOff>
      <xdr:row>15</xdr:row>
      <xdr:rowOff>142875</xdr:rowOff>
    </xdr:from>
    <xdr:to>
      <xdr:col>10</xdr:col>
      <xdr:colOff>400050</xdr:colOff>
      <xdr:row>17</xdr:row>
      <xdr:rowOff>38100</xdr:rowOff>
    </xdr:to>
    <xdr:sp macro="" textlink="">
      <xdr:nvSpPr>
        <xdr:cNvPr id="6" name="Text Box 8">
          <a:extLst>
            <a:ext uri="{FF2B5EF4-FFF2-40B4-BE49-F238E27FC236}">
              <a16:creationId xmlns:a16="http://schemas.microsoft.com/office/drawing/2014/main" id="{D6008116-2969-4F48-BF43-741AAEC52FB1}"/>
            </a:ext>
          </a:extLst>
        </xdr:cNvPr>
        <xdr:cNvSpPr txBox="1">
          <a:spLocks noChangeArrowheads="1"/>
        </xdr:cNvSpPr>
      </xdr:nvSpPr>
      <xdr:spPr bwMode="auto">
        <a:xfrm>
          <a:off x="7477125" y="2867025"/>
          <a:ext cx="14382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969696"/>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9">
          <a:extLst>
            <a:ext uri="{FF2B5EF4-FFF2-40B4-BE49-F238E27FC236}">
              <a16:creationId xmlns:a16="http://schemas.microsoft.com/office/drawing/2014/main" id="{89314A4F-6069-4142-8F26-AAE5FF811B7A}"/>
            </a:ext>
          </a:extLst>
        </xdr:cNvPr>
        <xdr:cNvSpPr>
          <a:spLocks noChangeArrowheads="1"/>
        </xdr:cNvSpPr>
      </xdr:nvSpPr>
      <xdr:spPr bwMode="auto">
        <a:xfrm>
          <a:off x="3362325"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38100</xdr:colOff>
      <xdr:row>32</xdr:row>
      <xdr:rowOff>28575</xdr:rowOff>
    </xdr:from>
    <xdr:to>
      <xdr:col>9</xdr:col>
      <xdr:colOff>180975</xdr:colOff>
      <xdr:row>35</xdr:row>
      <xdr:rowOff>123825</xdr:rowOff>
    </xdr:to>
    <xdr:sp macro="" textlink="">
      <xdr:nvSpPr>
        <xdr:cNvPr id="8" name="AutoShape 10">
          <a:extLst>
            <a:ext uri="{FF2B5EF4-FFF2-40B4-BE49-F238E27FC236}">
              <a16:creationId xmlns:a16="http://schemas.microsoft.com/office/drawing/2014/main" id="{E7D5BB1B-11C9-4F42-B528-89CF4226E4BD}"/>
            </a:ext>
          </a:extLst>
        </xdr:cNvPr>
        <xdr:cNvSpPr>
          <a:spLocks/>
        </xdr:cNvSpPr>
      </xdr:nvSpPr>
      <xdr:spPr bwMode="auto">
        <a:xfrm>
          <a:off x="7324725" y="5676900"/>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38100</xdr:colOff>
      <xdr:row>44</xdr:row>
      <xdr:rowOff>9525</xdr:rowOff>
    </xdr:from>
    <xdr:to>
      <xdr:col>9</xdr:col>
      <xdr:colOff>219075</xdr:colOff>
      <xdr:row>47</xdr:row>
      <xdr:rowOff>152400</xdr:rowOff>
    </xdr:to>
    <xdr:sp macro="" textlink="">
      <xdr:nvSpPr>
        <xdr:cNvPr id="9" name="AutoShape 11">
          <a:extLst>
            <a:ext uri="{FF2B5EF4-FFF2-40B4-BE49-F238E27FC236}">
              <a16:creationId xmlns:a16="http://schemas.microsoft.com/office/drawing/2014/main" id="{39FB26C0-4657-435C-A593-A2819F9D988F}"/>
            </a:ext>
          </a:extLst>
        </xdr:cNvPr>
        <xdr:cNvSpPr>
          <a:spLocks/>
        </xdr:cNvSpPr>
      </xdr:nvSpPr>
      <xdr:spPr bwMode="auto">
        <a:xfrm>
          <a:off x="7324725" y="7486650"/>
          <a:ext cx="180975" cy="590550"/>
        </a:xfrm>
        <a:prstGeom prst="rightBrace">
          <a:avLst>
            <a:gd name="adj1" fmla="val 27193"/>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32</xdr:row>
      <xdr:rowOff>66675</xdr:rowOff>
    </xdr:from>
    <xdr:to>
      <xdr:col>10</xdr:col>
      <xdr:colOff>361950</xdr:colOff>
      <xdr:row>35</xdr:row>
      <xdr:rowOff>0</xdr:rowOff>
    </xdr:to>
    <xdr:sp macro="" textlink="">
      <xdr:nvSpPr>
        <xdr:cNvPr id="10" name="Text Box 12">
          <a:extLst>
            <a:ext uri="{FF2B5EF4-FFF2-40B4-BE49-F238E27FC236}">
              <a16:creationId xmlns:a16="http://schemas.microsoft.com/office/drawing/2014/main" id="{DC0A0E0A-B1D0-4307-AEC3-DFDCB7E2C9E2}"/>
            </a:ext>
          </a:extLst>
        </xdr:cNvPr>
        <xdr:cNvSpPr txBox="1">
          <a:spLocks noChangeArrowheads="1"/>
        </xdr:cNvSpPr>
      </xdr:nvSpPr>
      <xdr:spPr bwMode="auto">
        <a:xfrm>
          <a:off x="7505700" y="5715000"/>
          <a:ext cx="13716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 削除</a:t>
          </a:r>
        </a:p>
      </xdr:txBody>
    </xdr:sp>
    <xdr:clientData/>
  </xdr:twoCellAnchor>
  <xdr:twoCellAnchor>
    <xdr:from>
      <xdr:col>9</xdr:col>
      <xdr:colOff>247650</xdr:colOff>
      <xdr:row>44</xdr:row>
      <xdr:rowOff>85725</xdr:rowOff>
    </xdr:from>
    <xdr:to>
      <xdr:col>10</xdr:col>
      <xdr:colOff>504825</xdr:colOff>
      <xdr:row>46</xdr:row>
      <xdr:rowOff>76200</xdr:rowOff>
    </xdr:to>
    <xdr:sp macro="" textlink="">
      <xdr:nvSpPr>
        <xdr:cNvPr id="11" name="Text Box 13">
          <a:extLst>
            <a:ext uri="{FF2B5EF4-FFF2-40B4-BE49-F238E27FC236}">
              <a16:creationId xmlns:a16="http://schemas.microsoft.com/office/drawing/2014/main" id="{B2EF506A-32FD-4629-A9B1-EA0FD1070286}"/>
            </a:ext>
          </a:extLst>
        </xdr:cNvPr>
        <xdr:cNvSpPr txBox="1">
          <a:spLocks noChangeArrowheads="1"/>
        </xdr:cNvSpPr>
      </xdr:nvSpPr>
      <xdr:spPr bwMode="auto">
        <a:xfrm>
          <a:off x="7534275" y="7562850"/>
          <a:ext cx="14859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追加</a:t>
          </a:r>
        </a:p>
      </xdr:txBody>
    </xdr:sp>
    <xdr:clientData/>
  </xdr:twoCellAnchor>
  <xdr:twoCellAnchor>
    <xdr:from>
      <xdr:col>9</xdr:col>
      <xdr:colOff>171450</xdr:colOff>
      <xdr:row>38</xdr:row>
      <xdr:rowOff>142875</xdr:rowOff>
    </xdr:from>
    <xdr:to>
      <xdr:col>10</xdr:col>
      <xdr:colOff>381000</xdr:colOff>
      <xdr:row>40</xdr:row>
      <xdr:rowOff>38100</xdr:rowOff>
    </xdr:to>
    <xdr:sp macro="" textlink="">
      <xdr:nvSpPr>
        <xdr:cNvPr id="12" name="Text Box 14">
          <a:extLst>
            <a:ext uri="{FF2B5EF4-FFF2-40B4-BE49-F238E27FC236}">
              <a16:creationId xmlns:a16="http://schemas.microsoft.com/office/drawing/2014/main" id="{721771C5-27D7-4ABC-9E71-AD9B4C79A6C9}"/>
            </a:ext>
          </a:extLst>
        </xdr:cNvPr>
        <xdr:cNvSpPr txBox="1">
          <a:spLocks noChangeArrowheads="1"/>
        </xdr:cNvSpPr>
      </xdr:nvSpPr>
      <xdr:spPr bwMode="auto">
        <a:xfrm>
          <a:off x="7458075" y="6705600"/>
          <a:ext cx="14382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Ｐゴシック"/>
              <a:ea typeface="ＭＳ Ｐゴシック"/>
            </a:rPr>
            <a:t>　更新</a:t>
          </a:r>
        </a:p>
      </xdr:txBody>
    </xdr:sp>
    <xdr:clientData/>
  </xdr:twoCellAnchor>
  <xdr:twoCellAnchor>
    <xdr:from>
      <xdr:col>9</xdr:col>
      <xdr:colOff>47625</xdr:colOff>
      <xdr:row>14</xdr:row>
      <xdr:rowOff>142875</xdr:rowOff>
    </xdr:from>
    <xdr:to>
      <xdr:col>9</xdr:col>
      <xdr:colOff>238125</xdr:colOff>
      <xdr:row>18</xdr:row>
      <xdr:rowOff>0</xdr:rowOff>
    </xdr:to>
    <xdr:sp macro="" textlink="">
      <xdr:nvSpPr>
        <xdr:cNvPr id="13" name="AutoShape 15">
          <a:extLst>
            <a:ext uri="{FF2B5EF4-FFF2-40B4-BE49-F238E27FC236}">
              <a16:creationId xmlns:a16="http://schemas.microsoft.com/office/drawing/2014/main" id="{87E2D43A-C2F3-4F4E-9981-462785722C99}"/>
            </a:ext>
          </a:extLst>
        </xdr:cNvPr>
        <xdr:cNvSpPr>
          <a:spLocks/>
        </xdr:cNvSpPr>
      </xdr:nvSpPr>
      <xdr:spPr bwMode="auto">
        <a:xfrm>
          <a:off x="7334250" y="27146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28575</xdr:colOff>
      <xdr:row>38</xdr:row>
      <xdr:rowOff>0</xdr:rowOff>
    </xdr:from>
    <xdr:to>
      <xdr:col>9</xdr:col>
      <xdr:colOff>219075</xdr:colOff>
      <xdr:row>41</xdr:row>
      <xdr:rowOff>9525</xdr:rowOff>
    </xdr:to>
    <xdr:sp macro="" textlink="">
      <xdr:nvSpPr>
        <xdr:cNvPr id="14" name="AutoShape 16">
          <a:extLst>
            <a:ext uri="{FF2B5EF4-FFF2-40B4-BE49-F238E27FC236}">
              <a16:creationId xmlns:a16="http://schemas.microsoft.com/office/drawing/2014/main" id="{814CE2DB-806E-478F-A4C0-3EAB8DE3F52E}"/>
            </a:ext>
          </a:extLst>
        </xdr:cNvPr>
        <xdr:cNvSpPr>
          <a:spLocks/>
        </xdr:cNvSpPr>
      </xdr:nvSpPr>
      <xdr:spPr bwMode="auto">
        <a:xfrm>
          <a:off x="7315200" y="65627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xdr:col>
      <xdr:colOff>266700</xdr:colOff>
      <xdr:row>77</xdr:row>
      <xdr:rowOff>161925</xdr:rowOff>
    </xdr:from>
    <xdr:to>
      <xdr:col>3</xdr:col>
      <xdr:colOff>190500</xdr:colOff>
      <xdr:row>79</xdr:row>
      <xdr:rowOff>47625</xdr:rowOff>
    </xdr:to>
    <xdr:sp macro="" textlink="">
      <xdr:nvSpPr>
        <xdr:cNvPr id="15" name="AutoShape 22">
          <a:extLst>
            <a:ext uri="{FF2B5EF4-FFF2-40B4-BE49-F238E27FC236}">
              <a16:creationId xmlns:a16="http://schemas.microsoft.com/office/drawing/2014/main" id="{8E0EA371-0074-4083-8164-E905313798EE}"/>
            </a:ext>
          </a:extLst>
        </xdr:cNvPr>
        <xdr:cNvSpPr>
          <a:spLocks noChangeArrowheads="1"/>
        </xdr:cNvSpPr>
      </xdr:nvSpPr>
      <xdr:spPr bwMode="auto">
        <a:xfrm>
          <a:off x="514350" y="14001750"/>
          <a:ext cx="132397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247650</xdr:colOff>
      <xdr:row>87</xdr:row>
      <xdr:rowOff>123825</xdr:rowOff>
    </xdr:from>
    <xdr:to>
      <xdr:col>3</xdr:col>
      <xdr:colOff>171450</xdr:colOff>
      <xdr:row>89</xdr:row>
      <xdr:rowOff>19050</xdr:rowOff>
    </xdr:to>
    <xdr:sp macro="" textlink="">
      <xdr:nvSpPr>
        <xdr:cNvPr id="16" name="AutoShape 23">
          <a:extLst>
            <a:ext uri="{FF2B5EF4-FFF2-40B4-BE49-F238E27FC236}">
              <a16:creationId xmlns:a16="http://schemas.microsoft.com/office/drawing/2014/main" id="{48E74D87-0323-4FB1-AC56-D1ED25880489}"/>
            </a:ext>
          </a:extLst>
        </xdr:cNvPr>
        <xdr:cNvSpPr>
          <a:spLocks noChangeArrowheads="1"/>
        </xdr:cNvSpPr>
      </xdr:nvSpPr>
      <xdr:spPr bwMode="auto">
        <a:xfrm>
          <a:off x="495300" y="15935325"/>
          <a:ext cx="1323975" cy="2952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エラーログ sample</a:t>
          </a:r>
        </a:p>
      </xdr:txBody>
    </xdr:sp>
    <xdr:clientData/>
  </xdr:twoCellAnchor>
  <xdr:twoCellAnchor>
    <xdr:from>
      <xdr:col>2</xdr:col>
      <xdr:colOff>638175</xdr:colOff>
      <xdr:row>48</xdr:row>
      <xdr:rowOff>123825</xdr:rowOff>
    </xdr:from>
    <xdr:to>
      <xdr:col>4</xdr:col>
      <xdr:colOff>514350</xdr:colOff>
      <xdr:row>50</xdr:row>
      <xdr:rowOff>28575</xdr:rowOff>
    </xdr:to>
    <xdr:sp macro="" textlink="">
      <xdr:nvSpPr>
        <xdr:cNvPr id="17" name="AutoShape 25">
          <a:extLst>
            <a:ext uri="{FF2B5EF4-FFF2-40B4-BE49-F238E27FC236}">
              <a16:creationId xmlns:a16="http://schemas.microsoft.com/office/drawing/2014/main" id="{EE7DC794-8386-40BA-AB28-3CF9342A1A4F}"/>
            </a:ext>
          </a:extLst>
        </xdr:cNvPr>
        <xdr:cNvSpPr>
          <a:spLocks noChangeArrowheads="1"/>
        </xdr:cNvSpPr>
      </xdr:nvSpPr>
      <xdr:spPr bwMode="auto">
        <a:xfrm>
          <a:off x="1524000" y="8248650"/>
          <a:ext cx="1581150" cy="304800"/>
        </a:xfrm>
        <a:prstGeom prst="wedgeRectCallout">
          <a:avLst>
            <a:gd name="adj1" fmla="val 36745"/>
            <a:gd name="adj2" fmla="val -2807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e1:</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5</xdr:col>
      <xdr:colOff>1152525</xdr:colOff>
      <xdr:row>50</xdr:row>
      <xdr:rowOff>19050</xdr:rowOff>
    </xdr:from>
    <xdr:to>
      <xdr:col>7</xdr:col>
      <xdr:colOff>647700</xdr:colOff>
      <xdr:row>51</xdr:row>
      <xdr:rowOff>95250</xdr:rowOff>
    </xdr:to>
    <xdr:sp macro="" textlink="">
      <xdr:nvSpPr>
        <xdr:cNvPr id="18" name="AutoShape 26">
          <a:extLst>
            <a:ext uri="{FF2B5EF4-FFF2-40B4-BE49-F238E27FC236}">
              <a16:creationId xmlns:a16="http://schemas.microsoft.com/office/drawing/2014/main" id="{0BB25232-ACBE-40D7-A53B-CF9B5286E7C8}"/>
            </a:ext>
          </a:extLst>
        </xdr:cNvPr>
        <xdr:cNvSpPr>
          <a:spLocks noChangeArrowheads="1"/>
        </xdr:cNvSpPr>
      </xdr:nvSpPr>
      <xdr:spPr bwMode="auto">
        <a:xfrm>
          <a:off x="4876800" y="8543925"/>
          <a:ext cx="1276350" cy="276225"/>
        </a:xfrm>
        <a:prstGeom prst="wedgeRectCallout">
          <a:avLst>
            <a:gd name="adj1" fmla="val 64181"/>
            <a:gd name="adj2" fmla="val -207694"/>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36.</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5</xdr:col>
      <xdr:colOff>857250</xdr:colOff>
      <xdr:row>49</xdr:row>
      <xdr:rowOff>123825</xdr:rowOff>
    </xdr:from>
    <xdr:to>
      <xdr:col>7</xdr:col>
      <xdr:colOff>695325</xdr:colOff>
      <xdr:row>51</xdr:row>
      <xdr:rowOff>161925</xdr:rowOff>
    </xdr:to>
    <xdr:sp macro="" textlink="">
      <xdr:nvSpPr>
        <xdr:cNvPr id="19" name="AutoShape 27">
          <a:extLst>
            <a:ext uri="{FF2B5EF4-FFF2-40B4-BE49-F238E27FC236}">
              <a16:creationId xmlns:a16="http://schemas.microsoft.com/office/drawing/2014/main" id="{ACFBBD0C-AA1D-455B-8D50-A567D6F8075D}"/>
            </a:ext>
          </a:extLst>
        </xdr:cNvPr>
        <xdr:cNvSpPr>
          <a:spLocks noChangeArrowheads="1"/>
        </xdr:cNvSpPr>
      </xdr:nvSpPr>
      <xdr:spPr bwMode="auto">
        <a:xfrm>
          <a:off x="4581525" y="8448675"/>
          <a:ext cx="1619250" cy="438150"/>
        </a:xfrm>
        <a:prstGeom prst="wedgeRectCallout">
          <a:avLst>
            <a:gd name="adj1" fmla="val -64704"/>
            <a:gd name="adj2" fmla="val -11750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e3:</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登録日、更新日</a:t>
          </a:r>
        </a:p>
        <a:p>
          <a:pPr algn="l" rtl="0">
            <a:lnSpc>
              <a:spcPts val="1100"/>
            </a:lnSpc>
            <a:defRPr sz="1000"/>
          </a:pPr>
          <a:r>
            <a:rPr lang="ja-JP" altLang="en-US" sz="1000" b="0" i="0" u="none" strike="noStrike" baseline="0">
              <a:solidFill>
                <a:srgbClr val="000000"/>
              </a:solidFill>
              <a:latin typeface="ＭＳ Ｐゴシック"/>
              <a:ea typeface="ＭＳ Ｐゴシック"/>
            </a:rPr>
            <a:t>　　　　：システム日付</a:t>
          </a:r>
        </a:p>
      </xdr:txBody>
    </xdr:sp>
    <xdr:clientData/>
  </xdr:twoCellAnchor>
  <xdr:twoCellAnchor>
    <xdr:from>
      <xdr:col>6</xdr:col>
      <xdr:colOff>323850</xdr:colOff>
      <xdr:row>39</xdr:row>
      <xdr:rowOff>142875</xdr:rowOff>
    </xdr:from>
    <xdr:to>
      <xdr:col>8</xdr:col>
      <xdr:colOff>161925</xdr:colOff>
      <xdr:row>41</xdr:row>
      <xdr:rowOff>123825</xdr:rowOff>
    </xdr:to>
    <xdr:sp macro="" textlink="">
      <xdr:nvSpPr>
        <xdr:cNvPr id="20" name="AutoShape 29">
          <a:extLst>
            <a:ext uri="{FF2B5EF4-FFF2-40B4-BE49-F238E27FC236}">
              <a16:creationId xmlns:a16="http://schemas.microsoft.com/office/drawing/2014/main" id="{95512640-5743-4BE1-A14D-3405261A108D}"/>
            </a:ext>
          </a:extLst>
        </xdr:cNvPr>
        <xdr:cNvSpPr>
          <a:spLocks noChangeArrowheads="1"/>
        </xdr:cNvSpPr>
      </xdr:nvSpPr>
      <xdr:spPr bwMode="auto">
        <a:xfrm>
          <a:off x="5295900" y="6858000"/>
          <a:ext cx="1619250" cy="285750"/>
        </a:xfrm>
        <a:prstGeom prst="wedgeRectCallout">
          <a:avLst>
            <a:gd name="adj1" fmla="val 61176"/>
            <a:gd name="adj2" fmla="val 186667"/>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37.</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登録日、更新日</a:t>
          </a:r>
        </a:p>
        <a:p>
          <a:pPr algn="l" rtl="0">
            <a:lnSpc>
              <a:spcPts val="1100"/>
            </a:lnSpc>
            <a:defRPr sz="1000"/>
          </a:pPr>
          <a:r>
            <a:rPr lang="ja-JP" altLang="en-US" sz="1000" b="0" i="0" u="none" strike="noStrike" baseline="0">
              <a:solidFill>
                <a:srgbClr val="000000"/>
              </a:solidFill>
              <a:latin typeface="ＭＳ Ｐゴシック"/>
              <a:ea typeface="ＭＳ Ｐゴシック"/>
            </a:rPr>
            <a:t>　　　　：システム日付</a:t>
          </a:r>
        </a:p>
      </xdr:txBody>
    </xdr:sp>
    <xdr:clientData/>
  </xdr:twoCellAnchor>
  <xdr:twoCellAnchor>
    <xdr:from>
      <xdr:col>6</xdr:col>
      <xdr:colOff>323850</xdr:colOff>
      <xdr:row>40</xdr:row>
      <xdr:rowOff>0</xdr:rowOff>
    </xdr:from>
    <xdr:to>
      <xdr:col>8</xdr:col>
      <xdr:colOff>161925</xdr:colOff>
      <xdr:row>42</xdr:row>
      <xdr:rowOff>66675</xdr:rowOff>
    </xdr:to>
    <xdr:sp macro="" textlink="">
      <xdr:nvSpPr>
        <xdr:cNvPr id="21" name="AutoShape 28">
          <a:extLst>
            <a:ext uri="{FF2B5EF4-FFF2-40B4-BE49-F238E27FC236}">
              <a16:creationId xmlns:a16="http://schemas.microsoft.com/office/drawing/2014/main" id="{C322F1F9-8C5B-4C94-9213-6FE71E9304C9}"/>
            </a:ext>
          </a:extLst>
        </xdr:cNvPr>
        <xdr:cNvSpPr>
          <a:spLocks noChangeArrowheads="1"/>
        </xdr:cNvSpPr>
      </xdr:nvSpPr>
      <xdr:spPr bwMode="auto">
        <a:xfrm>
          <a:off x="5295900" y="6867525"/>
          <a:ext cx="1619250" cy="371475"/>
        </a:xfrm>
        <a:prstGeom prst="wedgeRectCallout">
          <a:avLst>
            <a:gd name="adj1" fmla="val -55296"/>
            <a:gd name="adj2" fmla="val 12948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e2：</a:t>
          </a:r>
          <a:r>
            <a:rPr lang="ja-JP" altLang="en-US" sz="900" b="0" i="0" u="none" strike="noStrike" baseline="0">
              <a:solidFill>
                <a:srgbClr val="000000"/>
              </a:solidFill>
              <a:latin typeface="ＭＳ Ｐゴシック"/>
              <a:ea typeface="ＭＳ Ｐゴシック"/>
            </a:rPr>
            <a:t>　登録者、更新者</a:t>
          </a:r>
        </a:p>
        <a:p>
          <a:pPr algn="l" rtl="0">
            <a:lnSpc>
              <a:spcPts val="1000"/>
            </a:lnSpc>
            <a:defRPr sz="1000"/>
          </a:pPr>
          <a:r>
            <a:rPr lang="ja-JP" altLang="en-US" sz="900" b="0" i="0" u="none" strike="noStrike" baseline="0">
              <a:solidFill>
                <a:srgbClr val="000000"/>
              </a:solidFill>
              <a:latin typeface="ＭＳ Ｐゴシック"/>
              <a:ea typeface="ＭＳ Ｐゴシック"/>
            </a:rPr>
            <a:t>　　　　　　：仕様通りの値</a:t>
          </a:r>
        </a:p>
      </xdr:txBody>
    </xdr:sp>
    <xdr:clientData/>
  </xdr:twoCellAnchor>
  <xdr:twoCellAnchor>
    <xdr:from>
      <xdr:col>1</xdr:col>
      <xdr:colOff>361950</xdr:colOff>
      <xdr:row>67</xdr:row>
      <xdr:rowOff>95250</xdr:rowOff>
    </xdr:from>
    <xdr:to>
      <xdr:col>3</xdr:col>
      <xdr:colOff>285750</xdr:colOff>
      <xdr:row>68</xdr:row>
      <xdr:rowOff>152400</xdr:rowOff>
    </xdr:to>
    <xdr:sp macro="" textlink="">
      <xdr:nvSpPr>
        <xdr:cNvPr id="22" name="AutoShape 33">
          <a:extLst>
            <a:ext uri="{FF2B5EF4-FFF2-40B4-BE49-F238E27FC236}">
              <a16:creationId xmlns:a16="http://schemas.microsoft.com/office/drawing/2014/main" id="{CC7A5D3E-A3BD-4C36-A501-606805910858}"/>
            </a:ext>
          </a:extLst>
        </xdr:cNvPr>
        <xdr:cNvSpPr>
          <a:spLocks noChangeArrowheads="1"/>
        </xdr:cNvSpPr>
      </xdr:nvSpPr>
      <xdr:spPr bwMode="auto">
        <a:xfrm>
          <a:off x="609600" y="11963400"/>
          <a:ext cx="132397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56</xdr:row>
      <xdr:rowOff>95250</xdr:rowOff>
    </xdr:from>
    <xdr:to>
      <xdr:col>3</xdr:col>
      <xdr:colOff>285750</xdr:colOff>
      <xdr:row>57</xdr:row>
      <xdr:rowOff>152400</xdr:rowOff>
    </xdr:to>
    <xdr:sp macro="" textlink="">
      <xdr:nvSpPr>
        <xdr:cNvPr id="23" name="AutoShape 34">
          <a:extLst>
            <a:ext uri="{FF2B5EF4-FFF2-40B4-BE49-F238E27FC236}">
              <a16:creationId xmlns:a16="http://schemas.microsoft.com/office/drawing/2014/main" id="{64BB97C2-8A76-47E3-9461-D117A7F8230F}"/>
            </a:ext>
          </a:extLst>
        </xdr:cNvPr>
        <xdr:cNvSpPr>
          <a:spLocks noChangeArrowheads="1"/>
        </xdr:cNvSpPr>
      </xdr:nvSpPr>
      <xdr:spPr bwMode="auto">
        <a:xfrm>
          <a:off x="609600" y="9791700"/>
          <a:ext cx="132397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323850</xdr:colOff>
      <xdr:row>58</xdr:row>
      <xdr:rowOff>38100</xdr:rowOff>
    </xdr:from>
    <xdr:to>
      <xdr:col>7</xdr:col>
      <xdr:colOff>800100</xdr:colOff>
      <xdr:row>60</xdr:row>
      <xdr:rowOff>161925</xdr:rowOff>
    </xdr:to>
    <xdr:pic>
      <xdr:nvPicPr>
        <xdr:cNvPr id="24" name="Picture 38">
          <a:extLst>
            <a:ext uri="{FF2B5EF4-FFF2-40B4-BE49-F238E27FC236}">
              <a16:creationId xmlns:a16="http://schemas.microsoft.com/office/drawing/2014/main" id="{21331DEB-867C-4E48-94E6-8C40B38AD8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71500" y="101346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79</xdr:row>
      <xdr:rowOff>85725</xdr:rowOff>
    </xdr:from>
    <xdr:to>
      <xdr:col>7</xdr:col>
      <xdr:colOff>752475</xdr:colOff>
      <xdr:row>82</xdr:row>
      <xdr:rowOff>9525</xdr:rowOff>
    </xdr:to>
    <xdr:pic>
      <xdr:nvPicPr>
        <xdr:cNvPr id="25" name="Picture 40">
          <a:extLst>
            <a:ext uri="{FF2B5EF4-FFF2-40B4-BE49-F238E27FC236}">
              <a16:creationId xmlns:a16="http://schemas.microsoft.com/office/drawing/2014/main" id="{7684799F-24CF-4FAC-9D9F-82E6F66A68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875" y="143256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352425</xdr:colOff>
      <xdr:row>69</xdr:row>
      <xdr:rowOff>9525</xdr:rowOff>
    </xdr:from>
    <xdr:to>
      <xdr:col>7</xdr:col>
      <xdr:colOff>828675</xdr:colOff>
      <xdr:row>71</xdr:row>
      <xdr:rowOff>133350</xdr:rowOff>
    </xdr:to>
    <xdr:pic>
      <xdr:nvPicPr>
        <xdr:cNvPr id="26" name="Picture 41">
          <a:extLst>
            <a:ext uri="{FF2B5EF4-FFF2-40B4-BE49-F238E27FC236}">
              <a16:creationId xmlns:a16="http://schemas.microsoft.com/office/drawing/2014/main" id="{DE48AF64-71DA-41DD-BEDC-4BC4832A850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00075" y="122777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257175</xdr:colOff>
      <xdr:row>89</xdr:row>
      <xdr:rowOff>104775</xdr:rowOff>
    </xdr:from>
    <xdr:to>
      <xdr:col>7</xdr:col>
      <xdr:colOff>733425</xdr:colOff>
      <xdr:row>92</xdr:row>
      <xdr:rowOff>28575</xdr:rowOff>
    </xdr:to>
    <xdr:pic>
      <xdr:nvPicPr>
        <xdr:cNvPr id="27" name="Picture 42">
          <a:extLst>
            <a:ext uri="{FF2B5EF4-FFF2-40B4-BE49-F238E27FC236}">
              <a16:creationId xmlns:a16="http://schemas.microsoft.com/office/drawing/2014/main" id="{6FA37A90-888C-42F7-B7C5-95236FF2E53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04825" y="163163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9</xdr:col>
      <xdr:colOff>38100</xdr:colOff>
      <xdr:row>9</xdr:row>
      <xdr:rowOff>19050</xdr:rowOff>
    </xdr:from>
    <xdr:to>
      <xdr:col>9</xdr:col>
      <xdr:colOff>180975</xdr:colOff>
      <xdr:row>11</xdr:row>
      <xdr:rowOff>38100</xdr:rowOff>
    </xdr:to>
    <xdr:sp macro="" textlink="">
      <xdr:nvSpPr>
        <xdr:cNvPr id="2" name="AutoShape 5">
          <a:extLst>
            <a:ext uri="{FF2B5EF4-FFF2-40B4-BE49-F238E27FC236}">
              <a16:creationId xmlns:a16="http://schemas.microsoft.com/office/drawing/2014/main" id="{560C7B51-8CD9-4D6E-B35B-C4E45121B71C}"/>
            </a:ext>
          </a:extLst>
        </xdr:cNvPr>
        <xdr:cNvSpPr>
          <a:spLocks/>
        </xdr:cNvSpPr>
      </xdr:nvSpPr>
      <xdr:spPr bwMode="auto">
        <a:xfrm>
          <a:off x="7077075" y="1828800"/>
          <a:ext cx="142875" cy="323850"/>
        </a:xfrm>
        <a:prstGeom prst="rightBrace">
          <a:avLst>
            <a:gd name="adj1" fmla="val 18889"/>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57150</xdr:rowOff>
    </xdr:from>
    <xdr:to>
      <xdr:col>9</xdr:col>
      <xdr:colOff>219075</xdr:colOff>
      <xdr:row>24</xdr:row>
      <xdr:rowOff>114300</xdr:rowOff>
    </xdr:to>
    <xdr:sp macro="" textlink="">
      <xdr:nvSpPr>
        <xdr:cNvPr id="3" name="AutoShape 6">
          <a:extLst>
            <a:ext uri="{FF2B5EF4-FFF2-40B4-BE49-F238E27FC236}">
              <a16:creationId xmlns:a16="http://schemas.microsoft.com/office/drawing/2014/main" id="{782C8335-6004-4151-B8EE-6801DEEDD57E}"/>
            </a:ext>
          </a:extLst>
        </xdr:cNvPr>
        <xdr:cNvSpPr>
          <a:spLocks/>
        </xdr:cNvSpPr>
      </xdr:nvSpPr>
      <xdr:spPr bwMode="auto">
        <a:xfrm>
          <a:off x="7096125" y="3695700"/>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200025</xdr:colOff>
      <xdr:row>8</xdr:row>
      <xdr:rowOff>114300</xdr:rowOff>
    </xdr:from>
    <xdr:to>
      <xdr:col>10</xdr:col>
      <xdr:colOff>228600</xdr:colOff>
      <xdr:row>11</xdr:row>
      <xdr:rowOff>47625</xdr:rowOff>
    </xdr:to>
    <xdr:sp macro="" textlink="">
      <xdr:nvSpPr>
        <xdr:cNvPr id="4" name="Text Box 7">
          <a:extLst>
            <a:ext uri="{FF2B5EF4-FFF2-40B4-BE49-F238E27FC236}">
              <a16:creationId xmlns:a16="http://schemas.microsoft.com/office/drawing/2014/main" id="{85C96B43-BE65-4B70-AF2D-67C08C1C09DF}"/>
            </a:ext>
          </a:extLst>
        </xdr:cNvPr>
        <xdr:cNvSpPr txBox="1">
          <a:spLocks noChangeArrowheads="1"/>
        </xdr:cNvSpPr>
      </xdr:nvSpPr>
      <xdr:spPr bwMode="auto">
        <a:xfrm>
          <a:off x="7239000" y="1771650"/>
          <a:ext cx="12573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 削除対象</a:t>
          </a:r>
        </a:p>
      </xdr:txBody>
    </xdr:sp>
    <xdr:clientData/>
  </xdr:twoCellAnchor>
  <xdr:twoCellAnchor>
    <xdr:from>
      <xdr:col>9</xdr:col>
      <xdr:colOff>247650</xdr:colOff>
      <xdr:row>21</xdr:row>
      <xdr:rowOff>114300</xdr:rowOff>
    </xdr:from>
    <xdr:to>
      <xdr:col>10</xdr:col>
      <xdr:colOff>390525</xdr:colOff>
      <xdr:row>23</xdr:row>
      <xdr:rowOff>104775</xdr:rowOff>
    </xdr:to>
    <xdr:sp macro="" textlink="">
      <xdr:nvSpPr>
        <xdr:cNvPr id="5" name="Text Box 8">
          <a:extLst>
            <a:ext uri="{FF2B5EF4-FFF2-40B4-BE49-F238E27FC236}">
              <a16:creationId xmlns:a16="http://schemas.microsoft.com/office/drawing/2014/main" id="{BA7F260B-FC3B-4568-A836-C8EC89BA7004}"/>
            </a:ext>
          </a:extLst>
        </xdr:cNvPr>
        <xdr:cNvSpPr txBox="1">
          <a:spLocks noChangeArrowheads="1"/>
        </xdr:cNvSpPr>
      </xdr:nvSpPr>
      <xdr:spPr bwMode="auto">
        <a:xfrm>
          <a:off x="7286625" y="3752850"/>
          <a:ext cx="13716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追加対象</a:t>
          </a:r>
        </a:p>
      </xdr:txBody>
    </xdr:sp>
    <xdr:clientData/>
  </xdr:twoCellAnchor>
  <xdr:twoCellAnchor>
    <xdr:from>
      <xdr:col>9</xdr:col>
      <xdr:colOff>190500</xdr:colOff>
      <xdr:row>15</xdr:row>
      <xdr:rowOff>133350</xdr:rowOff>
    </xdr:from>
    <xdr:to>
      <xdr:col>10</xdr:col>
      <xdr:colOff>285750</xdr:colOff>
      <xdr:row>17</xdr:row>
      <xdr:rowOff>28575</xdr:rowOff>
    </xdr:to>
    <xdr:sp macro="" textlink="">
      <xdr:nvSpPr>
        <xdr:cNvPr id="6" name="Text Box 9">
          <a:extLst>
            <a:ext uri="{FF2B5EF4-FFF2-40B4-BE49-F238E27FC236}">
              <a16:creationId xmlns:a16="http://schemas.microsoft.com/office/drawing/2014/main" id="{FC319E67-C032-4931-8E67-74B7CF86F203}"/>
            </a:ext>
          </a:extLst>
        </xdr:cNvPr>
        <xdr:cNvSpPr txBox="1">
          <a:spLocks noChangeArrowheads="1"/>
        </xdr:cNvSpPr>
      </xdr:nvSpPr>
      <xdr:spPr bwMode="auto">
        <a:xfrm>
          <a:off x="7229475" y="2857500"/>
          <a:ext cx="13239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10">
          <a:extLst>
            <a:ext uri="{FF2B5EF4-FFF2-40B4-BE49-F238E27FC236}">
              <a16:creationId xmlns:a16="http://schemas.microsoft.com/office/drawing/2014/main" id="{90B668AC-CB2D-4B96-810A-9F7131918F3B}"/>
            </a:ext>
          </a:extLst>
        </xdr:cNvPr>
        <xdr:cNvSpPr>
          <a:spLocks noChangeArrowheads="1"/>
        </xdr:cNvSpPr>
      </xdr:nvSpPr>
      <xdr:spPr bwMode="auto">
        <a:xfrm>
          <a:off x="3114675"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57150</xdr:colOff>
      <xdr:row>32</xdr:row>
      <xdr:rowOff>47625</xdr:rowOff>
    </xdr:from>
    <xdr:to>
      <xdr:col>9</xdr:col>
      <xdr:colOff>209550</xdr:colOff>
      <xdr:row>34</xdr:row>
      <xdr:rowOff>19050</xdr:rowOff>
    </xdr:to>
    <xdr:sp macro="" textlink="">
      <xdr:nvSpPr>
        <xdr:cNvPr id="8" name="AutoShape 11">
          <a:extLst>
            <a:ext uri="{FF2B5EF4-FFF2-40B4-BE49-F238E27FC236}">
              <a16:creationId xmlns:a16="http://schemas.microsoft.com/office/drawing/2014/main" id="{4E71524A-941A-434D-A003-99AF43D38FE7}"/>
            </a:ext>
          </a:extLst>
        </xdr:cNvPr>
        <xdr:cNvSpPr>
          <a:spLocks/>
        </xdr:cNvSpPr>
      </xdr:nvSpPr>
      <xdr:spPr bwMode="auto">
        <a:xfrm>
          <a:off x="7096125" y="5695950"/>
          <a:ext cx="152400" cy="276225"/>
        </a:xfrm>
        <a:prstGeom prst="rightBrace">
          <a:avLst>
            <a:gd name="adj1" fmla="val 15104"/>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42</xdr:row>
      <xdr:rowOff>28575</xdr:rowOff>
    </xdr:from>
    <xdr:to>
      <xdr:col>9</xdr:col>
      <xdr:colOff>238125</xdr:colOff>
      <xdr:row>46</xdr:row>
      <xdr:rowOff>0</xdr:rowOff>
    </xdr:to>
    <xdr:sp macro="" textlink="">
      <xdr:nvSpPr>
        <xdr:cNvPr id="9" name="AutoShape 12">
          <a:extLst>
            <a:ext uri="{FF2B5EF4-FFF2-40B4-BE49-F238E27FC236}">
              <a16:creationId xmlns:a16="http://schemas.microsoft.com/office/drawing/2014/main" id="{D6F0E5FC-8F05-4E06-A97C-5C435C52E2A9}"/>
            </a:ext>
          </a:extLst>
        </xdr:cNvPr>
        <xdr:cNvSpPr>
          <a:spLocks/>
        </xdr:cNvSpPr>
      </xdr:nvSpPr>
      <xdr:spPr bwMode="auto">
        <a:xfrm>
          <a:off x="7096125" y="7200900"/>
          <a:ext cx="180975" cy="619125"/>
        </a:xfrm>
        <a:prstGeom prst="rightBrace">
          <a:avLst>
            <a:gd name="adj1" fmla="val 27193"/>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209550</xdr:colOff>
      <xdr:row>31</xdr:row>
      <xdr:rowOff>123825</xdr:rowOff>
    </xdr:from>
    <xdr:to>
      <xdr:col>10</xdr:col>
      <xdr:colOff>238125</xdr:colOff>
      <xdr:row>34</xdr:row>
      <xdr:rowOff>19050</xdr:rowOff>
    </xdr:to>
    <xdr:sp macro="" textlink="">
      <xdr:nvSpPr>
        <xdr:cNvPr id="10" name="Text Box 13">
          <a:extLst>
            <a:ext uri="{FF2B5EF4-FFF2-40B4-BE49-F238E27FC236}">
              <a16:creationId xmlns:a16="http://schemas.microsoft.com/office/drawing/2014/main" id="{6E38172C-B42F-4BEF-831C-93A2EBACF42E}"/>
            </a:ext>
          </a:extLst>
        </xdr:cNvPr>
        <xdr:cNvSpPr txBox="1">
          <a:spLocks noChangeArrowheads="1"/>
        </xdr:cNvSpPr>
      </xdr:nvSpPr>
      <xdr:spPr bwMode="auto">
        <a:xfrm>
          <a:off x="7248525" y="5619750"/>
          <a:ext cx="1257300" cy="3524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 物理削除</a:t>
          </a:r>
        </a:p>
      </xdr:txBody>
    </xdr:sp>
    <xdr:clientData/>
  </xdr:twoCellAnchor>
  <xdr:twoCellAnchor>
    <xdr:from>
      <xdr:col>9</xdr:col>
      <xdr:colOff>266700</xdr:colOff>
      <xdr:row>42</xdr:row>
      <xdr:rowOff>104775</xdr:rowOff>
    </xdr:from>
    <xdr:to>
      <xdr:col>10</xdr:col>
      <xdr:colOff>409575</xdr:colOff>
      <xdr:row>44</xdr:row>
      <xdr:rowOff>95250</xdr:rowOff>
    </xdr:to>
    <xdr:sp macro="" textlink="">
      <xdr:nvSpPr>
        <xdr:cNvPr id="11" name="Text Box 14">
          <a:extLst>
            <a:ext uri="{FF2B5EF4-FFF2-40B4-BE49-F238E27FC236}">
              <a16:creationId xmlns:a16="http://schemas.microsoft.com/office/drawing/2014/main" id="{7B819A71-56C1-4678-8043-D778DBD9631A}"/>
            </a:ext>
          </a:extLst>
        </xdr:cNvPr>
        <xdr:cNvSpPr txBox="1">
          <a:spLocks noChangeArrowheads="1"/>
        </xdr:cNvSpPr>
      </xdr:nvSpPr>
      <xdr:spPr bwMode="auto">
        <a:xfrm>
          <a:off x="7305675" y="7277100"/>
          <a:ext cx="13716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追加</a:t>
          </a:r>
        </a:p>
      </xdr:txBody>
    </xdr:sp>
    <xdr:clientData/>
  </xdr:twoCellAnchor>
  <xdr:twoCellAnchor>
    <xdr:from>
      <xdr:col>9</xdr:col>
      <xdr:colOff>190500</xdr:colOff>
      <xdr:row>37</xdr:row>
      <xdr:rowOff>9525</xdr:rowOff>
    </xdr:from>
    <xdr:to>
      <xdr:col>10</xdr:col>
      <xdr:colOff>285750</xdr:colOff>
      <xdr:row>38</xdr:row>
      <xdr:rowOff>57150</xdr:rowOff>
    </xdr:to>
    <xdr:sp macro="" textlink="">
      <xdr:nvSpPr>
        <xdr:cNvPr id="12" name="Text Box 15">
          <a:extLst>
            <a:ext uri="{FF2B5EF4-FFF2-40B4-BE49-F238E27FC236}">
              <a16:creationId xmlns:a16="http://schemas.microsoft.com/office/drawing/2014/main" id="{71F0CE63-A511-4D6B-852A-0557A2A9466D}"/>
            </a:ext>
          </a:extLst>
        </xdr:cNvPr>
        <xdr:cNvSpPr txBox="1">
          <a:spLocks noChangeArrowheads="1"/>
        </xdr:cNvSpPr>
      </xdr:nvSpPr>
      <xdr:spPr bwMode="auto">
        <a:xfrm>
          <a:off x="7229475" y="6419850"/>
          <a:ext cx="13239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969696"/>
              </a:solidFill>
              <a:latin typeface="ＭＳ Ｐゴシック"/>
              <a:ea typeface="ＭＳ Ｐゴシック"/>
            </a:rPr>
            <a:t>　更新</a:t>
          </a:r>
        </a:p>
      </xdr:txBody>
    </xdr:sp>
    <xdr:clientData/>
  </xdr:twoCellAnchor>
  <xdr:twoCellAnchor>
    <xdr:from>
      <xdr:col>9</xdr:col>
      <xdr:colOff>47625</xdr:colOff>
      <xdr:row>14</xdr:row>
      <xdr:rowOff>133350</xdr:rowOff>
    </xdr:from>
    <xdr:to>
      <xdr:col>9</xdr:col>
      <xdr:colOff>238125</xdr:colOff>
      <xdr:row>17</xdr:row>
      <xdr:rowOff>142875</xdr:rowOff>
    </xdr:to>
    <xdr:sp macro="" textlink="">
      <xdr:nvSpPr>
        <xdr:cNvPr id="13" name="AutoShape 16">
          <a:extLst>
            <a:ext uri="{FF2B5EF4-FFF2-40B4-BE49-F238E27FC236}">
              <a16:creationId xmlns:a16="http://schemas.microsoft.com/office/drawing/2014/main" id="{C1FE0F0A-16C4-4CFF-9D30-EFA04015C035}"/>
            </a:ext>
          </a:extLst>
        </xdr:cNvPr>
        <xdr:cNvSpPr>
          <a:spLocks/>
        </xdr:cNvSpPr>
      </xdr:nvSpPr>
      <xdr:spPr bwMode="auto">
        <a:xfrm>
          <a:off x="7086600" y="2705100"/>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47625</xdr:colOff>
      <xdr:row>36</xdr:row>
      <xdr:rowOff>19050</xdr:rowOff>
    </xdr:from>
    <xdr:to>
      <xdr:col>9</xdr:col>
      <xdr:colOff>238125</xdr:colOff>
      <xdr:row>39</xdr:row>
      <xdr:rowOff>28575</xdr:rowOff>
    </xdr:to>
    <xdr:sp macro="" textlink="">
      <xdr:nvSpPr>
        <xdr:cNvPr id="14" name="AutoShape 17">
          <a:extLst>
            <a:ext uri="{FF2B5EF4-FFF2-40B4-BE49-F238E27FC236}">
              <a16:creationId xmlns:a16="http://schemas.microsoft.com/office/drawing/2014/main" id="{84A7613F-45C4-4A39-A0D4-AEA8DA34D4F8}"/>
            </a:ext>
          </a:extLst>
        </xdr:cNvPr>
        <xdr:cNvSpPr>
          <a:spLocks/>
        </xdr:cNvSpPr>
      </xdr:nvSpPr>
      <xdr:spPr bwMode="auto">
        <a:xfrm>
          <a:off x="7086600" y="627697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10</xdr:col>
      <xdr:colOff>190500</xdr:colOff>
      <xdr:row>33</xdr:row>
      <xdr:rowOff>104775</xdr:rowOff>
    </xdr:from>
    <xdr:to>
      <xdr:col>11</xdr:col>
      <xdr:colOff>276225</xdr:colOff>
      <xdr:row>34</xdr:row>
      <xdr:rowOff>0</xdr:rowOff>
    </xdr:to>
    <xdr:sp macro="" textlink="">
      <xdr:nvSpPr>
        <xdr:cNvPr id="15" name="Text Box 19">
          <a:extLst>
            <a:ext uri="{FF2B5EF4-FFF2-40B4-BE49-F238E27FC236}">
              <a16:creationId xmlns:a16="http://schemas.microsoft.com/office/drawing/2014/main" id="{2AFFF26F-D59C-4677-8F3C-BDAEC66EA1A3}"/>
            </a:ext>
          </a:extLst>
        </xdr:cNvPr>
        <xdr:cNvSpPr txBox="1">
          <a:spLocks noChangeArrowheads="1"/>
        </xdr:cNvSpPr>
      </xdr:nvSpPr>
      <xdr:spPr bwMode="auto">
        <a:xfrm>
          <a:off x="8458200" y="5905500"/>
          <a:ext cx="619125" cy="476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endParaRPr lang="ja-JP" altLang="en-US" sz="900" b="0" i="0" u="none" strike="noStrike" baseline="0">
            <a:solidFill>
              <a:srgbClr val="FF6600"/>
            </a:solidFill>
            <a:latin typeface="ＭＳ Ｐゴシック"/>
            <a:ea typeface="ＭＳ Ｐゴシック"/>
          </a:endParaRPr>
        </a:p>
        <a:p>
          <a:pPr algn="l" rtl="0">
            <a:defRPr sz="1000"/>
          </a:pPr>
          <a:r>
            <a:rPr lang="ja-JP" altLang="en-US" sz="900" b="0" i="0" u="none" strike="noStrike" baseline="0">
              <a:solidFill>
                <a:srgbClr val="FF6600"/>
              </a:solidFill>
              <a:latin typeface="ＭＳ Ｐゴシック"/>
              <a:ea typeface="ＭＳ Ｐゴシック"/>
            </a:rPr>
            <a:t> 論理削除</a:t>
          </a:r>
        </a:p>
      </xdr:txBody>
    </xdr:sp>
    <xdr:clientData/>
  </xdr:twoCellAnchor>
  <xdr:twoCellAnchor>
    <xdr:from>
      <xdr:col>1</xdr:col>
      <xdr:colOff>209550</xdr:colOff>
      <xdr:row>72</xdr:row>
      <xdr:rowOff>142875</xdr:rowOff>
    </xdr:from>
    <xdr:to>
      <xdr:col>3</xdr:col>
      <xdr:colOff>133350</xdr:colOff>
      <xdr:row>74</xdr:row>
      <xdr:rowOff>28575</xdr:rowOff>
    </xdr:to>
    <xdr:sp macro="" textlink="">
      <xdr:nvSpPr>
        <xdr:cNvPr id="16" name="AutoShape 22">
          <a:extLst>
            <a:ext uri="{FF2B5EF4-FFF2-40B4-BE49-F238E27FC236}">
              <a16:creationId xmlns:a16="http://schemas.microsoft.com/office/drawing/2014/main" id="{E1D13B2A-0D52-4D6E-83EC-39C49D9855DD}"/>
            </a:ext>
          </a:extLst>
        </xdr:cNvPr>
        <xdr:cNvSpPr>
          <a:spLocks noChangeArrowheads="1"/>
        </xdr:cNvSpPr>
      </xdr:nvSpPr>
      <xdr:spPr bwMode="auto">
        <a:xfrm>
          <a:off x="457200" y="13077825"/>
          <a:ext cx="10763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219075</xdr:colOff>
      <xdr:row>83</xdr:row>
      <xdr:rowOff>104775</xdr:rowOff>
    </xdr:from>
    <xdr:to>
      <xdr:col>3</xdr:col>
      <xdr:colOff>142875</xdr:colOff>
      <xdr:row>84</xdr:row>
      <xdr:rowOff>161925</xdr:rowOff>
    </xdr:to>
    <xdr:sp macro="" textlink="">
      <xdr:nvSpPr>
        <xdr:cNvPr id="17" name="AutoShape 23">
          <a:extLst>
            <a:ext uri="{FF2B5EF4-FFF2-40B4-BE49-F238E27FC236}">
              <a16:creationId xmlns:a16="http://schemas.microsoft.com/office/drawing/2014/main" id="{CA3F2F8F-3043-4FC3-AE02-4D448CB523C4}"/>
            </a:ext>
          </a:extLst>
        </xdr:cNvPr>
        <xdr:cNvSpPr>
          <a:spLocks noChangeArrowheads="1"/>
        </xdr:cNvSpPr>
      </xdr:nvSpPr>
      <xdr:spPr bwMode="auto">
        <a:xfrm>
          <a:off x="466725" y="152114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285750</xdr:colOff>
      <xdr:row>62</xdr:row>
      <xdr:rowOff>95250</xdr:rowOff>
    </xdr:from>
    <xdr:to>
      <xdr:col>3</xdr:col>
      <xdr:colOff>209550</xdr:colOff>
      <xdr:row>63</xdr:row>
      <xdr:rowOff>152400</xdr:rowOff>
    </xdr:to>
    <xdr:sp macro="" textlink="">
      <xdr:nvSpPr>
        <xdr:cNvPr id="18" name="AutoShape 33">
          <a:extLst>
            <a:ext uri="{FF2B5EF4-FFF2-40B4-BE49-F238E27FC236}">
              <a16:creationId xmlns:a16="http://schemas.microsoft.com/office/drawing/2014/main" id="{DE3FE145-209F-417A-86B9-1A2FAF649368}"/>
            </a:ext>
          </a:extLst>
        </xdr:cNvPr>
        <xdr:cNvSpPr>
          <a:spLocks noChangeArrowheads="1"/>
        </xdr:cNvSpPr>
      </xdr:nvSpPr>
      <xdr:spPr bwMode="auto">
        <a:xfrm>
          <a:off x="533400" y="110585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51</xdr:row>
      <xdr:rowOff>95250</xdr:rowOff>
    </xdr:from>
    <xdr:to>
      <xdr:col>3</xdr:col>
      <xdr:colOff>285750</xdr:colOff>
      <xdr:row>52</xdr:row>
      <xdr:rowOff>152400</xdr:rowOff>
    </xdr:to>
    <xdr:sp macro="" textlink="">
      <xdr:nvSpPr>
        <xdr:cNvPr id="19" name="AutoShape 34">
          <a:extLst>
            <a:ext uri="{FF2B5EF4-FFF2-40B4-BE49-F238E27FC236}">
              <a16:creationId xmlns:a16="http://schemas.microsoft.com/office/drawing/2014/main" id="{ECFEC958-12FF-4569-B12D-29C0132979E3}"/>
            </a:ext>
          </a:extLst>
        </xdr:cNvPr>
        <xdr:cNvSpPr>
          <a:spLocks noChangeArrowheads="1"/>
        </xdr:cNvSpPr>
      </xdr:nvSpPr>
      <xdr:spPr bwMode="auto">
        <a:xfrm>
          <a:off x="609600" y="88868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361950</xdr:colOff>
      <xdr:row>53</xdr:row>
      <xdr:rowOff>28575</xdr:rowOff>
    </xdr:from>
    <xdr:to>
      <xdr:col>7</xdr:col>
      <xdr:colOff>1085850</xdr:colOff>
      <xdr:row>55</xdr:row>
      <xdr:rowOff>152400</xdr:rowOff>
    </xdr:to>
    <xdr:pic>
      <xdr:nvPicPr>
        <xdr:cNvPr id="20" name="Picture 39">
          <a:extLst>
            <a:ext uri="{FF2B5EF4-FFF2-40B4-BE49-F238E27FC236}">
              <a16:creationId xmlns:a16="http://schemas.microsoft.com/office/drawing/2014/main" id="{11FA610D-76DA-442F-AC28-45DD98285EE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92202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85</xdr:row>
      <xdr:rowOff>28575</xdr:rowOff>
    </xdr:from>
    <xdr:to>
      <xdr:col>7</xdr:col>
      <xdr:colOff>952500</xdr:colOff>
      <xdr:row>87</xdr:row>
      <xdr:rowOff>152400</xdr:rowOff>
    </xdr:to>
    <xdr:pic>
      <xdr:nvPicPr>
        <xdr:cNvPr id="21" name="Picture 40">
          <a:extLst>
            <a:ext uri="{FF2B5EF4-FFF2-40B4-BE49-F238E27FC236}">
              <a16:creationId xmlns:a16="http://schemas.microsoft.com/office/drawing/2014/main" id="{370C1848-2A09-4FB8-8EC6-0EFCB21209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76250" y="155352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74</xdr:row>
      <xdr:rowOff>57150</xdr:rowOff>
    </xdr:from>
    <xdr:to>
      <xdr:col>7</xdr:col>
      <xdr:colOff>952500</xdr:colOff>
      <xdr:row>76</xdr:row>
      <xdr:rowOff>180975</xdr:rowOff>
    </xdr:to>
    <xdr:pic>
      <xdr:nvPicPr>
        <xdr:cNvPr id="22" name="Picture 41">
          <a:extLst>
            <a:ext uri="{FF2B5EF4-FFF2-40B4-BE49-F238E27FC236}">
              <a16:creationId xmlns:a16="http://schemas.microsoft.com/office/drawing/2014/main" id="{F75DB904-F53C-463F-81C9-9F20578BD49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76250" y="133921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64</xdr:row>
      <xdr:rowOff>19050</xdr:rowOff>
    </xdr:from>
    <xdr:to>
      <xdr:col>7</xdr:col>
      <xdr:colOff>1038225</xdr:colOff>
      <xdr:row>66</xdr:row>
      <xdr:rowOff>142875</xdr:rowOff>
    </xdr:to>
    <xdr:pic>
      <xdr:nvPicPr>
        <xdr:cNvPr id="23" name="Picture 42">
          <a:extLst>
            <a:ext uri="{FF2B5EF4-FFF2-40B4-BE49-F238E27FC236}">
              <a16:creationId xmlns:a16="http://schemas.microsoft.com/office/drawing/2014/main" id="{8FFA9B54-2C69-4A68-80DA-632B4866350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1975" y="113823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5</xdr:col>
      <xdr:colOff>942975</xdr:colOff>
      <xdr:row>36</xdr:row>
      <xdr:rowOff>95250</xdr:rowOff>
    </xdr:from>
    <xdr:to>
      <xdr:col>9</xdr:col>
      <xdr:colOff>657225</xdr:colOff>
      <xdr:row>39</xdr:row>
      <xdr:rowOff>47625</xdr:rowOff>
    </xdr:to>
    <xdr:sp macro="" textlink="">
      <xdr:nvSpPr>
        <xdr:cNvPr id="24" name="AutoShape 43">
          <a:extLst>
            <a:ext uri="{FF2B5EF4-FFF2-40B4-BE49-F238E27FC236}">
              <a16:creationId xmlns:a16="http://schemas.microsoft.com/office/drawing/2014/main" id="{9200E8EC-D0C1-40E3-AFC3-2A2BFC1D264D}"/>
            </a:ext>
          </a:extLst>
        </xdr:cNvPr>
        <xdr:cNvSpPr>
          <a:spLocks noChangeArrowheads="1"/>
        </xdr:cNvSpPr>
      </xdr:nvSpPr>
      <xdr:spPr bwMode="auto">
        <a:xfrm>
          <a:off x="4419600" y="6353175"/>
          <a:ext cx="3276600" cy="409575"/>
        </a:xfrm>
        <a:prstGeom prst="wedgeRectCallout">
          <a:avLst>
            <a:gd name="adj1" fmla="val 14537"/>
            <a:gd name="adj2" fmla="val -133722"/>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削除条件に該当するレコードを削除している ことを確認</a:t>
          </a:r>
        </a:p>
        <a:p>
          <a:pPr algn="l" rtl="0">
            <a:lnSpc>
              <a:spcPts val="1100"/>
            </a:lnSpc>
            <a:defRPr sz="1000"/>
          </a:pPr>
          <a:r>
            <a:rPr lang="ja-JP" altLang="en-US" sz="1000" b="0" i="0" u="none" strike="noStrike" baseline="0">
              <a:solidFill>
                <a:srgbClr val="000000"/>
              </a:solidFill>
              <a:latin typeface="ＭＳ Ｐゴシック"/>
              <a:ea typeface="ＭＳ Ｐゴシック"/>
            </a:rPr>
            <a:t>　(削除対象以外は削除処理を行っていない)</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228600</xdr:colOff>
      <xdr:row>5</xdr:row>
      <xdr:rowOff>152400</xdr:rowOff>
    </xdr:from>
    <xdr:to>
      <xdr:col>3</xdr:col>
      <xdr:colOff>676275</xdr:colOff>
      <xdr:row>7</xdr:row>
      <xdr:rowOff>38100</xdr:rowOff>
    </xdr:to>
    <xdr:sp macro="" textlink="">
      <xdr:nvSpPr>
        <xdr:cNvPr id="2" name="AutoShape 4">
          <a:extLst>
            <a:ext uri="{FF2B5EF4-FFF2-40B4-BE49-F238E27FC236}">
              <a16:creationId xmlns:a16="http://schemas.microsoft.com/office/drawing/2014/main" id="{CC3D4CBF-0939-42C9-B46B-8388C8961F79}"/>
            </a:ext>
          </a:extLst>
        </xdr:cNvPr>
        <xdr:cNvSpPr>
          <a:spLocks noChangeArrowheads="1"/>
        </xdr:cNvSpPr>
      </xdr:nvSpPr>
      <xdr:spPr bwMode="auto">
        <a:xfrm>
          <a:off x="476250" y="1200150"/>
          <a:ext cx="10382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238125</xdr:colOff>
      <xdr:row>15</xdr:row>
      <xdr:rowOff>133350</xdr:rowOff>
    </xdr:from>
    <xdr:to>
      <xdr:col>4</xdr:col>
      <xdr:colOff>28575</xdr:colOff>
      <xdr:row>17</xdr:row>
      <xdr:rowOff>76200</xdr:rowOff>
    </xdr:to>
    <xdr:sp macro="" textlink="">
      <xdr:nvSpPr>
        <xdr:cNvPr id="3" name="AutoShape 5">
          <a:extLst>
            <a:ext uri="{FF2B5EF4-FFF2-40B4-BE49-F238E27FC236}">
              <a16:creationId xmlns:a16="http://schemas.microsoft.com/office/drawing/2014/main" id="{34CAD497-A364-4BAF-B2FE-197E49F311EF}"/>
            </a:ext>
          </a:extLst>
        </xdr:cNvPr>
        <xdr:cNvSpPr>
          <a:spLocks noChangeArrowheads="1"/>
        </xdr:cNvSpPr>
      </xdr:nvSpPr>
      <xdr:spPr bwMode="auto">
        <a:xfrm>
          <a:off x="485775" y="3152775"/>
          <a:ext cx="1066800" cy="3429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エラーログ sample</a:t>
          </a:r>
        </a:p>
      </xdr:txBody>
    </xdr:sp>
    <xdr:clientData/>
  </xdr:twoCellAnchor>
  <xdr:twoCellAnchor editAs="oneCell">
    <xdr:from>
      <xdr:col>1</xdr:col>
      <xdr:colOff>266700</xdr:colOff>
      <xdr:row>7</xdr:row>
      <xdr:rowOff>57150</xdr:rowOff>
    </xdr:from>
    <xdr:to>
      <xdr:col>8</xdr:col>
      <xdr:colOff>152400</xdr:colOff>
      <xdr:row>9</xdr:row>
      <xdr:rowOff>180975</xdr:rowOff>
    </xdr:to>
    <xdr:pic>
      <xdr:nvPicPr>
        <xdr:cNvPr id="4" name="Picture 15">
          <a:extLst>
            <a:ext uri="{FF2B5EF4-FFF2-40B4-BE49-F238E27FC236}">
              <a16:creationId xmlns:a16="http://schemas.microsoft.com/office/drawing/2014/main" id="{30A3D2B1-B6F9-4363-B7AB-B87FBC27D6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14350" y="150495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17</xdr:row>
      <xdr:rowOff>104775</xdr:rowOff>
    </xdr:from>
    <xdr:to>
      <xdr:col>8</xdr:col>
      <xdr:colOff>161925</xdr:colOff>
      <xdr:row>20</xdr:row>
      <xdr:rowOff>28575</xdr:rowOff>
    </xdr:to>
    <xdr:pic>
      <xdr:nvPicPr>
        <xdr:cNvPr id="5" name="Picture 16">
          <a:extLst>
            <a:ext uri="{FF2B5EF4-FFF2-40B4-BE49-F238E27FC236}">
              <a16:creationId xmlns:a16="http://schemas.microsoft.com/office/drawing/2014/main" id="{D4DD8FBF-6E3D-4242-891D-AF22C8292F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875" y="352425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2</xdr:col>
      <xdr:colOff>76200</xdr:colOff>
      <xdr:row>25</xdr:row>
      <xdr:rowOff>152400</xdr:rowOff>
    </xdr:from>
    <xdr:to>
      <xdr:col>6</xdr:col>
      <xdr:colOff>219075</xdr:colOff>
      <xdr:row>28</xdr:row>
      <xdr:rowOff>66675</xdr:rowOff>
    </xdr:to>
    <xdr:sp macro="" textlink="">
      <xdr:nvSpPr>
        <xdr:cNvPr id="6" name="Rectangle 19">
          <a:extLst>
            <a:ext uri="{FF2B5EF4-FFF2-40B4-BE49-F238E27FC236}">
              <a16:creationId xmlns:a16="http://schemas.microsoft.com/office/drawing/2014/main" id="{88D27C1A-AF53-4398-B8D4-6C209A9F79FF}"/>
            </a:ext>
          </a:extLst>
        </xdr:cNvPr>
        <xdr:cNvSpPr>
          <a:spLocks noChangeArrowheads="1"/>
        </xdr:cNvSpPr>
      </xdr:nvSpPr>
      <xdr:spPr bwMode="auto">
        <a:xfrm>
          <a:off x="676275" y="5143500"/>
          <a:ext cx="2438400" cy="514350"/>
        </a:xfrm>
        <a:prstGeom prst="rect">
          <a:avLst/>
        </a:prstGeom>
        <a:solidFill>
          <a:srgbClr xmlns:mc="http://schemas.openxmlformats.org/markup-compatibility/2006" xmlns:a14="http://schemas.microsoft.com/office/drawing/2010/main" val="FFFFFF" mc:Ignorable="a14" a14:legacySpreadsheetColorIndex="65"/>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18288" anchor="ctr" upright="1"/>
        <a:lstStyle/>
        <a:p>
          <a:pPr algn="l" rtl="0">
            <a:lnSpc>
              <a:spcPts val="1200"/>
            </a:lnSpc>
            <a:defRPr sz="1000"/>
          </a:pPr>
          <a:r>
            <a:rPr lang="ja-JP" altLang="en-US" sz="1100" b="0" i="0" u="none" strike="noStrike" baseline="0">
              <a:solidFill>
                <a:srgbClr val="000000"/>
              </a:solidFill>
              <a:latin typeface="ＭＳ Ｐゴシック"/>
              <a:ea typeface="ＭＳ Ｐゴシック"/>
            </a:rPr>
            <a:t>　　輸入部品オーダー　  20123件</a:t>
          </a:r>
        </a:p>
        <a:p>
          <a:pPr algn="l" rtl="0">
            <a:lnSpc>
              <a:spcPts val="1200"/>
            </a:lnSpc>
            <a:defRPr sz="1000"/>
          </a:pPr>
          <a:r>
            <a:rPr lang="ja-JP" altLang="en-US" sz="1100" b="0" i="0" u="none" strike="noStrike" baseline="0">
              <a:solidFill>
                <a:srgbClr val="000000"/>
              </a:solidFill>
              <a:latin typeface="ＭＳ Ｐゴシック"/>
              <a:ea typeface="ＭＳ Ｐゴシック"/>
            </a:rPr>
            <a:t>　　メーカーマスタ       149732件</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lobalymc.sharepoint.com/&#65297;&#65296;&#32076;&#21942;/&#26376;&#27425;&#27770;&#31639;/&#65296;&#65299;&#19979;&#26399;/&#26376;&#27425;&#27770;&#31639;/&#19978;&#26399;&#20206;&#27770;&#31639;&#22577;&#21578;&#32207;&#3492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portal:9998/Documents%20and%20Settings/jiangr.NETVISTA/&#26700;&#38754;/0923/&#38144;&#21806;&#25910;&#27454;&#24490;&#29615;&#35774;&#35745;&#27169;&#22411;V831&#65288;&#21152;&#36733;&#6528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portal:9998/Documents%20and%20Settings/jiangr.NETVISTA/&#26700;&#38754;/0923/&#36130;&#21153;&#31649;&#29702;&#24490;&#29615;&#35774;&#35745;&#27169;&#22411;&#65288;&#21152;&#36733;&#65289;V90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ZL\&#35937;&#23679;&#22269;&#36816;\&#22269;&#36816;\&#23457;&#35745;&#35760;&#24405;\&#25253;&#34920;&#35843;&#25972;_&#22269;&#36816;&#26412;&#37096;.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lz1399\Desktop\IC&#22522;&#26412;&#35373;&#35336;\&#25104;&#26524;&#29289;&#12481;&#12455;&#12483;&#12463;\Java&#12496;&#12483;&#12481;\20250801\LDAJ0001_&#31292;&#20685;&#29366;&#27841;&#22793;&#26356;_&#12496;&#12483;&#12481;&#27231;&#33021;&#20181;&#27096;&#26360;_v1.00.xlsx" TargetMode="External"/><Relationship Id="rId1" Type="http://schemas.openxmlformats.org/officeDocument/2006/relationships/externalLinkPath" Target="https://globalymc.sharepoint.com/sites/YMSL_Teams_Sumafu_ERPgai/Shared%20Documents/00&#65294;&#29983;&#29987;&#35519;&#36948;&#12471;&#12473;&#12486;&#12512;&#37096;&#20849;&#36890;/10_YNS&#29983;&#29987;&#35519;&#36948;&#25913;&#38761;PJ/60_&#30456;&#35527;&#12539;&#26908;&#35342;&#20107;&#38917;/TCS&#26908;&#35342;/TCS&#12486;&#12531;&#12503;&#12524;&#12540;&#12488;/IC&#22522;&#26412;&#35373;&#35336;/&#25104;&#26524;&#29289;&#12481;&#12455;&#12483;&#12463;/Java&#12496;&#12483;&#12481;/20250801/LDAJ0001_&#31292;&#20685;&#29366;&#27841;&#22793;&#26356;_&#12496;&#12483;&#12481;&#27231;&#33021;&#20181;&#27096;&#26360;_v1.00.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portal:9998/zhouzhengchun/&#22825;&#20581;&#21326;&#22825;2003/&#25253;&#34920;&#35843;&#25972;&#31995;&#32479;-&#25253;&#20851;&#34892;-2003.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VEGAS\doc\KINMU\XLS\&#26085;&#39640;\&#21220;&#24608;&#34920;&#26085;&#39640;00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上期仮決算報告総表"/>
    </sheetNames>
    <definedNames>
      <definedName name="BS入力"/>
      <definedName name="PL入力"/>
      <definedName name="コメント入力"/>
      <definedName name="人員入力"/>
      <definedName name="総表印刷"/>
      <definedName name="売上入力"/>
    </defined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程序表模板"/>
      <sheetName val="系统表"/>
      <sheetName val="底稿目录"/>
      <sheetName val="索引"/>
      <sheetName val="科目选择"/>
      <sheetName val="标本-资产"/>
      <sheetName val="分录"/>
      <sheetName val="往来询证函"/>
      <sheetName val="信封模板"/>
      <sheetName val="往来函证表"/>
      <sheetName val="应收票据Dy"/>
      <sheetName val="应收票据Mx"/>
      <sheetName val="应收账款Dy"/>
      <sheetName val="应收账款Mx"/>
      <sheetName val="坏账准备_应收账款Dy"/>
      <sheetName val="坏账准备_应收账款Mx"/>
      <sheetName val="预收账款Dy"/>
      <sheetName val="预收账款Mx"/>
      <sheetName val="应交税金Dy"/>
      <sheetName val="应交税金mx1"/>
      <sheetName val="应交税金mx2"/>
      <sheetName val="应交税金mx3"/>
      <sheetName val="其他应交款Dy"/>
      <sheetName val="其他应交款mx"/>
      <sheetName val="主营业务收入Dy"/>
      <sheetName val="主营业务收入mx"/>
      <sheetName val="收入上年同期分析"/>
      <sheetName val="收入月份波动分析"/>
      <sheetName val="收入重要产品毛利分析"/>
      <sheetName val="收入重要客户分析"/>
      <sheetName val="收入销售发票核对"/>
      <sheetName val="收入截止测试"/>
      <sheetName val="营业费用Dy"/>
      <sheetName val="营业费用月份波动"/>
      <sheetName val="主营业务税金及附加Dy"/>
      <sheetName val="其他业务利润Dy"/>
      <sheetName val="其他业务利润明细表"/>
      <sheetName val="程序表原始数据"/>
      <sheetName val="初期値"/>
    </sheetNames>
    <sheetDataSet>
      <sheetData sheetId="0" refreshError="1"/>
      <sheetData sheetId="1" refreshError="1"/>
      <sheetData sheetId="2" refreshError="1"/>
      <sheetData sheetId="3"/>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系统表"/>
      <sheetName val="底稿目录"/>
      <sheetName val="索引"/>
      <sheetName val="往来询证函"/>
      <sheetName val="银行询证函"/>
      <sheetName val="科目选择"/>
      <sheetName val="分录"/>
      <sheetName val="信封模板"/>
      <sheetName val="往来函证表"/>
      <sheetName val="银行函证表"/>
      <sheetName val="货币资金Dy"/>
      <sheetName val="货币资金Mx"/>
      <sheetName val="程序表模板"/>
      <sheetName val="现金Dy"/>
      <sheetName val="现金盘点表"/>
      <sheetName val="银行存款Dy"/>
      <sheetName val="其他货币资金Dy"/>
      <sheetName val="短期投资Dy"/>
      <sheetName val="短期投资Mx"/>
      <sheetName val="短期投资跌价准备Dy"/>
      <sheetName val="短期投资跌价准备mx"/>
      <sheetName val="委托贷款Dy"/>
      <sheetName val="委托贷款mx"/>
      <sheetName val="应收股利Dy"/>
      <sheetName val="应收股利mx"/>
      <sheetName val="应收利息Dy"/>
      <sheetName val="应收利息mx"/>
      <sheetName val="应收补贴款Dy"/>
      <sheetName val="应收补贴款mx"/>
      <sheetName val="其他应收款Dy"/>
      <sheetName val="其他应收款mx"/>
      <sheetName val="坏账准备_其他应收款Dy"/>
      <sheetName val="坏账准备_其他应收款Mx"/>
      <sheetName val="其他流动资产Dy"/>
      <sheetName val="其他流动资产mx"/>
      <sheetName val="长期股权投资Dy"/>
      <sheetName val="长期股权投资Mx1"/>
      <sheetName val="长期股权投资Mx2"/>
      <sheetName val="长期投资减值准备Dy"/>
      <sheetName val="长期投资减值准备mx"/>
      <sheetName val="长期债权投资Dy"/>
      <sheetName val="长期债权投资Mx"/>
      <sheetName val="无形资产Dy"/>
      <sheetName val="无形资产Mx"/>
      <sheetName val="无形资产减值准备Dy"/>
      <sheetName val="无形资产减值准备mx"/>
      <sheetName val="长期待摊费用Dy"/>
      <sheetName val="长期待摊费用Mx"/>
      <sheetName val="短期借款Dy"/>
      <sheetName val="短期借款Mx"/>
      <sheetName val="短期借款利息测算"/>
      <sheetName val="应付股利Dy"/>
      <sheetName val="应付股利mx"/>
      <sheetName val="其他应付款Dy"/>
      <sheetName val="其他应付款mx"/>
      <sheetName val="内部往来Dy"/>
      <sheetName val="内部往来Mx"/>
      <sheetName val="一年内到期的长期负债Dy"/>
      <sheetName val="一年内到期的长期负债mx"/>
      <sheetName val="长期借款Dy"/>
      <sheetName val="长期借款Mx"/>
      <sheetName val="长期借款利息测算"/>
      <sheetName val="应付债券Dy"/>
      <sheetName val="应付债券Mx"/>
      <sheetName val="长期应付款Dy"/>
      <sheetName val="长期应付款mx"/>
      <sheetName val="专项应付款Dy"/>
      <sheetName val="专项应付款Mx"/>
      <sheetName val="股本Dy"/>
      <sheetName val="股本Mx"/>
      <sheetName val="资本公积Dy"/>
      <sheetName val="资本公积mx"/>
      <sheetName val="盈余公积Dy"/>
      <sheetName val="盈余公积mx"/>
      <sheetName val="未分配利润Dy"/>
      <sheetName val="管理费用Dy"/>
      <sheetName val="管理费用月份波动"/>
      <sheetName val="财务费用Dy"/>
      <sheetName val="投资收益Dy"/>
      <sheetName val="补贴收入Dy"/>
      <sheetName val="营业外收入Dy"/>
      <sheetName val="营业外支出Dy"/>
      <sheetName val="所得税Dy"/>
      <sheetName val="所得税纳税调整"/>
      <sheetName val="以前年度损益调整Dy"/>
      <sheetName val="标本-资产"/>
      <sheetName val="程序表原始数据"/>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sheetData sheetId="11" refreshError="1"/>
      <sheetData sheetId="12" refreshError="1"/>
      <sheetData sheetId="13" refreshError="1"/>
      <sheetData sheetId="14" refreshError="1"/>
      <sheetData sheetId="15"/>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主菜单"/>
      <sheetName val="导引表"/>
      <sheetName val="未审BS"/>
      <sheetName val="图表1"/>
      <sheetName val="未审IS"/>
      <sheetName val="未审分析"/>
      <sheetName val="AJE"/>
      <sheetName val="RJE"/>
      <sheetName val="TB_BS"/>
      <sheetName val="TB_IS"/>
      <sheetName val="TAX"/>
      <sheetName val="已审BS"/>
      <sheetName val="已审IS"/>
      <sheetName val="现金流量表"/>
      <sheetName val="CF_基础数据"/>
      <sheetName val="CF_前导表"/>
      <sheetName val="CF_补充分录"/>
      <sheetName val="CF_分析分录"/>
      <sheetName val="已审CF"/>
      <sheetName val="已审分析"/>
      <sheetName val="比率分析表"/>
      <sheetName val="分录"/>
      <sheetName val="评价标准"/>
      <sheetName val="报表调整_国运本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更新履歴"/>
      <sheetName val="処理概要"/>
      <sheetName val="バッチ機能仕様"/>
      <sheetName val="ファイル編集仕様書(ファイルIDorIF_ID)"/>
      <sheetName val="帳票編集仕様書(帳票ID)"/>
      <sheetName val="入出力一覧"/>
      <sheetName val="ファイルレイアウト"/>
      <sheetName val="帳票概要・レイアウト"/>
      <sheetName val="帳票項目定義"/>
      <sheetName val="概要図凡例"/>
      <sheetName val="入力選択肢"/>
      <sheetName val="補足１"/>
      <sheetName val="サンプル→"/>
      <sheetName val="処理概要_sample"/>
      <sheetName val="バッチ機能仕様_sample"/>
      <sheetName val="帳票編集仕様書(REP001)_sample"/>
      <sheetName val="入出力一覧_sample"/>
      <sheetName val="LDAJ0001_稼働状況変更_バッチ機能仕様書_v1.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索引"/>
      <sheetName val="业务信息"/>
      <sheetName val="单体BS"/>
      <sheetName val="单体IS"/>
      <sheetName val="单体CF"/>
      <sheetName val="减值准备"/>
      <sheetName val="合并BS"/>
      <sheetName val="合并IS"/>
      <sheetName val="合并CF"/>
      <sheetName val="分录"/>
    </sheetNames>
    <sheetDataSet>
      <sheetData sheetId="0" refreshError="1">
        <row r="4">
          <cell r="C4" t="str">
            <v>厦门象屿报关行有限公司</v>
          </cell>
        </row>
        <row r="6">
          <cell r="C6">
            <v>37986</v>
          </cell>
        </row>
        <row r="8">
          <cell r="C8" t="str">
            <v>年末数在前</v>
          </cell>
        </row>
      </sheetData>
      <sheetData sheetId="1" refreshError="1"/>
      <sheetData sheetId="2"/>
      <sheetData sheetId="3"/>
      <sheetData sheetId="4" refreshError="1"/>
      <sheetData sheetId="5" refreshError="1"/>
      <sheetData sheetId="6" refreshError="1"/>
      <sheetData sheetId="7"/>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勤怠表"/>
      <sheetName val="初期値"/>
      <sheetName val="已审CF"/>
      <sheetName val="BaseSheet1"/>
      <sheetName val="勤怠表日高0012"/>
      <sheetName val="JOBID"/>
      <sheetName val="代表ID"/>
      <sheetName val="見積基礎値"/>
      <sheetName val="見積り内訳"/>
      <sheetName val="仕入業者コード"/>
      <sheetName val="得意先コード"/>
      <sheetName val="WBS1"/>
      <sheetName val="基本契約KFC"/>
      <sheetName val="選択肢"/>
      <sheetName val="ｼﾞｪﾈﾚｰﾄ準備"/>
      <sheetName val="工数"/>
      <sheetName val="間接・販管費率"/>
      <sheetName val="データディクショナリィ"/>
      <sheetName val="査読ｼｰﾄ"/>
      <sheetName val="決定一覧９年度"/>
      <sheetName val="マスタ"/>
      <sheetName val="作業手順書"/>
      <sheetName val="作業手順書（復旧手順）"/>
      <sheetName val="体制図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12700" cap="flat" cmpd="sng" algn="ctr">
          <a:solidFill>
            <a:srgbClr val="FF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12700" cap="flat" cmpd="sng" algn="ctr">
          <a:solidFill>
            <a:srgbClr val="FF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DEF5B-C835-4400-AC81-D786F6122B44}">
  <sheetPr codeName="Sheet1"/>
  <dimension ref="B12:H28"/>
  <sheetViews>
    <sheetView showGridLines="0" tabSelected="1" zoomScale="130" zoomScaleNormal="130" workbookViewId="0"/>
  </sheetViews>
  <sheetFormatPr defaultColWidth="9.36328125" defaultRowHeight="15"/>
  <cols>
    <col min="1" max="1" width="1.6328125" style="1" customWidth="1"/>
    <col min="2" max="2" width="8.08984375" style="1" customWidth="1"/>
    <col min="3" max="8" width="9.36328125" style="1"/>
    <col min="9" max="9" width="1.453125" style="1" customWidth="1"/>
    <col min="10" max="16384" width="9.36328125" style="1"/>
  </cols>
  <sheetData>
    <row r="12" spans="2:8">
      <c r="B12" s="396" t="s">
        <v>6</v>
      </c>
      <c r="C12" s="398"/>
      <c r="D12" s="396" t="s">
        <v>7</v>
      </c>
      <c r="E12" s="398"/>
      <c r="F12" s="396" t="s">
        <v>8</v>
      </c>
      <c r="G12" s="397"/>
      <c r="H12" s="398"/>
    </row>
    <row r="13" spans="2:8">
      <c r="B13" s="401" t="s">
        <v>4</v>
      </c>
      <c r="C13" s="403"/>
      <c r="D13" s="407" t="s">
        <v>80</v>
      </c>
      <c r="E13" s="407"/>
      <c r="F13" s="408" t="s">
        <v>81</v>
      </c>
      <c r="G13" s="408"/>
      <c r="H13" s="408"/>
    </row>
    <row r="16" spans="2:8">
      <c r="B16" s="396" t="s">
        <v>9</v>
      </c>
      <c r="C16" s="398"/>
      <c r="D16" s="401" t="s">
        <v>10</v>
      </c>
      <c r="E16" s="402"/>
      <c r="F16" s="402"/>
      <c r="G16" s="402"/>
      <c r="H16" s="403"/>
    </row>
    <row r="17" spans="2:8">
      <c r="B17" s="396" t="s">
        <v>11</v>
      </c>
      <c r="C17" s="398"/>
      <c r="D17" s="401"/>
      <c r="E17" s="402"/>
      <c r="F17" s="402"/>
      <c r="G17" s="402"/>
      <c r="H17" s="403"/>
    </row>
    <row r="18" spans="2:8">
      <c r="B18" s="396" t="s">
        <v>12</v>
      </c>
      <c r="C18" s="398"/>
      <c r="D18" s="404"/>
      <c r="E18" s="405"/>
      <c r="F18" s="405"/>
      <c r="G18" s="405"/>
      <c r="H18" s="406"/>
    </row>
    <row r="20" spans="2:8">
      <c r="B20" s="396" t="s">
        <v>13</v>
      </c>
      <c r="C20" s="397"/>
      <c r="D20" s="397"/>
      <c r="E20" s="397"/>
      <c r="F20" s="397"/>
      <c r="G20" s="397"/>
      <c r="H20" s="398"/>
    </row>
    <row r="21" spans="2:8">
      <c r="B21" s="2"/>
      <c r="C21" s="399" t="s">
        <v>1</v>
      </c>
      <c r="D21" s="400"/>
      <c r="E21" s="399" t="s">
        <v>0</v>
      </c>
      <c r="F21" s="400"/>
      <c r="G21" s="399" t="s">
        <v>14</v>
      </c>
      <c r="H21" s="400"/>
    </row>
    <row r="22" spans="2:8">
      <c r="B22" s="3" t="s">
        <v>15</v>
      </c>
      <c r="C22" s="394" t="s">
        <v>84</v>
      </c>
      <c r="D22" s="394"/>
      <c r="E22" s="394"/>
      <c r="F22" s="394"/>
      <c r="G22" s="394"/>
      <c r="H22" s="394"/>
    </row>
    <row r="23" spans="2:8">
      <c r="B23" s="3" t="s">
        <v>2</v>
      </c>
      <c r="C23" s="395"/>
      <c r="D23" s="394"/>
      <c r="E23" s="395"/>
      <c r="F23" s="394"/>
      <c r="G23" s="395"/>
      <c r="H23" s="394"/>
    </row>
    <row r="25" spans="2:8">
      <c r="B25" s="396" t="s">
        <v>16</v>
      </c>
      <c r="C25" s="397"/>
      <c r="D25" s="397"/>
      <c r="E25" s="397"/>
      <c r="F25" s="397"/>
      <c r="G25" s="397"/>
      <c r="H25" s="398"/>
    </row>
    <row r="26" spans="2:8">
      <c r="B26" s="2"/>
      <c r="C26" s="399" t="s">
        <v>17</v>
      </c>
      <c r="D26" s="400"/>
      <c r="E26" s="399" t="s">
        <v>0</v>
      </c>
      <c r="F26" s="400"/>
      <c r="G26" s="399" t="s">
        <v>14</v>
      </c>
      <c r="H26" s="400"/>
    </row>
    <row r="27" spans="2:8">
      <c r="B27" s="3" t="s">
        <v>15</v>
      </c>
      <c r="C27" s="434" t="s">
        <v>570</v>
      </c>
      <c r="D27" s="435"/>
      <c r="E27" s="394"/>
      <c r="F27" s="394"/>
      <c r="G27" s="394"/>
      <c r="H27" s="394"/>
    </row>
    <row r="28" spans="2:8">
      <c r="B28" s="3" t="s">
        <v>2</v>
      </c>
      <c r="C28" s="436">
        <v>45960</v>
      </c>
      <c r="D28" s="435"/>
      <c r="E28" s="395"/>
      <c r="F28" s="394"/>
      <c r="G28" s="395"/>
      <c r="H28" s="394"/>
    </row>
  </sheetData>
  <mergeCells count="32">
    <mergeCell ref="B12:C12"/>
    <mergeCell ref="D12:E12"/>
    <mergeCell ref="F12:H12"/>
    <mergeCell ref="B13:C13"/>
    <mergeCell ref="D13:E13"/>
    <mergeCell ref="F13:H13"/>
    <mergeCell ref="B16:C16"/>
    <mergeCell ref="D16:H16"/>
    <mergeCell ref="B17:C17"/>
    <mergeCell ref="D17:H17"/>
    <mergeCell ref="B18:C18"/>
    <mergeCell ref="D18:H18"/>
    <mergeCell ref="B20:H20"/>
    <mergeCell ref="C21:D21"/>
    <mergeCell ref="E21:F21"/>
    <mergeCell ref="G21:H21"/>
    <mergeCell ref="C22:D22"/>
    <mergeCell ref="E22:F22"/>
    <mergeCell ref="G22:H22"/>
    <mergeCell ref="C23:D23"/>
    <mergeCell ref="E23:F23"/>
    <mergeCell ref="G23:H23"/>
    <mergeCell ref="B25:H25"/>
    <mergeCell ref="C26:D26"/>
    <mergeCell ref="E26:F26"/>
    <mergeCell ref="G26:H26"/>
    <mergeCell ref="C27:D27"/>
    <mergeCell ref="E27:F27"/>
    <mergeCell ref="G27:H27"/>
    <mergeCell ref="C28:D28"/>
    <mergeCell ref="E28:F28"/>
    <mergeCell ref="G28:H28"/>
  </mergeCells>
  <phoneticPr fontId="3"/>
  <printOptions horizontalCentered="1"/>
  <pageMargins left="0.70866141732283472" right="0.70866141732283472" top="0.74803149606299213" bottom="0.74803149606299213" header="0.31496062992125984" footer="0.31496062992125984"/>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87DBC-3145-4791-B23A-D2687C76D98E}">
  <sheetPr codeName="Sheet2"/>
  <dimension ref="B2:L27"/>
  <sheetViews>
    <sheetView zoomScaleNormal="100" zoomScaleSheetLayoutView="100" workbookViewId="0">
      <selection activeCell="C4" sqref="C4"/>
    </sheetView>
  </sheetViews>
  <sheetFormatPr defaultColWidth="7.453125" defaultRowHeight="15"/>
  <cols>
    <col min="1" max="1" width="2.90625" style="5" customWidth="1"/>
    <col min="2" max="2" width="6.26953125" style="5" bestFit="1" customWidth="1"/>
    <col min="3" max="3" width="19.26953125" style="5" customWidth="1"/>
    <col min="4" max="4" width="8" style="5" customWidth="1"/>
    <col min="5" max="5" width="13.36328125" style="5" customWidth="1"/>
    <col min="6" max="6" width="42" style="5" customWidth="1"/>
    <col min="7" max="7" width="11.08984375" style="5" bestFit="1" customWidth="1"/>
    <col min="8" max="8" width="8" style="5" customWidth="1"/>
    <col min="9" max="9" width="11.08984375" style="5" bestFit="1" customWidth="1"/>
    <col min="10" max="10" width="8" style="5" customWidth="1"/>
    <col min="11" max="11" width="44.08984375" style="5" customWidth="1"/>
    <col min="12" max="12" width="3.6328125" style="5" customWidth="1"/>
    <col min="13" max="16384" width="7.453125" style="5"/>
  </cols>
  <sheetData>
    <row r="2" spans="2:12">
      <c r="B2" s="4" t="s">
        <v>18</v>
      </c>
      <c r="C2" s="4" t="s">
        <v>19</v>
      </c>
      <c r="D2" s="4" t="s">
        <v>5</v>
      </c>
      <c r="E2" s="4" t="s">
        <v>20</v>
      </c>
      <c r="F2" s="4" t="s">
        <v>21</v>
      </c>
      <c r="G2" s="4" t="s">
        <v>22</v>
      </c>
      <c r="H2" s="4" t="s">
        <v>23</v>
      </c>
      <c r="I2" s="4" t="s">
        <v>24</v>
      </c>
      <c r="J2" s="4" t="s">
        <v>25</v>
      </c>
      <c r="K2" s="4" t="s">
        <v>26</v>
      </c>
    </row>
    <row r="3" spans="2:12">
      <c r="B3" s="6">
        <v>1</v>
      </c>
      <c r="C3" s="437">
        <v>45960</v>
      </c>
      <c r="D3" s="438" t="s">
        <v>570</v>
      </c>
      <c r="E3" s="439"/>
      <c r="F3" s="440" t="s">
        <v>571</v>
      </c>
      <c r="G3" s="7"/>
      <c r="H3" s="8"/>
      <c r="I3" s="7"/>
      <c r="J3" s="8"/>
      <c r="K3" s="8"/>
      <c r="L3" s="5" t="s">
        <v>27</v>
      </c>
    </row>
    <row r="4" spans="2:12">
      <c r="B4" s="6"/>
      <c r="C4" s="8"/>
      <c r="D4" s="8"/>
      <c r="E4" s="8"/>
      <c r="F4" s="8"/>
      <c r="G4" s="8"/>
      <c r="H4" s="8"/>
      <c r="I4" s="8"/>
      <c r="J4" s="8"/>
      <c r="K4" s="8"/>
      <c r="L4" s="5" t="s">
        <v>27</v>
      </c>
    </row>
    <row r="5" spans="2:12">
      <c r="B5" s="6"/>
      <c r="C5" s="8"/>
      <c r="D5" s="8"/>
      <c r="E5" s="8"/>
      <c r="F5" s="8"/>
      <c r="G5" s="8"/>
      <c r="H5" s="8"/>
      <c r="I5" s="8"/>
      <c r="J5" s="8"/>
      <c r="K5" s="8"/>
      <c r="L5" s="5" t="s">
        <v>27</v>
      </c>
    </row>
    <row r="6" spans="2:12">
      <c r="B6" s="6"/>
      <c r="C6" s="8"/>
      <c r="D6" s="8"/>
      <c r="E6" s="8"/>
      <c r="F6" s="8"/>
      <c r="G6" s="8"/>
      <c r="H6" s="8"/>
      <c r="I6" s="8"/>
      <c r="J6" s="8"/>
      <c r="K6" s="8"/>
      <c r="L6" s="5" t="s">
        <v>27</v>
      </c>
    </row>
    <row r="7" spans="2:12">
      <c r="B7" s="6"/>
      <c r="C7" s="8"/>
      <c r="D7" s="8"/>
      <c r="E7" s="8"/>
      <c r="F7" s="8"/>
      <c r="G7" s="8"/>
      <c r="H7" s="8"/>
      <c r="I7" s="8"/>
      <c r="J7" s="8"/>
      <c r="K7" s="8"/>
      <c r="L7" s="5" t="s">
        <v>27</v>
      </c>
    </row>
    <row r="8" spans="2:12">
      <c r="B8" s="6"/>
      <c r="C8" s="8"/>
      <c r="D8" s="8"/>
      <c r="E8" s="8"/>
      <c r="F8" s="8"/>
      <c r="G8" s="8"/>
      <c r="H8" s="8"/>
      <c r="I8" s="8"/>
      <c r="J8" s="8"/>
      <c r="K8" s="8"/>
      <c r="L8" s="5" t="s">
        <v>27</v>
      </c>
    </row>
    <row r="9" spans="2:12">
      <c r="B9" s="6"/>
      <c r="C9" s="8"/>
      <c r="D9" s="8"/>
      <c r="E9" s="8"/>
      <c r="F9" s="8"/>
      <c r="G9" s="8"/>
      <c r="H9" s="8"/>
      <c r="I9" s="8"/>
      <c r="J9" s="8"/>
      <c r="K9" s="8"/>
      <c r="L9" s="5" t="s">
        <v>27</v>
      </c>
    </row>
    <row r="10" spans="2:12">
      <c r="B10" s="6"/>
      <c r="C10" s="8"/>
      <c r="D10" s="8"/>
      <c r="E10" s="8"/>
      <c r="F10" s="8"/>
      <c r="G10" s="8"/>
      <c r="H10" s="8"/>
      <c r="I10" s="8"/>
      <c r="J10" s="8"/>
      <c r="K10" s="8"/>
      <c r="L10" s="5" t="s">
        <v>27</v>
      </c>
    </row>
    <row r="11" spans="2:12">
      <c r="B11" s="6"/>
      <c r="C11" s="8"/>
      <c r="D11" s="8"/>
      <c r="E11" s="8"/>
      <c r="F11" s="8"/>
      <c r="G11" s="8"/>
      <c r="H11" s="8"/>
      <c r="I11" s="8"/>
      <c r="J11" s="8"/>
      <c r="K11" s="8"/>
      <c r="L11" s="5" t="s">
        <v>27</v>
      </c>
    </row>
    <row r="12" spans="2:12">
      <c r="B12" s="6"/>
      <c r="C12" s="8"/>
      <c r="D12" s="8"/>
      <c r="E12" s="8"/>
      <c r="F12" s="8"/>
      <c r="G12" s="8"/>
      <c r="H12" s="8"/>
      <c r="I12" s="8"/>
      <c r="J12" s="8"/>
      <c r="K12" s="8"/>
      <c r="L12" s="5" t="s">
        <v>27</v>
      </c>
    </row>
    <row r="13" spans="2:12">
      <c r="B13" s="6"/>
      <c r="C13" s="8"/>
      <c r="D13" s="8"/>
      <c r="E13" s="8"/>
      <c r="F13" s="8"/>
      <c r="G13" s="8"/>
      <c r="H13" s="8"/>
      <c r="I13" s="8"/>
      <c r="J13" s="8"/>
      <c r="K13" s="8"/>
      <c r="L13" s="5" t="s">
        <v>27</v>
      </c>
    </row>
    <row r="14" spans="2:12">
      <c r="B14" s="6"/>
      <c r="C14" s="8"/>
      <c r="D14" s="8"/>
      <c r="E14" s="8"/>
      <c r="F14" s="8"/>
      <c r="G14" s="8"/>
      <c r="H14" s="8"/>
      <c r="I14" s="8"/>
      <c r="J14" s="8"/>
      <c r="K14" s="8"/>
      <c r="L14" s="5" t="s">
        <v>27</v>
      </c>
    </row>
    <row r="15" spans="2:12">
      <c r="B15" s="6"/>
      <c r="C15" s="8"/>
      <c r="D15" s="8"/>
      <c r="E15" s="8"/>
      <c r="F15" s="8"/>
      <c r="G15" s="8"/>
      <c r="H15" s="8"/>
      <c r="I15" s="8"/>
      <c r="J15" s="8"/>
      <c r="K15" s="8"/>
      <c r="L15" s="5" t="s">
        <v>27</v>
      </c>
    </row>
    <row r="16" spans="2:12">
      <c r="B16" s="6"/>
      <c r="C16" s="8"/>
      <c r="D16" s="8"/>
      <c r="E16" s="8"/>
      <c r="F16" s="8"/>
      <c r="G16" s="8"/>
      <c r="H16" s="8"/>
      <c r="I16" s="8"/>
      <c r="J16" s="8"/>
      <c r="K16" s="8"/>
      <c r="L16" s="5" t="s">
        <v>27</v>
      </c>
    </row>
    <row r="17" spans="2:12">
      <c r="B17" s="6"/>
      <c r="C17" s="8"/>
      <c r="D17" s="8"/>
      <c r="E17" s="8"/>
      <c r="F17" s="8"/>
      <c r="G17" s="8"/>
      <c r="H17" s="8"/>
      <c r="I17" s="8"/>
      <c r="J17" s="8"/>
      <c r="K17" s="8"/>
      <c r="L17" s="5" t="s">
        <v>27</v>
      </c>
    </row>
    <row r="18" spans="2:12">
      <c r="B18" s="6"/>
      <c r="C18" s="8"/>
      <c r="D18" s="8"/>
      <c r="E18" s="8"/>
      <c r="F18" s="8"/>
      <c r="G18" s="8"/>
      <c r="H18" s="8"/>
      <c r="I18" s="8"/>
      <c r="J18" s="8"/>
      <c r="K18" s="8"/>
      <c r="L18" s="5" t="s">
        <v>27</v>
      </c>
    </row>
    <row r="19" spans="2:12">
      <c r="B19" s="6"/>
      <c r="C19" s="8"/>
      <c r="D19" s="8"/>
      <c r="E19" s="8"/>
      <c r="F19" s="8"/>
      <c r="G19" s="8"/>
      <c r="H19" s="8"/>
      <c r="I19" s="8"/>
      <c r="J19" s="8"/>
      <c r="K19" s="8"/>
      <c r="L19" s="5" t="s">
        <v>27</v>
      </c>
    </row>
    <row r="20" spans="2:12">
      <c r="B20" s="6"/>
      <c r="C20" s="8"/>
      <c r="D20" s="8"/>
      <c r="E20" s="8"/>
      <c r="F20" s="8"/>
      <c r="G20" s="8"/>
      <c r="H20" s="8"/>
      <c r="I20" s="8"/>
      <c r="J20" s="8"/>
      <c r="K20" s="8"/>
      <c r="L20" s="5" t="s">
        <v>27</v>
      </c>
    </row>
    <row r="21" spans="2:12">
      <c r="B21" s="6"/>
      <c r="C21" s="8"/>
      <c r="D21" s="8"/>
      <c r="E21" s="8"/>
      <c r="F21" s="8"/>
      <c r="G21" s="8"/>
      <c r="H21" s="8"/>
      <c r="I21" s="8"/>
      <c r="J21" s="8"/>
      <c r="K21" s="8"/>
      <c r="L21" s="5" t="s">
        <v>27</v>
      </c>
    </row>
    <row r="22" spans="2:12">
      <c r="B22" s="6"/>
      <c r="C22" s="8"/>
      <c r="D22" s="8"/>
      <c r="E22" s="8"/>
      <c r="F22" s="8"/>
      <c r="G22" s="8"/>
      <c r="H22" s="8"/>
      <c r="I22" s="8"/>
      <c r="J22" s="8"/>
      <c r="K22" s="8"/>
      <c r="L22" s="5" t="s">
        <v>27</v>
      </c>
    </row>
    <row r="23" spans="2:12">
      <c r="B23" s="6"/>
      <c r="C23" s="8"/>
      <c r="D23" s="8"/>
      <c r="E23" s="8"/>
      <c r="F23" s="8"/>
      <c r="G23" s="8"/>
      <c r="H23" s="8"/>
      <c r="I23" s="8"/>
      <c r="J23" s="8"/>
      <c r="K23" s="8"/>
      <c r="L23" s="5" t="s">
        <v>27</v>
      </c>
    </row>
    <row r="24" spans="2:12">
      <c r="B24" s="6"/>
      <c r="C24" s="8"/>
      <c r="D24" s="8"/>
      <c r="E24" s="8"/>
      <c r="F24" s="8"/>
      <c r="G24" s="8"/>
      <c r="H24" s="8"/>
      <c r="I24" s="8"/>
      <c r="J24" s="8"/>
      <c r="K24" s="8"/>
      <c r="L24" s="5" t="s">
        <v>27</v>
      </c>
    </row>
    <row r="25" spans="2:12">
      <c r="B25" s="6"/>
      <c r="C25" s="8"/>
      <c r="D25" s="8"/>
      <c r="E25" s="8"/>
      <c r="F25" s="8"/>
      <c r="G25" s="8"/>
      <c r="H25" s="8"/>
      <c r="I25" s="8"/>
      <c r="J25" s="8"/>
      <c r="K25" s="8"/>
      <c r="L25" s="5" t="s">
        <v>27</v>
      </c>
    </row>
    <row r="26" spans="2:12">
      <c r="B26" s="6"/>
      <c r="C26" s="8"/>
      <c r="D26" s="8"/>
      <c r="E26" s="8"/>
      <c r="F26" s="8"/>
      <c r="G26" s="8"/>
      <c r="H26" s="8"/>
      <c r="I26" s="7"/>
      <c r="J26" s="8"/>
      <c r="K26" s="8"/>
      <c r="L26" s="5" t="s">
        <v>27</v>
      </c>
    </row>
    <row r="27" spans="2:12">
      <c r="B27" s="5" t="s">
        <v>27</v>
      </c>
      <c r="C27" s="5" t="s">
        <v>27</v>
      </c>
      <c r="D27" s="5" t="s">
        <v>27</v>
      </c>
      <c r="E27" s="5" t="s">
        <v>27</v>
      </c>
      <c r="F27" s="5" t="s">
        <v>27</v>
      </c>
      <c r="G27" s="5" t="s">
        <v>27</v>
      </c>
      <c r="H27" s="5" t="s">
        <v>27</v>
      </c>
      <c r="I27" s="5" t="s">
        <v>27</v>
      </c>
      <c r="J27" s="5" t="s">
        <v>27</v>
      </c>
      <c r="K27" s="5" t="s">
        <v>27</v>
      </c>
    </row>
  </sheetData>
  <phoneticPr fontId="3"/>
  <pageMargins left="0.7" right="0.7" top="0.75" bottom="0.75" header="0.3" footer="0.3"/>
  <pageSetup paperSize="9" scale="10"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9CF0E-B3DC-427B-811A-6C994A1DBB31}">
  <sheetPr codeName="Sheet3"/>
  <dimension ref="A2:N199"/>
  <sheetViews>
    <sheetView showGridLines="0" zoomScale="115" zoomScaleNormal="115" workbookViewId="0">
      <pane ySplit="5" topLeftCell="A6" activePane="bottomLeft" state="frozen"/>
      <selection pane="bottomLeft"/>
    </sheetView>
  </sheetViews>
  <sheetFormatPr defaultColWidth="9" defaultRowHeight="12.5"/>
  <cols>
    <col min="1" max="1" width="6.7265625" style="9" customWidth="1"/>
    <col min="2" max="2" width="25.36328125" style="14" customWidth="1"/>
    <col min="3" max="3" width="22.36328125" style="14" customWidth="1"/>
    <col min="4" max="4" width="36.90625" style="14" bestFit="1" customWidth="1"/>
    <col min="5" max="5" width="36.90625" style="14" customWidth="1"/>
    <col min="6" max="6" width="12.36328125" style="16" customWidth="1"/>
    <col min="7" max="7" width="12.36328125" style="14" customWidth="1"/>
    <col min="8" max="9" width="8.26953125" style="14" customWidth="1"/>
    <col min="10" max="10" width="7.90625" style="14" bestFit="1" customWidth="1"/>
    <col min="11" max="11" width="18.453125" style="14" bestFit="1" customWidth="1"/>
    <col min="12" max="12" width="10.36328125" style="14" bestFit="1" customWidth="1"/>
    <col min="13" max="13" width="10.90625" style="14" customWidth="1"/>
    <col min="14" max="14" width="16.26953125" style="14" customWidth="1"/>
    <col min="15" max="15" width="28" style="14" customWidth="1"/>
    <col min="16" max="16384" width="9" style="14"/>
  </cols>
  <sheetData>
    <row r="2" spans="1:14" ht="25.5" customHeight="1">
      <c r="B2" s="409" t="s">
        <v>28</v>
      </c>
      <c r="C2" s="410" t="s">
        <v>572</v>
      </c>
      <c r="D2" s="410"/>
      <c r="E2" s="410"/>
      <c r="F2" s="10" t="s">
        <v>29</v>
      </c>
      <c r="G2" s="11">
        <f>COUNTIF(G6:G475,"*")</f>
        <v>58</v>
      </c>
      <c r="H2" s="411" t="s">
        <v>30</v>
      </c>
      <c r="I2" s="411"/>
      <c r="J2" s="11">
        <f>COUNTIF(L6:L475,"*")</f>
        <v>58</v>
      </c>
      <c r="K2" s="12" t="s">
        <v>31</v>
      </c>
      <c r="L2" s="11">
        <f>G2-J2</f>
        <v>0</v>
      </c>
      <c r="M2" s="13" t="s">
        <v>32</v>
      </c>
      <c r="N2" s="11">
        <f>COUNTIF(L6:L475,"OK")</f>
        <v>58</v>
      </c>
    </row>
    <row r="3" spans="1:14" ht="25.5" customHeight="1">
      <c r="B3" s="409"/>
      <c r="C3" s="410"/>
      <c r="D3" s="410"/>
      <c r="E3" s="410"/>
      <c r="F3" s="12" t="s">
        <v>33</v>
      </c>
      <c r="G3" s="15">
        <f>J2/G2</f>
        <v>1</v>
      </c>
      <c r="H3" s="411" t="s">
        <v>34</v>
      </c>
      <c r="I3" s="411"/>
      <c r="J3" s="15">
        <f>IF(J2=0,0,N2/J2)</f>
        <v>1</v>
      </c>
      <c r="K3" s="12"/>
      <c r="L3" s="11"/>
      <c r="M3" s="13"/>
      <c r="N3" s="11"/>
    </row>
    <row r="4" spans="1:14">
      <c r="M4" s="14" t="s">
        <v>35</v>
      </c>
      <c r="N4" s="14" t="s">
        <v>36</v>
      </c>
    </row>
    <row r="5" spans="1:14" s="18" customFormat="1" ht="27">
      <c r="A5" s="17" t="s">
        <v>37</v>
      </c>
      <c r="B5" s="17" t="s">
        <v>569</v>
      </c>
      <c r="C5" s="17" t="s">
        <v>38</v>
      </c>
      <c r="D5" s="17" t="s">
        <v>39</v>
      </c>
      <c r="E5" s="17" t="s">
        <v>40</v>
      </c>
      <c r="F5" s="17" t="s">
        <v>41</v>
      </c>
      <c r="G5" s="17" t="s">
        <v>42</v>
      </c>
      <c r="H5" s="17" t="s">
        <v>43</v>
      </c>
      <c r="I5" s="17" t="s">
        <v>44</v>
      </c>
      <c r="J5" s="17" t="s">
        <v>45</v>
      </c>
      <c r="K5" s="17" t="s">
        <v>46</v>
      </c>
      <c r="L5" s="17" t="s">
        <v>47</v>
      </c>
      <c r="M5" s="17" t="s">
        <v>48</v>
      </c>
      <c r="N5" s="17" t="s">
        <v>49</v>
      </c>
    </row>
    <row r="6" spans="1:14" ht="12" customHeight="1">
      <c r="A6" s="23" t="s">
        <v>82</v>
      </c>
      <c r="B6" s="24"/>
      <c r="C6" s="24"/>
      <c r="D6" s="24"/>
      <c r="E6" s="24"/>
      <c r="F6" s="25"/>
      <c r="G6" s="24"/>
      <c r="H6" s="24"/>
      <c r="I6" s="24"/>
      <c r="J6" s="24"/>
      <c r="K6" s="24"/>
      <c r="L6" s="24"/>
      <c r="M6" s="24"/>
      <c r="N6" s="26"/>
    </row>
    <row r="7" spans="1:14" ht="19" customHeight="1">
      <c r="A7" s="19">
        <v>1</v>
      </c>
      <c r="B7" s="20" t="s">
        <v>83</v>
      </c>
      <c r="C7" s="20" t="s">
        <v>348</v>
      </c>
      <c r="D7" s="20" t="s">
        <v>350</v>
      </c>
      <c r="E7" s="20" t="s">
        <v>70</v>
      </c>
      <c r="F7" s="331" t="s">
        <v>86</v>
      </c>
      <c r="G7" s="20" t="s">
        <v>50</v>
      </c>
      <c r="H7" s="20" t="s">
        <v>508</v>
      </c>
      <c r="I7" s="11" t="s">
        <v>509</v>
      </c>
      <c r="J7" s="20" t="s">
        <v>510</v>
      </c>
      <c r="K7" s="441" t="s">
        <v>574</v>
      </c>
      <c r="L7" s="20" t="s">
        <v>510</v>
      </c>
      <c r="M7" s="20" t="s">
        <v>510</v>
      </c>
      <c r="N7" s="20"/>
    </row>
    <row r="8" spans="1:14" ht="25">
      <c r="A8" s="19">
        <v>2</v>
      </c>
      <c r="B8" s="20"/>
      <c r="C8" s="20"/>
      <c r="D8" s="20" t="s">
        <v>352</v>
      </c>
      <c r="E8" s="20" t="s">
        <v>482</v>
      </c>
      <c r="F8" s="331" t="s">
        <v>575</v>
      </c>
      <c r="G8" s="20" t="s">
        <v>50</v>
      </c>
      <c r="H8" s="20" t="s">
        <v>508</v>
      </c>
      <c r="I8" s="11" t="s">
        <v>509</v>
      </c>
      <c r="J8" s="20" t="s">
        <v>510</v>
      </c>
      <c r="K8" s="441" t="s">
        <v>574</v>
      </c>
      <c r="L8" s="20" t="s">
        <v>510</v>
      </c>
      <c r="M8" s="20" t="s">
        <v>510</v>
      </c>
      <c r="N8" s="20"/>
    </row>
    <row r="9" spans="1:14" ht="13">
      <c r="A9" s="19">
        <v>3</v>
      </c>
      <c r="B9" s="20"/>
      <c r="C9" s="20" t="s">
        <v>365</v>
      </c>
      <c r="D9" s="20" t="s">
        <v>367</v>
      </c>
      <c r="E9" s="20" t="s">
        <v>70</v>
      </c>
      <c r="F9" s="331" t="s">
        <v>575</v>
      </c>
      <c r="G9" s="20" t="s">
        <v>50</v>
      </c>
      <c r="H9" s="20" t="s">
        <v>508</v>
      </c>
      <c r="I9" s="11" t="s">
        <v>509</v>
      </c>
      <c r="J9" s="20" t="s">
        <v>510</v>
      </c>
      <c r="K9" s="441" t="s">
        <v>574</v>
      </c>
      <c r="L9" s="20" t="s">
        <v>510</v>
      </c>
      <c r="M9" s="20" t="s">
        <v>510</v>
      </c>
      <c r="N9" s="20"/>
    </row>
    <row r="10" spans="1:14" ht="25">
      <c r="A10" s="19">
        <v>4</v>
      </c>
      <c r="B10" s="20"/>
      <c r="C10" s="20"/>
      <c r="D10" s="20" t="s">
        <v>369</v>
      </c>
      <c r="E10" s="20" t="s">
        <v>483</v>
      </c>
      <c r="F10" s="331" t="s">
        <v>575</v>
      </c>
      <c r="G10" s="20" t="s">
        <v>50</v>
      </c>
      <c r="H10" s="20" t="s">
        <v>508</v>
      </c>
      <c r="I10" s="11" t="s">
        <v>509</v>
      </c>
      <c r="J10" s="20" t="s">
        <v>510</v>
      </c>
      <c r="K10" s="441" t="s">
        <v>574</v>
      </c>
      <c r="L10" s="20" t="s">
        <v>510</v>
      </c>
      <c r="M10" s="20" t="s">
        <v>510</v>
      </c>
      <c r="N10" s="20"/>
    </row>
    <row r="11" spans="1:14" ht="25">
      <c r="A11" s="19">
        <v>5</v>
      </c>
      <c r="B11" s="20"/>
      <c r="C11" s="20"/>
      <c r="D11" s="20" t="s">
        <v>376</v>
      </c>
      <c r="E11" s="20" t="s">
        <v>483</v>
      </c>
      <c r="F11" s="331" t="s">
        <v>575</v>
      </c>
      <c r="G11" s="20" t="s">
        <v>50</v>
      </c>
      <c r="H11" s="20" t="s">
        <v>508</v>
      </c>
      <c r="I11" s="11" t="s">
        <v>509</v>
      </c>
      <c r="J11" s="20" t="s">
        <v>510</v>
      </c>
      <c r="K11" s="441" t="s">
        <v>574</v>
      </c>
      <c r="L11" s="20" t="s">
        <v>510</v>
      </c>
      <c r="M11" s="20" t="s">
        <v>510</v>
      </c>
      <c r="N11" s="20"/>
    </row>
    <row r="12" spans="1:14" ht="13">
      <c r="A12" s="19">
        <v>6</v>
      </c>
      <c r="B12" s="20"/>
      <c r="C12" s="20" t="s">
        <v>379</v>
      </c>
      <c r="D12" s="20" t="s">
        <v>381</v>
      </c>
      <c r="E12" s="20" t="s">
        <v>70</v>
      </c>
      <c r="F12" s="331" t="s">
        <v>575</v>
      </c>
      <c r="G12" s="20" t="s">
        <v>50</v>
      </c>
      <c r="H12" s="20" t="s">
        <v>508</v>
      </c>
      <c r="I12" s="11" t="s">
        <v>509</v>
      </c>
      <c r="J12" s="20" t="s">
        <v>510</v>
      </c>
      <c r="K12" s="441" t="s">
        <v>574</v>
      </c>
      <c r="L12" s="20" t="s">
        <v>510</v>
      </c>
      <c r="M12" s="20" t="s">
        <v>510</v>
      </c>
      <c r="N12" s="20"/>
    </row>
    <row r="13" spans="1:14" ht="25">
      <c r="A13" s="19">
        <v>7</v>
      </c>
      <c r="B13" s="20"/>
      <c r="C13" s="20"/>
      <c r="D13" s="20" t="s">
        <v>382</v>
      </c>
      <c r="E13" s="20" t="s">
        <v>487</v>
      </c>
      <c r="F13" s="331" t="s">
        <v>575</v>
      </c>
      <c r="G13" s="20" t="s">
        <v>50</v>
      </c>
      <c r="H13" s="20" t="s">
        <v>508</v>
      </c>
      <c r="I13" s="11" t="s">
        <v>509</v>
      </c>
      <c r="J13" s="20" t="s">
        <v>510</v>
      </c>
      <c r="K13" s="441" t="s">
        <v>574</v>
      </c>
      <c r="L13" s="20" t="s">
        <v>510</v>
      </c>
      <c r="M13" s="20" t="s">
        <v>510</v>
      </c>
      <c r="N13" s="20"/>
    </row>
    <row r="14" spans="1:14" ht="13">
      <c r="A14" s="19">
        <v>8</v>
      </c>
      <c r="B14" s="20"/>
      <c r="C14" s="20" t="s">
        <v>385</v>
      </c>
      <c r="D14" s="20" t="s">
        <v>388</v>
      </c>
      <c r="E14" s="20" t="s">
        <v>70</v>
      </c>
      <c r="F14" s="331" t="s">
        <v>575</v>
      </c>
      <c r="G14" s="20" t="s">
        <v>50</v>
      </c>
      <c r="H14" s="20" t="s">
        <v>508</v>
      </c>
      <c r="I14" s="11" t="s">
        <v>509</v>
      </c>
      <c r="J14" s="20" t="s">
        <v>510</v>
      </c>
      <c r="K14" s="441" t="s">
        <v>574</v>
      </c>
      <c r="L14" s="20" t="s">
        <v>510</v>
      </c>
      <c r="M14" s="20" t="s">
        <v>510</v>
      </c>
      <c r="N14" s="20"/>
    </row>
    <row r="15" spans="1:14" ht="25">
      <c r="A15" s="19">
        <v>9</v>
      </c>
      <c r="B15" s="20"/>
      <c r="C15" s="20"/>
      <c r="D15" s="20" t="s">
        <v>389</v>
      </c>
      <c r="E15" s="20" t="s">
        <v>486</v>
      </c>
      <c r="F15" s="331" t="s">
        <v>575</v>
      </c>
      <c r="G15" s="20" t="s">
        <v>50</v>
      </c>
      <c r="H15" s="20" t="s">
        <v>508</v>
      </c>
      <c r="I15" s="11" t="s">
        <v>509</v>
      </c>
      <c r="J15" s="20" t="s">
        <v>510</v>
      </c>
      <c r="K15" s="441" t="s">
        <v>574</v>
      </c>
      <c r="L15" s="20" t="s">
        <v>510</v>
      </c>
      <c r="M15" s="20" t="s">
        <v>510</v>
      </c>
      <c r="N15" s="20"/>
    </row>
    <row r="16" spans="1:14" ht="13">
      <c r="A16" s="19">
        <v>10</v>
      </c>
      <c r="B16" s="20"/>
      <c r="C16" s="20" t="s">
        <v>393</v>
      </c>
      <c r="D16" s="20" t="s">
        <v>395</v>
      </c>
      <c r="E16" s="20" t="s">
        <v>70</v>
      </c>
      <c r="F16" s="331" t="s">
        <v>575</v>
      </c>
      <c r="G16" s="20" t="s">
        <v>50</v>
      </c>
      <c r="H16" s="20" t="s">
        <v>508</v>
      </c>
      <c r="I16" s="11" t="s">
        <v>509</v>
      </c>
      <c r="J16" s="20" t="s">
        <v>510</v>
      </c>
      <c r="K16" s="441" t="s">
        <v>574</v>
      </c>
      <c r="L16" s="20" t="s">
        <v>510</v>
      </c>
      <c r="M16" s="20" t="s">
        <v>510</v>
      </c>
      <c r="N16" s="20"/>
    </row>
    <row r="17" spans="1:14" ht="25">
      <c r="A17" s="19">
        <v>11</v>
      </c>
      <c r="B17" s="20"/>
      <c r="C17" s="20"/>
      <c r="D17" s="20" t="s">
        <v>396</v>
      </c>
      <c r="E17" s="20" t="s">
        <v>489</v>
      </c>
      <c r="F17" s="331" t="s">
        <v>575</v>
      </c>
      <c r="G17" s="20" t="s">
        <v>50</v>
      </c>
      <c r="H17" s="20" t="s">
        <v>508</v>
      </c>
      <c r="I17" s="11" t="s">
        <v>509</v>
      </c>
      <c r="J17" s="20" t="s">
        <v>510</v>
      </c>
      <c r="K17" s="441" t="s">
        <v>574</v>
      </c>
      <c r="L17" s="20" t="s">
        <v>510</v>
      </c>
      <c r="M17" s="20" t="s">
        <v>510</v>
      </c>
      <c r="N17" s="20"/>
    </row>
    <row r="18" spans="1:14" ht="25">
      <c r="A18" s="19">
        <v>12</v>
      </c>
      <c r="B18" s="20"/>
      <c r="C18" s="20"/>
      <c r="D18" s="20" t="s">
        <v>397</v>
      </c>
      <c r="E18" s="20" t="s">
        <v>489</v>
      </c>
      <c r="F18" s="331" t="s">
        <v>575</v>
      </c>
      <c r="G18" s="20" t="s">
        <v>50</v>
      </c>
      <c r="H18" s="20" t="s">
        <v>508</v>
      </c>
      <c r="I18" s="11" t="s">
        <v>509</v>
      </c>
      <c r="J18" s="20" t="s">
        <v>510</v>
      </c>
      <c r="K18" s="441" t="s">
        <v>574</v>
      </c>
      <c r="L18" s="20" t="s">
        <v>510</v>
      </c>
      <c r="M18" s="20" t="s">
        <v>510</v>
      </c>
      <c r="N18" s="20"/>
    </row>
    <row r="19" spans="1:14" ht="13">
      <c r="A19" s="19">
        <v>13</v>
      </c>
      <c r="B19" s="20"/>
      <c r="C19" s="20" t="s">
        <v>403</v>
      </c>
      <c r="D19" s="20" t="s">
        <v>405</v>
      </c>
      <c r="E19" s="20" t="s">
        <v>70</v>
      </c>
      <c r="F19" s="331" t="s">
        <v>575</v>
      </c>
      <c r="G19" s="20" t="s">
        <v>50</v>
      </c>
      <c r="H19" s="20" t="s">
        <v>508</v>
      </c>
      <c r="I19" s="11" t="s">
        <v>509</v>
      </c>
      <c r="J19" s="20" t="s">
        <v>510</v>
      </c>
      <c r="K19" s="441" t="s">
        <v>574</v>
      </c>
      <c r="L19" s="20" t="s">
        <v>510</v>
      </c>
      <c r="M19" s="20" t="s">
        <v>510</v>
      </c>
      <c r="N19" s="20"/>
    </row>
    <row r="20" spans="1:14" ht="25">
      <c r="A20" s="19">
        <v>14</v>
      </c>
      <c r="B20" s="20"/>
      <c r="C20" s="20"/>
      <c r="D20" s="20" t="s">
        <v>406</v>
      </c>
      <c r="E20" s="20" t="s">
        <v>491</v>
      </c>
      <c r="F20" s="331" t="s">
        <v>575</v>
      </c>
      <c r="G20" s="20" t="s">
        <v>50</v>
      </c>
      <c r="H20" s="20" t="s">
        <v>508</v>
      </c>
      <c r="I20" s="11" t="s">
        <v>509</v>
      </c>
      <c r="J20" s="20" t="s">
        <v>510</v>
      </c>
      <c r="K20" s="441" t="s">
        <v>574</v>
      </c>
      <c r="L20" s="20" t="s">
        <v>510</v>
      </c>
      <c r="M20" s="20" t="s">
        <v>510</v>
      </c>
      <c r="N20" s="20"/>
    </row>
    <row r="21" spans="1:14" ht="25">
      <c r="A21" s="19">
        <v>15</v>
      </c>
      <c r="B21" s="20"/>
      <c r="C21" s="20"/>
      <c r="D21" s="20" t="s">
        <v>407</v>
      </c>
      <c r="E21" s="20" t="s">
        <v>491</v>
      </c>
      <c r="F21" s="331" t="s">
        <v>575</v>
      </c>
      <c r="G21" s="20" t="s">
        <v>50</v>
      </c>
      <c r="H21" s="20" t="s">
        <v>508</v>
      </c>
      <c r="I21" s="11" t="s">
        <v>509</v>
      </c>
      <c r="J21" s="20" t="s">
        <v>510</v>
      </c>
      <c r="K21" s="441" t="s">
        <v>574</v>
      </c>
      <c r="L21" s="20" t="s">
        <v>510</v>
      </c>
      <c r="M21" s="20" t="s">
        <v>510</v>
      </c>
      <c r="N21" s="20"/>
    </row>
    <row r="22" spans="1:14" ht="13">
      <c r="A22" s="19">
        <v>16</v>
      </c>
      <c r="B22" s="20"/>
      <c r="C22" s="20" t="s">
        <v>412</v>
      </c>
      <c r="D22" s="20" t="s">
        <v>415</v>
      </c>
      <c r="E22" s="20" t="s">
        <v>70</v>
      </c>
      <c r="F22" s="331" t="s">
        <v>575</v>
      </c>
      <c r="G22" s="20" t="s">
        <v>50</v>
      </c>
      <c r="H22" s="20" t="s">
        <v>508</v>
      </c>
      <c r="I22" s="11" t="s">
        <v>509</v>
      </c>
      <c r="J22" s="20" t="s">
        <v>510</v>
      </c>
      <c r="K22" s="441" t="s">
        <v>574</v>
      </c>
      <c r="L22" s="20" t="s">
        <v>510</v>
      </c>
      <c r="M22" s="20" t="s">
        <v>510</v>
      </c>
      <c r="N22" s="20"/>
    </row>
    <row r="23" spans="1:14" ht="25">
      <c r="A23" s="19">
        <v>17</v>
      </c>
      <c r="B23" s="20"/>
      <c r="C23" s="20"/>
      <c r="D23" s="20" t="s">
        <v>416</v>
      </c>
      <c r="E23" s="20" t="s">
        <v>492</v>
      </c>
      <c r="F23" s="331" t="s">
        <v>575</v>
      </c>
      <c r="G23" s="20" t="s">
        <v>50</v>
      </c>
      <c r="H23" s="20" t="s">
        <v>508</v>
      </c>
      <c r="I23" s="11" t="s">
        <v>509</v>
      </c>
      <c r="J23" s="20" t="s">
        <v>510</v>
      </c>
      <c r="K23" s="441" t="s">
        <v>574</v>
      </c>
      <c r="L23" s="20" t="s">
        <v>510</v>
      </c>
      <c r="M23" s="20" t="s">
        <v>510</v>
      </c>
      <c r="N23" s="20"/>
    </row>
    <row r="24" spans="1:14" ht="25">
      <c r="A24" s="19">
        <v>18</v>
      </c>
      <c r="B24" s="20"/>
      <c r="C24" s="20"/>
      <c r="D24" s="20" t="s">
        <v>417</v>
      </c>
      <c r="E24" s="20" t="s">
        <v>492</v>
      </c>
      <c r="F24" s="331" t="s">
        <v>575</v>
      </c>
      <c r="G24" s="20" t="s">
        <v>50</v>
      </c>
      <c r="H24" s="20" t="s">
        <v>508</v>
      </c>
      <c r="I24" s="11" t="s">
        <v>509</v>
      </c>
      <c r="J24" s="20" t="s">
        <v>510</v>
      </c>
      <c r="K24" s="441" t="s">
        <v>574</v>
      </c>
      <c r="L24" s="20" t="s">
        <v>510</v>
      </c>
      <c r="M24" s="20" t="s">
        <v>510</v>
      </c>
      <c r="N24" s="20"/>
    </row>
    <row r="25" spans="1:14" ht="13">
      <c r="A25" s="19">
        <v>19</v>
      </c>
      <c r="B25" s="20"/>
      <c r="C25" s="20" t="s">
        <v>424</v>
      </c>
      <c r="D25" s="20" t="s">
        <v>427</v>
      </c>
      <c r="E25" s="20" t="s">
        <v>70</v>
      </c>
      <c r="F25" s="331" t="s">
        <v>575</v>
      </c>
      <c r="G25" s="20" t="s">
        <v>50</v>
      </c>
      <c r="H25" s="20" t="s">
        <v>508</v>
      </c>
      <c r="I25" s="11" t="s">
        <v>509</v>
      </c>
      <c r="J25" s="20" t="s">
        <v>510</v>
      </c>
      <c r="K25" s="441" t="s">
        <v>574</v>
      </c>
      <c r="L25" s="20" t="s">
        <v>510</v>
      </c>
      <c r="M25" s="20" t="s">
        <v>510</v>
      </c>
      <c r="N25" s="20"/>
    </row>
    <row r="26" spans="1:14" ht="25">
      <c r="A26" s="19">
        <v>20</v>
      </c>
      <c r="B26" s="20"/>
      <c r="C26" s="20"/>
      <c r="D26" s="20" t="s">
        <v>428</v>
      </c>
      <c r="E26" s="20" t="s">
        <v>494</v>
      </c>
      <c r="F26" s="331" t="s">
        <v>575</v>
      </c>
      <c r="G26" s="20" t="s">
        <v>50</v>
      </c>
      <c r="H26" s="20" t="s">
        <v>508</v>
      </c>
      <c r="I26" s="11" t="s">
        <v>509</v>
      </c>
      <c r="J26" s="20" t="s">
        <v>510</v>
      </c>
      <c r="K26" s="441" t="s">
        <v>574</v>
      </c>
      <c r="L26" s="20" t="s">
        <v>510</v>
      </c>
      <c r="M26" s="20" t="s">
        <v>510</v>
      </c>
      <c r="N26" s="20"/>
    </row>
    <row r="27" spans="1:14" ht="25">
      <c r="A27" s="19">
        <v>21</v>
      </c>
      <c r="B27" s="20"/>
      <c r="C27" s="20"/>
      <c r="D27" s="20" t="s">
        <v>429</v>
      </c>
      <c r="E27" s="20" t="s">
        <v>494</v>
      </c>
      <c r="F27" s="331" t="s">
        <v>575</v>
      </c>
      <c r="G27" s="20" t="s">
        <v>50</v>
      </c>
      <c r="H27" s="20" t="s">
        <v>508</v>
      </c>
      <c r="I27" s="11" t="s">
        <v>509</v>
      </c>
      <c r="J27" s="20" t="s">
        <v>510</v>
      </c>
      <c r="K27" s="441" t="s">
        <v>574</v>
      </c>
      <c r="L27" s="20" t="s">
        <v>510</v>
      </c>
      <c r="M27" s="20" t="s">
        <v>510</v>
      </c>
      <c r="N27" s="20"/>
    </row>
    <row r="28" spans="1:14" ht="13">
      <c r="A28" s="19">
        <v>22</v>
      </c>
      <c r="B28" s="20"/>
      <c r="C28" s="20"/>
      <c r="D28" s="20" t="s">
        <v>430</v>
      </c>
      <c r="E28" s="20" t="s">
        <v>70</v>
      </c>
      <c r="F28" s="331" t="s">
        <v>575</v>
      </c>
      <c r="G28" s="20" t="s">
        <v>50</v>
      </c>
      <c r="H28" s="20" t="s">
        <v>508</v>
      </c>
      <c r="I28" s="11" t="s">
        <v>509</v>
      </c>
      <c r="J28" s="20" t="s">
        <v>510</v>
      </c>
      <c r="K28" s="441" t="s">
        <v>574</v>
      </c>
      <c r="L28" s="20" t="s">
        <v>510</v>
      </c>
      <c r="M28" s="20" t="s">
        <v>510</v>
      </c>
      <c r="N28" s="20"/>
    </row>
    <row r="29" spans="1:14" ht="37.5">
      <c r="A29" s="19">
        <v>23</v>
      </c>
      <c r="B29" s="20"/>
      <c r="C29" s="20"/>
      <c r="D29" s="20" t="s">
        <v>431</v>
      </c>
      <c r="E29" s="20" t="s">
        <v>498</v>
      </c>
      <c r="F29" s="331" t="s">
        <v>575</v>
      </c>
      <c r="G29" s="20" t="s">
        <v>50</v>
      </c>
      <c r="H29" s="20" t="s">
        <v>508</v>
      </c>
      <c r="I29" s="11" t="s">
        <v>509</v>
      </c>
      <c r="J29" s="20" t="s">
        <v>510</v>
      </c>
      <c r="K29" s="441" t="s">
        <v>574</v>
      </c>
      <c r="L29" s="20" t="s">
        <v>510</v>
      </c>
      <c r="M29" s="20" t="s">
        <v>510</v>
      </c>
      <c r="N29" s="20"/>
    </row>
    <row r="30" spans="1:14" ht="13">
      <c r="A30" s="19">
        <v>24</v>
      </c>
      <c r="B30" s="20"/>
      <c r="C30" s="20" t="s">
        <v>439</v>
      </c>
      <c r="D30" s="20" t="s">
        <v>441</v>
      </c>
      <c r="E30" s="20" t="s">
        <v>70</v>
      </c>
      <c r="F30" s="331" t="s">
        <v>575</v>
      </c>
      <c r="G30" s="20" t="s">
        <v>50</v>
      </c>
      <c r="H30" s="20" t="s">
        <v>508</v>
      </c>
      <c r="I30" s="11" t="s">
        <v>509</v>
      </c>
      <c r="J30" s="20" t="s">
        <v>510</v>
      </c>
      <c r="K30" s="441" t="s">
        <v>574</v>
      </c>
      <c r="L30" s="20" t="s">
        <v>510</v>
      </c>
      <c r="M30" s="20" t="s">
        <v>510</v>
      </c>
      <c r="N30" s="20"/>
    </row>
    <row r="31" spans="1:14" ht="25">
      <c r="A31" s="19">
        <v>25</v>
      </c>
      <c r="B31" s="20"/>
      <c r="C31" s="20"/>
      <c r="D31" s="20" t="s">
        <v>442</v>
      </c>
      <c r="E31" s="20" t="s">
        <v>496</v>
      </c>
      <c r="F31" s="331" t="s">
        <v>575</v>
      </c>
      <c r="G31" s="20" t="s">
        <v>50</v>
      </c>
      <c r="H31" s="20" t="s">
        <v>508</v>
      </c>
      <c r="I31" s="11" t="s">
        <v>509</v>
      </c>
      <c r="J31" s="20" t="s">
        <v>510</v>
      </c>
      <c r="K31" s="441" t="s">
        <v>574</v>
      </c>
      <c r="L31" s="20" t="s">
        <v>510</v>
      </c>
      <c r="M31" s="20" t="s">
        <v>510</v>
      </c>
      <c r="N31" s="20"/>
    </row>
    <row r="32" spans="1:14" ht="37.5">
      <c r="A32" s="19">
        <v>26</v>
      </c>
      <c r="B32" s="20"/>
      <c r="C32" s="20"/>
      <c r="D32" s="20" t="s">
        <v>443</v>
      </c>
      <c r="E32" s="20" t="s">
        <v>500</v>
      </c>
      <c r="F32" s="331" t="s">
        <v>575</v>
      </c>
      <c r="G32" s="20" t="s">
        <v>50</v>
      </c>
      <c r="H32" s="20" t="s">
        <v>508</v>
      </c>
      <c r="I32" s="11" t="s">
        <v>509</v>
      </c>
      <c r="J32" s="20" t="s">
        <v>510</v>
      </c>
      <c r="K32" s="441" t="s">
        <v>574</v>
      </c>
      <c r="L32" s="20" t="s">
        <v>510</v>
      </c>
      <c r="M32" s="20" t="s">
        <v>510</v>
      </c>
      <c r="N32" s="20"/>
    </row>
    <row r="33" spans="1:14" ht="37.5">
      <c r="A33" s="19">
        <v>27</v>
      </c>
      <c r="B33" s="20"/>
      <c r="C33" s="20"/>
      <c r="D33" s="20" t="s">
        <v>444</v>
      </c>
      <c r="E33" s="20" t="s">
        <v>500</v>
      </c>
      <c r="F33" s="331" t="s">
        <v>575</v>
      </c>
      <c r="G33" s="20" t="s">
        <v>50</v>
      </c>
      <c r="H33" s="20" t="s">
        <v>508</v>
      </c>
      <c r="I33" s="11" t="s">
        <v>509</v>
      </c>
      <c r="J33" s="20" t="s">
        <v>510</v>
      </c>
      <c r="K33" s="441" t="s">
        <v>574</v>
      </c>
      <c r="L33" s="20" t="s">
        <v>510</v>
      </c>
      <c r="M33" s="20" t="s">
        <v>510</v>
      </c>
      <c r="N33" s="20"/>
    </row>
    <row r="34" spans="1:14" ht="13">
      <c r="A34" s="19">
        <v>28</v>
      </c>
      <c r="B34" s="20"/>
      <c r="C34" s="20" t="s">
        <v>451</v>
      </c>
      <c r="D34" s="20" t="s">
        <v>454</v>
      </c>
      <c r="E34" s="20" t="s">
        <v>70</v>
      </c>
      <c r="F34" s="331" t="s">
        <v>575</v>
      </c>
      <c r="G34" s="20" t="s">
        <v>50</v>
      </c>
      <c r="H34" s="20" t="s">
        <v>508</v>
      </c>
      <c r="I34" s="11" t="s">
        <v>509</v>
      </c>
      <c r="J34" s="20" t="s">
        <v>510</v>
      </c>
      <c r="K34" s="441" t="s">
        <v>574</v>
      </c>
      <c r="L34" s="20" t="s">
        <v>510</v>
      </c>
      <c r="M34" s="20" t="s">
        <v>510</v>
      </c>
      <c r="N34" s="20"/>
    </row>
    <row r="35" spans="1:14" ht="37.5">
      <c r="A35" s="19">
        <v>29</v>
      </c>
      <c r="B35" s="20"/>
      <c r="C35" s="20"/>
      <c r="D35" s="20" t="s">
        <v>455</v>
      </c>
      <c r="E35" s="20" t="s">
        <v>501</v>
      </c>
      <c r="F35" s="331" t="s">
        <v>575</v>
      </c>
      <c r="G35" s="20" t="s">
        <v>50</v>
      </c>
      <c r="H35" s="20" t="s">
        <v>508</v>
      </c>
      <c r="I35" s="11" t="s">
        <v>509</v>
      </c>
      <c r="J35" s="20" t="s">
        <v>510</v>
      </c>
      <c r="K35" s="441" t="s">
        <v>574</v>
      </c>
      <c r="L35" s="20" t="s">
        <v>510</v>
      </c>
      <c r="M35" s="20" t="s">
        <v>510</v>
      </c>
      <c r="N35" s="20"/>
    </row>
    <row r="36" spans="1:14" ht="37.5">
      <c r="A36" s="19">
        <v>30</v>
      </c>
      <c r="B36" s="20"/>
      <c r="C36" s="20"/>
      <c r="D36" s="20" t="s">
        <v>456</v>
      </c>
      <c r="E36" s="20" t="s">
        <v>501</v>
      </c>
      <c r="F36" s="331" t="s">
        <v>575</v>
      </c>
      <c r="G36" s="20" t="s">
        <v>50</v>
      </c>
      <c r="H36" s="20" t="s">
        <v>508</v>
      </c>
      <c r="I36" s="11" t="s">
        <v>509</v>
      </c>
      <c r="J36" s="20" t="s">
        <v>510</v>
      </c>
      <c r="K36" s="441" t="s">
        <v>574</v>
      </c>
      <c r="L36" s="20" t="s">
        <v>510</v>
      </c>
      <c r="M36" s="20" t="s">
        <v>510</v>
      </c>
      <c r="N36" s="20"/>
    </row>
    <row r="37" spans="1:14" ht="13">
      <c r="A37" s="19">
        <v>31</v>
      </c>
      <c r="B37" s="21"/>
      <c r="C37" s="21" t="s">
        <v>462</v>
      </c>
      <c r="D37" s="21" t="s">
        <v>464</v>
      </c>
      <c r="E37" s="21" t="s">
        <v>70</v>
      </c>
      <c r="F37" s="331" t="s">
        <v>575</v>
      </c>
      <c r="G37" s="21" t="s">
        <v>50</v>
      </c>
      <c r="H37" s="20" t="s">
        <v>508</v>
      </c>
      <c r="I37" s="11" t="s">
        <v>509</v>
      </c>
      <c r="J37" s="20" t="s">
        <v>510</v>
      </c>
      <c r="K37" s="441" t="s">
        <v>574</v>
      </c>
      <c r="L37" s="20" t="s">
        <v>510</v>
      </c>
      <c r="M37" s="20" t="s">
        <v>510</v>
      </c>
      <c r="N37" s="20"/>
    </row>
    <row r="38" spans="1:14" ht="37.5">
      <c r="A38" s="19">
        <v>32</v>
      </c>
      <c r="B38" s="21"/>
      <c r="C38" s="21"/>
      <c r="D38" s="21" t="s">
        <v>465</v>
      </c>
      <c r="E38" s="21" t="s">
        <v>502</v>
      </c>
      <c r="F38" s="331" t="s">
        <v>575</v>
      </c>
      <c r="G38" s="21" t="s">
        <v>50</v>
      </c>
      <c r="H38" s="20" t="s">
        <v>508</v>
      </c>
      <c r="I38" s="11" t="s">
        <v>509</v>
      </c>
      <c r="J38" s="20" t="s">
        <v>510</v>
      </c>
      <c r="K38" s="441" t="s">
        <v>574</v>
      </c>
      <c r="L38" s="20" t="s">
        <v>510</v>
      </c>
      <c r="M38" s="20" t="s">
        <v>510</v>
      </c>
      <c r="N38" s="20"/>
    </row>
    <row r="39" spans="1:14" ht="37.5">
      <c r="A39" s="19">
        <v>33</v>
      </c>
      <c r="B39" s="21"/>
      <c r="C39" s="21"/>
      <c r="D39" s="21" t="s">
        <v>466</v>
      </c>
      <c r="E39" s="21" t="s">
        <v>502</v>
      </c>
      <c r="F39" s="331" t="s">
        <v>575</v>
      </c>
      <c r="G39" s="21" t="s">
        <v>50</v>
      </c>
      <c r="H39" s="20" t="s">
        <v>508</v>
      </c>
      <c r="I39" s="11" t="s">
        <v>509</v>
      </c>
      <c r="J39" s="20" t="s">
        <v>510</v>
      </c>
      <c r="K39" s="441" t="s">
        <v>574</v>
      </c>
      <c r="L39" s="20" t="s">
        <v>510</v>
      </c>
      <c r="M39" s="20" t="s">
        <v>510</v>
      </c>
      <c r="N39" s="20"/>
    </row>
    <row r="40" spans="1:14" ht="13">
      <c r="A40" s="19">
        <v>34</v>
      </c>
      <c r="B40" s="21"/>
      <c r="C40" s="21" t="s">
        <v>471</v>
      </c>
      <c r="D40" s="21" t="s">
        <v>474</v>
      </c>
      <c r="E40" s="21" t="s">
        <v>70</v>
      </c>
      <c r="F40" s="331" t="s">
        <v>575</v>
      </c>
      <c r="G40" s="21" t="s">
        <v>50</v>
      </c>
      <c r="H40" s="20" t="s">
        <v>508</v>
      </c>
      <c r="I40" s="11" t="s">
        <v>509</v>
      </c>
      <c r="J40" s="20" t="s">
        <v>510</v>
      </c>
      <c r="K40" s="441" t="s">
        <v>574</v>
      </c>
      <c r="L40" s="20" t="s">
        <v>510</v>
      </c>
      <c r="M40" s="20" t="s">
        <v>510</v>
      </c>
      <c r="N40" s="20"/>
    </row>
    <row r="41" spans="1:14" ht="37.5">
      <c r="A41" s="19">
        <v>35</v>
      </c>
      <c r="B41" s="21"/>
      <c r="C41" s="21"/>
      <c r="D41" s="21" t="s">
        <v>475</v>
      </c>
      <c r="E41" s="21" t="s">
        <v>503</v>
      </c>
      <c r="F41" s="331" t="s">
        <v>575</v>
      </c>
      <c r="G41" s="21" t="s">
        <v>50</v>
      </c>
      <c r="H41" s="20" t="s">
        <v>508</v>
      </c>
      <c r="I41" s="11" t="s">
        <v>509</v>
      </c>
      <c r="J41" s="20" t="s">
        <v>510</v>
      </c>
      <c r="K41" s="441" t="s">
        <v>574</v>
      </c>
      <c r="L41" s="20" t="s">
        <v>510</v>
      </c>
      <c r="M41" s="20" t="s">
        <v>510</v>
      </c>
      <c r="N41" s="20"/>
    </row>
    <row r="42" spans="1:14" ht="37.5">
      <c r="A42" s="19">
        <v>36</v>
      </c>
      <c r="B42" s="21"/>
      <c r="C42" s="21"/>
      <c r="D42" s="21" t="s">
        <v>476</v>
      </c>
      <c r="E42" s="21" t="s">
        <v>503</v>
      </c>
      <c r="F42" s="331" t="s">
        <v>575</v>
      </c>
      <c r="G42" s="21" t="s">
        <v>50</v>
      </c>
      <c r="H42" s="20" t="s">
        <v>508</v>
      </c>
      <c r="I42" s="11" t="s">
        <v>509</v>
      </c>
      <c r="J42" s="20" t="s">
        <v>510</v>
      </c>
      <c r="K42" s="441" t="s">
        <v>574</v>
      </c>
      <c r="L42" s="20" t="s">
        <v>510</v>
      </c>
      <c r="M42" s="20" t="s">
        <v>510</v>
      </c>
      <c r="N42" s="20"/>
    </row>
    <row r="43" spans="1:14">
      <c r="A43" s="27" t="s">
        <v>78</v>
      </c>
      <c r="B43" s="28"/>
      <c r="C43" s="28"/>
      <c r="D43" s="28"/>
      <c r="E43" s="28"/>
      <c r="F43" s="29"/>
      <c r="G43" s="28"/>
      <c r="H43" s="28"/>
      <c r="I43" s="29"/>
      <c r="J43" s="28"/>
      <c r="K43" s="28"/>
      <c r="L43" s="28"/>
      <c r="M43" s="28"/>
      <c r="N43" s="28"/>
    </row>
    <row r="44" spans="1:14">
      <c r="A44" s="30"/>
      <c r="B44" s="31"/>
      <c r="C44" s="31"/>
      <c r="D44" s="21" t="s">
        <v>504</v>
      </c>
      <c r="E44" s="31"/>
      <c r="F44" s="32"/>
      <c r="G44" s="31"/>
      <c r="H44" s="31"/>
      <c r="I44" s="32"/>
      <c r="J44" s="31"/>
      <c r="K44" s="31"/>
      <c r="L44" s="31"/>
      <c r="M44" s="31"/>
      <c r="N44" s="31"/>
    </row>
    <row r="45" spans="1:14">
      <c r="A45" s="27" t="s">
        <v>79</v>
      </c>
      <c r="B45" s="28"/>
      <c r="C45" s="28"/>
      <c r="D45" s="28"/>
      <c r="E45" s="28"/>
      <c r="F45" s="29"/>
      <c r="G45" s="28"/>
      <c r="H45" s="28"/>
      <c r="I45" s="29"/>
      <c r="J45" s="28"/>
      <c r="K45" s="28"/>
      <c r="L45" s="28"/>
      <c r="M45" s="28"/>
      <c r="N45" s="28"/>
    </row>
    <row r="46" spans="1:14" ht="13">
      <c r="A46" s="19">
        <v>1</v>
      </c>
      <c r="B46" s="21" t="s">
        <v>534</v>
      </c>
      <c r="C46" s="21" t="s">
        <v>505</v>
      </c>
      <c r="D46" s="21" t="s">
        <v>511</v>
      </c>
      <c r="E46" s="21" t="s">
        <v>70</v>
      </c>
      <c r="F46" s="331" t="s">
        <v>573</v>
      </c>
      <c r="G46" s="21" t="s">
        <v>50</v>
      </c>
      <c r="H46" s="20" t="s">
        <v>508</v>
      </c>
      <c r="I46" s="11" t="s">
        <v>509</v>
      </c>
      <c r="J46" s="20" t="s">
        <v>510</v>
      </c>
      <c r="K46" s="441" t="s">
        <v>574</v>
      </c>
      <c r="L46" s="20" t="s">
        <v>510</v>
      </c>
      <c r="M46" s="20" t="s">
        <v>510</v>
      </c>
      <c r="N46" s="20"/>
    </row>
    <row r="47" spans="1:14" ht="25">
      <c r="A47" s="19">
        <v>2</v>
      </c>
      <c r="B47" s="21" t="s">
        <v>506</v>
      </c>
      <c r="C47" s="21" t="s">
        <v>507</v>
      </c>
      <c r="D47" s="21" t="s">
        <v>512</v>
      </c>
      <c r="E47" s="21" t="s">
        <v>70</v>
      </c>
      <c r="F47" s="331" t="s">
        <v>573</v>
      </c>
      <c r="G47" s="21" t="s">
        <v>50</v>
      </c>
      <c r="H47" s="20" t="s">
        <v>508</v>
      </c>
      <c r="I47" s="11" t="s">
        <v>509</v>
      </c>
      <c r="J47" s="20" t="s">
        <v>510</v>
      </c>
      <c r="K47" s="441" t="s">
        <v>574</v>
      </c>
      <c r="L47" s="20" t="s">
        <v>510</v>
      </c>
      <c r="M47" s="20" t="s">
        <v>510</v>
      </c>
      <c r="N47" s="20"/>
    </row>
    <row r="48" spans="1:14">
      <c r="A48" s="305" t="s">
        <v>513</v>
      </c>
      <c r="B48" s="306"/>
      <c r="C48" s="306"/>
      <c r="D48" s="306"/>
      <c r="E48" s="306"/>
      <c r="F48" s="307"/>
      <c r="G48" s="306"/>
      <c r="H48" s="306"/>
      <c r="I48" s="306"/>
      <c r="J48" s="306"/>
      <c r="K48" s="306"/>
      <c r="L48" s="306"/>
      <c r="M48" s="306"/>
      <c r="N48" s="308"/>
    </row>
    <row r="49" spans="1:14" ht="13">
      <c r="A49" s="19">
        <v>1</v>
      </c>
      <c r="B49" s="20" t="s">
        <v>518</v>
      </c>
      <c r="C49" s="20" t="s">
        <v>560</v>
      </c>
      <c r="D49" s="20" t="s">
        <v>524</v>
      </c>
      <c r="E49" s="21" t="s">
        <v>70</v>
      </c>
      <c r="F49" s="331" t="s">
        <v>573</v>
      </c>
      <c r="G49" s="20" t="s">
        <v>50</v>
      </c>
      <c r="H49" s="20" t="s">
        <v>508</v>
      </c>
      <c r="I49" s="11" t="s">
        <v>509</v>
      </c>
      <c r="J49" s="20" t="s">
        <v>510</v>
      </c>
      <c r="K49" s="441" t="s">
        <v>574</v>
      </c>
      <c r="L49" s="20" t="s">
        <v>510</v>
      </c>
      <c r="M49" s="20" t="s">
        <v>510</v>
      </c>
      <c r="N49" s="20"/>
    </row>
    <row r="50" spans="1:14" ht="13">
      <c r="A50" s="19">
        <v>2</v>
      </c>
      <c r="B50" s="20"/>
      <c r="C50" s="20"/>
      <c r="D50" s="20" t="s">
        <v>525</v>
      </c>
      <c r="E50" s="20" t="s">
        <v>514</v>
      </c>
      <c r="F50" s="331" t="s">
        <v>573</v>
      </c>
      <c r="G50" s="20" t="s">
        <v>50</v>
      </c>
      <c r="H50" s="20" t="s">
        <v>508</v>
      </c>
      <c r="I50" s="11" t="s">
        <v>509</v>
      </c>
      <c r="J50" s="20" t="s">
        <v>510</v>
      </c>
      <c r="K50" s="441" t="s">
        <v>574</v>
      </c>
      <c r="L50" s="20" t="s">
        <v>510</v>
      </c>
      <c r="M50" s="20" t="s">
        <v>510</v>
      </c>
      <c r="N50" s="20"/>
    </row>
    <row r="51" spans="1:14" ht="13">
      <c r="A51" s="19">
        <v>3</v>
      </c>
      <c r="B51" s="20"/>
      <c r="C51" s="20"/>
      <c r="D51" s="20" t="s">
        <v>526</v>
      </c>
      <c r="E51" s="20" t="s">
        <v>515</v>
      </c>
      <c r="F51" s="331" t="s">
        <v>573</v>
      </c>
      <c r="G51" s="20" t="s">
        <v>50</v>
      </c>
      <c r="H51" s="20" t="s">
        <v>508</v>
      </c>
      <c r="I51" s="11" t="s">
        <v>509</v>
      </c>
      <c r="J51" s="20" t="s">
        <v>510</v>
      </c>
      <c r="K51" s="441" t="s">
        <v>574</v>
      </c>
      <c r="L51" s="20" t="s">
        <v>510</v>
      </c>
      <c r="M51" s="20" t="s">
        <v>510</v>
      </c>
      <c r="N51" s="20"/>
    </row>
    <row r="52" spans="1:14" ht="13">
      <c r="A52" s="19">
        <v>4</v>
      </c>
      <c r="B52" s="20" t="s">
        <v>520</v>
      </c>
      <c r="C52" s="20" t="s">
        <v>561</v>
      </c>
      <c r="D52" s="20" t="s">
        <v>521</v>
      </c>
      <c r="E52" s="21" t="s">
        <v>70</v>
      </c>
      <c r="F52" s="331" t="s">
        <v>573</v>
      </c>
      <c r="G52" s="20" t="s">
        <v>50</v>
      </c>
      <c r="H52" s="20" t="s">
        <v>508</v>
      </c>
      <c r="I52" s="11" t="s">
        <v>509</v>
      </c>
      <c r="J52" s="20" t="s">
        <v>510</v>
      </c>
      <c r="K52" s="441" t="s">
        <v>574</v>
      </c>
      <c r="L52" s="20" t="s">
        <v>510</v>
      </c>
      <c r="M52" s="20" t="s">
        <v>510</v>
      </c>
      <c r="N52" s="20"/>
    </row>
    <row r="53" spans="1:14" ht="13">
      <c r="A53" s="19">
        <v>5</v>
      </c>
      <c r="B53" s="20"/>
      <c r="C53" s="20"/>
      <c r="D53" s="20" t="s">
        <v>522</v>
      </c>
      <c r="E53" s="20" t="s">
        <v>514</v>
      </c>
      <c r="F53" s="331" t="s">
        <v>573</v>
      </c>
      <c r="G53" s="20" t="s">
        <v>50</v>
      </c>
      <c r="H53" s="20" t="s">
        <v>508</v>
      </c>
      <c r="I53" s="11" t="s">
        <v>509</v>
      </c>
      <c r="J53" s="20" t="s">
        <v>510</v>
      </c>
      <c r="K53" s="441" t="s">
        <v>574</v>
      </c>
      <c r="L53" s="20" t="s">
        <v>510</v>
      </c>
      <c r="M53" s="20" t="s">
        <v>510</v>
      </c>
      <c r="N53" s="20"/>
    </row>
    <row r="54" spans="1:14" ht="13">
      <c r="A54" s="19">
        <v>6</v>
      </c>
      <c r="B54" s="20"/>
      <c r="C54" s="20"/>
      <c r="D54" s="20" t="s">
        <v>523</v>
      </c>
      <c r="E54" s="20" t="s">
        <v>515</v>
      </c>
      <c r="F54" s="331" t="s">
        <v>573</v>
      </c>
      <c r="G54" s="20" t="s">
        <v>50</v>
      </c>
      <c r="H54" s="20" t="s">
        <v>508</v>
      </c>
      <c r="I54" s="11" t="s">
        <v>509</v>
      </c>
      <c r="J54" s="20" t="s">
        <v>510</v>
      </c>
      <c r="K54" s="441" t="s">
        <v>574</v>
      </c>
      <c r="L54" s="20" t="s">
        <v>510</v>
      </c>
      <c r="M54" s="20" t="s">
        <v>510</v>
      </c>
      <c r="N54" s="20"/>
    </row>
    <row r="55" spans="1:14" ht="13">
      <c r="A55" s="19">
        <v>7</v>
      </c>
      <c r="B55" s="336" t="s">
        <v>556</v>
      </c>
      <c r="C55" s="20" t="s">
        <v>562</v>
      </c>
      <c r="D55" s="336" t="s">
        <v>557</v>
      </c>
      <c r="E55" s="21" t="s">
        <v>70</v>
      </c>
      <c r="F55" s="331" t="s">
        <v>573</v>
      </c>
      <c r="G55" s="20" t="s">
        <v>50</v>
      </c>
      <c r="H55" s="20" t="s">
        <v>508</v>
      </c>
      <c r="I55" s="11" t="s">
        <v>509</v>
      </c>
      <c r="J55" s="20" t="s">
        <v>510</v>
      </c>
      <c r="K55" s="441" t="s">
        <v>574</v>
      </c>
      <c r="L55" s="20" t="s">
        <v>510</v>
      </c>
      <c r="M55" s="20" t="s">
        <v>510</v>
      </c>
      <c r="N55" s="20"/>
    </row>
    <row r="56" spans="1:14" ht="13">
      <c r="A56" s="19">
        <v>8</v>
      </c>
      <c r="B56" s="20"/>
      <c r="C56" s="20"/>
      <c r="D56" s="20" t="s">
        <v>558</v>
      </c>
      <c r="E56" s="20" t="s">
        <v>514</v>
      </c>
      <c r="F56" s="331" t="s">
        <v>573</v>
      </c>
      <c r="G56" s="20" t="s">
        <v>50</v>
      </c>
      <c r="H56" s="20" t="s">
        <v>508</v>
      </c>
      <c r="I56" s="11" t="s">
        <v>509</v>
      </c>
      <c r="J56" s="20" t="s">
        <v>510</v>
      </c>
      <c r="K56" s="441" t="s">
        <v>574</v>
      </c>
      <c r="L56" s="20" t="s">
        <v>510</v>
      </c>
      <c r="M56" s="20" t="s">
        <v>510</v>
      </c>
      <c r="N56" s="20"/>
    </row>
    <row r="57" spans="1:14" ht="13">
      <c r="A57" s="19">
        <v>9</v>
      </c>
      <c r="B57" s="20"/>
      <c r="C57" s="20"/>
      <c r="D57" s="20" t="s">
        <v>559</v>
      </c>
      <c r="E57" s="20" t="s">
        <v>515</v>
      </c>
      <c r="F57" s="331" t="s">
        <v>573</v>
      </c>
      <c r="G57" s="20" t="s">
        <v>50</v>
      </c>
      <c r="H57" s="20" t="s">
        <v>508</v>
      </c>
      <c r="I57" s="11" t="s">
        <v>509</v>
      </c>
      <c r="J57" s="20" t="s">
        <v>510</v>
      </c>
      <c r="K57" s="441" t="s">
        <v>574</v>
      </c>
      <c r="L57" s="20" t="s">
        <v>510</v>
      </c>
      <c r="M57" s="20" t="s">
        <v>510</v>
      </c>
      <c r="N57" s="20"/>
    </row>
    <row r="58" spans="1:14">
      <c r="A58" s="345" t="s">
        <v>516</v>
      </c>
      <c r="B58" s="28"/>
      <c r="C58" s="28"/>
      <c r="D58" s="28"/>
      <c r="E58" s="28"/>
      <c r="F58" s="33"/>
      <c r="G58" s="28"/>
      <c r="H58" s="28"/>
      <c r="I58" s="29"/>
      <c r="J58" s="28"/>
      <c r="K58" s="28"/>
      <c r="L58" s="28"/>
      <c r="M58" s="28"/>
      <c r="N58" s="28"/>
    </row>
    <row r="59" spans="1:14" ht="13">
      <c r="A59" s="19">
        <v>1</v>
      </c>
      <c r="B59" s="21" t="s">
        <v>51</v>
      </c>
      <c r="C59" s="21" t="s">
        <v>52</v>
      </c>
      <c r="D59" s="21" t="s">
        <v>53</v>
      </c>
      <c r="E59" s="21" t="s">
        <v>54</v>
      </c>
      <c r="F59" s="331" t="s">
        <v>573</v>
      </c>
      <c r="G59" s="21" t="s">
        <v>50</v>
      </c>
      <c r="H59" s="20" t="s">
        <v>508</v>
      </c>
      <c r="I59" s="11" t="s">
        <v>509</v>
      </c>
      <c r="J59" s="20" t="s">
        <v>510</v>
      </c>
      <c r="K59" s="441" t="s">
        <v>574</v>
      </c>
      <c r="L59" s="20" t="s">
        <v>510</v>
      </c>
      <c r="M59" s="20" t="s">
        <v>510</v>
      </c>
      <c r="N59" s="20"/>
    </row>
    <row r="60" spans="1:14" ht="13">
      <c r="A60" s="19">
        <v>2</v>
      </c>
      <c r="B60" s="21"/>
      <c r="C60" s="21" t="s">
        <v>55</v>
      </c>
      <c r="D60" s="21" t="s">
        <v>56</v>
      </c>
      <c r="E60" s="21" t="s">
        <v>71</v>
      </c>
      <c r="F60" s="331" t="s">
        <v>573</v>
      </c>
      <c r="G60" s="21" t="s">
        <v>50</v>
      </c>
      <c r="H60" s="20" t="s">
        <v>508</v>
      </c>
      <c r="I60" s="11" t="s">
        <v>509</v>
      </c>
      <c r="J60" s="20" t="s">
        <v>510</v>
      </c>
      <c r="K60" s="441" t="s">
        <v>574</v>
      </c>
      <c r="L60" s="20" t="s">
        <v>510</v>
      </c>
      <c r="M60" s="20" t="s">
        <v>510</v>
      </c>
      <c r="N60" s="20"/>
    </row>
    <row r="61" spans="1:14" ht="13">
      <c r="A61" s="19">
        <v>3</v>
      </c>
      <c r="B61" s="21"/>
      <c r="C61" s="21" t="s">
        <v>57</v>
      </c>
      <c r="D61" s="21" t="s">
        <v>58</v>
      </c>
      <c r="E61" s="21" t="s">
        <v>72</v>
      </c>
      <c r="F61" s="331" t="s">
        <v>573</v>
      </c>
      <c r="G61" s="21" t="s">
        <v>50</v>
      </c>
      <c r="H61" s="20" t="s">
        <v>508</v>
      </c>
      <c r="I61" s="11" t="s">
        <v>509</v>
      </c>
      <c r="J61" s="20" t="s">
        <v>510</v>
      </c>
      <c r="K61" s="441" t="s">
        <v>574</v>
      </c>
      <c r="L61" s="20" t="s">
        <v>510</v>
      </c>
      <c r="M61" s="20" t="s">
        <v>510</v>
      </c>
      <c r="N61" s="20"/>
    </row>
    <row r="62" spans="1:14" ht="13">
      <c r="A62" s="19">
        <v>4</v>
      </c>
      <c r="B62" s="21"/>
      <c r="C62" s="21" t="s">
        <v>59</v>
      </c>
      <c r="D62" s="21" t="s">
        <v>60</v>
      </c>
      <c r="E62" s="21" t="s">
        <v>61</v>
      </c>
      <c r="F62" s="331" t="s">
        <v>573</v>
      </c>
      <c r="G62" s="21" t="s">
        <v>50</v>
      </c>
      <c r="H62" s="20" t="s">
        <v>508</v>
      </c>
      <c r="I62" s="11" t="s">
        <v>509</v>
      </c>
      <c r="J62" s="20" t="s">
        <v>510</v>
      </c>
      <c r="K62" s="441" t="s">
        <v>574</v>
      </c>
      <c r="L62" s="20" t="s">
        <v>510</v>
      </c>
      <c r="M62" s="20" t="s">
        <v>510</v>
      </c>
      <c r="N62" s="20"/>
    </row>
    <row r="63" spans="1:14" ht="13">
      <c r="A63" s="19">
        <v>5</v>
      </c>
      <c r="B63" s="21"/>
      <c r="C63" s="21" t="s">
        <v>62</v>
      </c>
      <c r="D63" s="21" t="s">
        <v>63</v>
      </c>
      <c r="E63" s="21" t="s">
        <v>64</v>
      </c>
      <c r="F63" s="331" t="s">
        <v>573</v>
      </c>
      <c r="G63" s="21" t="s">
        <v>50</v>
      </c>
      <c r="H63" s="20" t="s">
        <v>508</v>
      </c>
      <c r="I63" s="11" t="s">
        <v>509</v>
      </c>
      <c r="J63" s="20" t="s">
        <v>510</v>
      </c>
      <c r="K63" s="441" t="s">
        <v>574</v>
      </c>
      <c r="L63" s="20" t="s">
        <v>510</v>
      </c>
      <c r="M63" s="20" t="s">
        <v>510</v>
      </c>
      <c r="N63" s="20"/>
    </row>
    <row r="64" spans="1:14" ht="13">
      <c r="A64" s="19">
        <v>6</v>
      </c>
      <c r="B64" s="21" t="s">
        <v>75</v>
      </c>
      <c r="C64" s="21" t="s">
        <v>52</v>
      </c>
      <c r="D64" s="21" t="s">
        <v>76</v>
      </c>
      <c r="E64" s="21" t="s">
        <v>77</v>
      </c>
      <c r="F64" s="331" t="s">
        <v>573</v>
      </c>
      <c r="G64" s="21" t="s">
        <v>50</v>
      </c>
      <c r="H64" s="20" t="s">
        <v>508</v>
      </c>
      <c r="I64" s="11" t="s">
        <v>509</v>
      </c>
      <c r="J64" s="20" t="s">
        <v>510</v>
      </c>
      <c r="K64" s="441" t="s">
        <v>574</v>
      </c>
      <c r="L64" s="20" t="s">
        <v>510</v>
      </c>
      <c r="M64" s="20" t="s">
        <v>510</v>
      </c>
      <c r="N64" s="20"/>
    </row>
    <row r="65" spans="1:14" ht="13">
      <c r="A65" s="19">
        <v>7</v>
      </c>
      <c r="B65" s="21" t="s">
        <v>545</v>
      </c>
      <c r="C65" s="21" t="s">
        <v>52</v>
      </c>
      <c r="D65" s="21" t="s">
        <v>65</v>
      </c>
      <c r="E65" s="21" t="s">
        <v>66</v>
      </c>
      <c r="F65" s="331" t="s">
        <v>573</v>
      </c>
      <c r="G65" s="21" t="s">
        <v>50</v>
      </c>
      <c r="H65" s="20" t="s">
        <v>508</v>
      </c>
      <c r="I65" s="11" t="s">
        <v>509</v>
      </c>
      <c r="J65" s="20" t="s">
        <v>510</v>
      </c>
      <c r="K65" s="441" t="s">
        <v>574</v>
      </c>
      <c r="L65" s="20" t="s">
        <v>510</v>
      </c>
      <c r="M65" s="20" t="s">
        <v>510</v>
      </c>
      <c r="N65" s="20"/>
    </row>
    <row r="66" spans="1:14" ht="13">
      <c r="A66" s="19">
        <v>8</v>
      </c>
      <c r="B66" s="21"/>
      <c r="C66" s="21" t="s">
        <v>52</v>
      </c>
      <c r="D66" s="21" t="s">
        <v>67</v>
      </c>
      <c r="E66" s="21" t="s">
        <v>68</v>
      </c>
      <c r="F66" s="331" t="s">
        <v>573</v>
      </c>
      <c r="G66" s="21" t="s">
        <v>50</v>
      </c>
      <c r="H66" s="20" t="s">
        <v>508</v>
      </c>
      <c r="I66" s="11" t="s">
        <v>509</v>
      </c>
      <c r="J66" s="20" t="s">
        <v>510</v>
      </c>
      <c r="K66" s="441" t="s">
        <v>574</v>
      </c>
      <c r="L66" s="20" t="s">
        <v>510</v>
      </c>
      <c r="M66" s="20" t="s">
        <v>510</v>
      </c>
      <c r="N66" s="20"/>
    </row>
    <row r="67" spans="1:14" ht="13">
      <c r="A67" s="19">
        <v>9</v>
      </c>
      <c r="B67" s="21"/>
      <c r="C67" s="21" t="s">
        <v>62</v>
      </c>
      <c r="D67" s="21" t="s">
        <v>69</v>
      </c>
      <c r="E67" s="21" t="s">
        <v>346</v>
      </c>
      <c r="F67" s="331" t="s">
        <v>573</v>
      </c>
      <c r="G67" s="21" t="s">
        <v>50</v>
      </c>
      <c r="H67" s="20" t="s">
        <v>508</v>
      </c>
      <c r="I67" s="11" t="s">
        <v>509</v>
      </c>
      <c r="J67" s="20" t="s">
        <v>510</v>
      </c>
      <c r="K67" s="441" t="s">
        <v>574</v>
      </c>
      <c r="L67" s="20" t="s">
        <v>510</v>
      </c>
      <c r="M67" s="20" t="s">
        <v>510</v>
      </c>
      <c r="N67" s="20"/>
    </row>
    <row r="68" spans="1:14" ht="13">
      <c r="A68" s="19">
        <v>10</v>
      </c>
      <c r="B68" s="20"/>
      <c r="C68" s="20" t="s">
        <v>538</v>
      </c>
      <c r="D68" s="20" t="s">
        <v>539</v>
      </c>
      <c r="E68" s="20" t="s">
        <v>540</v>
      </c>
      <c r="F68" s="331" t="s">
        <v>573</v>
      </c>
      <c r="G68" s="21" t="s">
        <v>50</v>
      </c>
      <c r="H68" s="20" t="s">
        <v>508</v>
      </c>
      <c r="I68" s="11" t="s">
        <v>509</v>
      </c>
      <c r="J68" s="20" t="s">
        <v>510</v>
      </c>
      <c r="K68" s="441" t="s">
        <v>574</v>
      </c>
      <c r="L68" s="20" t="s">
        <v>510</v>
      </c>
      <c r="M68" s="20" t="s">
        <v>510</v>
      </c>
      <c r="N68" s="20"/>
    </row>
    <row r="69" spans="1:14" ht="13">
      <c r="A69" s="19">
        <v>11</v>
      </c>
      <c r="B69" s="20"/>
      <c r="C69" s="20" t="s">
        <v>541</v>
      </c>
      <c r="D69" s="20" t="s">
        <v>542</v>
      </c>
      <c r="E69" s="20" t="s">
        <v>543</v>
      </c>
      <c r="F69" s="331" t="s">
        <v>573</v>
      </c>
      <c r="G69" s="21" t="s">
        <v>50</v>
      </c>
      <c r="H69" s="20" t="s">
        <v>508</v>
      </c>
      <c r="I69" s="11" t="s">
        <v>509</v>
      </c>
      <c r="J69" s="20" t="s">
        <v>510</v>
      </c>
      <c r="K69" s="441" t="s">
        <v>574</v>
      </c>
      <c r="L69" s="20" t="s">
        <v>510</v>
      </c>
      <c r="M69" s="20" t="s">
        <v>510</v>
      </c>
      <c r="N69" s="20"/>
    </row>
    <row r="70" spans="1:14">
      <c r="A70" s="19"/>
      <c r="B70" s="20"/>
      <c r="C70" s="20"/>
      <c r="D70" s="20"/>
      <c r="E70" s="20"/>
      <c r="F70" s="11"/>
      <c r="G70" s="20"/>
      <c r="H70" s="20"/>
      <c r="I70" s="11"/>
      <c r="J70" s="20"/>
      <c r="K70" s="20"/>
      <c r="L70" s="20"/>
      <c r="M70" s="20"/>
      <c r="N70" s="20"/>
    </row>
    <row r="71" spans="1:14">
      <c r="A71" s="19"/>
      <c r="B71" s="20"/>
      <c r="C71" s="20"/>
      <c r="D71" s="20"/>
      <c r="E71" s="20"/>
      <c r="F71" s="11"/>
      <c r="G71" s="20"/>
      <c r="H71" s="20"/>
      <c r="I71" s="11"/>
      <c r="J71" s="20"/>
      <c r="K71" s="20"/>
      <c r="L71" s="20"/>
      <c r="M71" s="20"/>
      <c r="N71" s="20"/>
    </row>
    <row r="72" spans="1:14">
      <c r="A72" s="19"/>
      <c r="B72" s="20"/>
      <c r="C72" s="20"/>
      <c r="D72" s="20"/>
      <c r="E72" s="20"/>
      <c r="F72" s="11"/>
      <c r="G72" s="20"/>
      <c r="H72" s="20"/>
      <c r="I72" s="11"/>
      <c r="J72" s="20"/>
      <c r="K72" s="20"/>
      <c r="L72" s="20"/>
      <c r="M72" s="20"/>
      <c r="N72" s="20"/>
    </row>
    <row r="73" spans="1:14">
      <c r="A73" s="19"/>
      <c r="B73" s="20"/>
      <c r="C73" s="21"/>
      <c r="D73" s="20"/>
      <c r="E73" s="20"/>
      <c r="F73" s="11"/>
      <c r="G73" s="20"/>
      <c r="H73" s="20"/>
      <c r="I73" s="11"/>
      <c r="J73" s="20"/>
      <c r="K73" s="20"/>
      <c r="L73" s="20"/>
      <c r="M73" s="20"/>
      <c r="N73" s="20"/>
    </row>
    <row r="74" spans="1:14">
      <c r="A74" s="19"/>
      <c r="B74" s="20"/>
      <c r="C74" s="20"/>
      <c r="D74" s="20"/>
      <c r="E74" s="20"/>
      <c r="F74" s="11"/>
      <c r="G74" s="20"/>
      <c r="H74" s="20"/>
      <c r="I74" s="11"/>
      <c r="J74" s="20"/>
      <c r="K74" s="20"/>
      <c r="L74" s="20"/>
      <c r="M74" s="20"/>
      <c r="N74" s="20"/>
    </row>
    <row r="75" spans="1:14">
      <c r="A75" s="19"/>
      <c r="B75" s="20"/>
      <c r="C75" s="20"/>
      <c r="D75" s="20"/>
      <c r="E75" s="20"/>
      <c r="F75" s="11"/>
      <c r="G75" s="20"/>
      <c r="H75" s="20"/>
      <c r="I75" s="11"/>
      <c r="J75" s="20"/>
      <c r="K75" s="20"/>
      <c r="L75" s="20"/>
      <c r="M75" s="20"/>
      <c r="N75" s="20"/>
    </row>
    <row r="76" spans="1:14">
      <c r="A76" s="19"/>
      <c r="B76" s="20"/>
      <c r="C76" s="20"/>
      <c r="D76" s="20"/>
      <c r="E76" s="20"/>
      <c r="F76" s="11"/>
      <c r="G76" s="20"/>
      <c r="H76" s="20"/>
      <c r="I76" s="11"/>
      <c r="J76" s="20"/>
      <c r="K76" s="20"/>
      <c r="L76" s="20"/>
      <c r="M76" s="20"/>
      <c r="N76" s="20"/>
    </row>
    <row r="77" spans="1:14">
      <c r="A77" s="19"/>
      <c r="B77" s="20"/>
      <c r="C77" s="20"/>
      <c r="D77" s="20"/>
      <c r="E77" s="20"/>
      <c r="F77" s="11"/>
      <c r="G77" s="20"/>
      <c r="H77" s="20"/>
      <c r="I77" s="11"/>
      <c r="J77" s="20"/>
      <c r="K77" s="20"/>
      <c r="L77" s="20"/>
      <c r="M77" s="20"/>
      <c r="N77" s="20"/>
    </row>
    <row r="78" spans="1:14">
      <c r="A78" s="19"/>
      <c r="B78" s="20"/>
      <c r="C78" s="20"/>
      <c r="D78" s="20"/>
      <c r="E78" s="20"/>
      <c r="F78" s="22"/>
      <c r="G78" s="20"/>
      <c r="H78" s="20"/>
      <c r="I78" s="11"/>
      <c r="J78" s="20"/>
      <c r="K78" s="20"/>
      <c r="L78" s="20"/>
      <c r="M78" s="20"/>
      <c r="N78" s="20"/>
    </row>
    <row r="79" spans="1:14">
      <c r="A79" s="19"/>
      <c r="B79" s="20"/>
      <c r="C79" s="20"/>
      <c r="D79" s="20"/>
      <c r="E79" s="20"/>
      <c r="F79" s="11"/>
      <c r="G79" s="20"/>
      <c r="H79" s="20"/>
      <c r="I79" s="11"/>
      <c r="J79" s="20"/>
      <c r="K79" s="20"/>
      <c r="L79" s="20"/>
      <c r="M79" s="20"/>
      <c r="N79" s="20"/>
    </row>
    <row r="80" spans="1:14">
      <c r="A80" s="19"/>
      <c r="B80" s="20"/>
      <c r="C80" s="20"/>
      <c r="D80" s="20"/>
      <c r="E80" s="20"/>
      <c r="F80" s="11"/>
      <c r="G80" s="20"/>
      <c r="H80" s="20"/>
      <c r="I80" s="11"/>
      <c r="J80" s="20"/>
      <c r="K80" s="20"/>
      <c r="L80" s="20"/>
      <c r="M80" s="20"/>
      <c r="N80" s="20"/>
    </row>
    <row r="81" spans="1:14">
      <c r="A81" s="19"/>
      <c r="B81" s="20"/>
      <c r="C81" s="20"/>
      <c r="D81" s="20"/>
      <c r="E81" s="20"/>
      <c r="F81" s="11"/>
      <c r="G81" s="20"/>
      <c r="H81" s="20"/>
      <c r="I81" s="11"/>
      <c r="J81" s="20"/>
      <c r="K81" s="20"/>
      <c r="L81" s="20"/>
      <c r="M81" s="20"/>
      <c r="N81" s="20"/>
    </row>
    <row r="82" spans="1:14">
      <c r="A82" s="19"/>
      <c r="B82" s="20"/>
      <c r="C82" s="20"/>
      <c r="D82" s="20"/>
      <c r="E82" s="20"/>
      <c r="F82" s="11"/>
      <c r="G82" s="20"/>
      <c r="H82" s="20"/>
      <c r="I82" s="11"/>
      <c r="J82" s="20"/>
      <c r="K82" s="20"/>
      <c r="L82" s="20"/>
      <c r="M82" s="20"/>
      <c r="N82" s="20"/>
    </row>
    <row r="83" spans="1:14">
      <c r="A83" s="19"/>
      <c r="B83" s="20"/>
      <c r="C83" s="21"/>
      <c r="D83" s="20"/>
      <c r="E83" s="20"/>
      <c r="F83" s="11"/>
      <c r="G83" s="20"/>
      <c r="H83" s="20"/>
      <c r="I83" s="11"/>
      <c r="J83" s="20"/>
      <c r="K83" s="20"/>
      <c r="L83" s="20"/>
      <c r="M83" s="20"/>
      <c r="N83" s="20"/>
    </row>
    <row r="84" spans="1:14">
      <c r="A84" s="19"/>
      <c r="B84" s="20"/>
      <c r="C84" s="20"/>
      <c r="D84" s="20"/>
      <c r="E84" s="20"/>
      <c r="F84" s="11"/>
      <c r="G84" s="20"/>
      <c r="H84" s="20"/>
      <c r="I84" s="11"/>
      <c r="J84" s="20"/>
      <c r="K84" s="20"/>
      <c r="L84" s="20"/>
      <c r="M84" s="20"/>
      <c r="N84" s="20"/>
    </row>
    <row r="85" spans="1:14">
      <c r="A85" s="19"/>
      <c r="B85" s="20"/>
      <c r="C85" s="20"/>
      <c r="D85" s="20"/>
      <c r="E85" s="20"/>
      <c r="F85" s="11"/>
      <c r="G85" s="20"/>
      <c r="H85" s="20"/>
      <c r="I85" s="11"/>
      <c r="J85" s="20"/>
      <c r="K85" s="20"/>
      <c r="L85" s="20"/>
      <c r="M85" s="20"/>
      <c r="N85" s="20"/>
    </row>
    <row r="86" spans="1:14">
      <c r="A86" s="19"/>
      <c r="B86" s="20"/>
      <c r="C86" s="20"/>
      <c r="D86" s="20"/>
      <c r="E86" s="20"/>
      <c r="F86" s="11"/>
      <c r="G86" s="20"/>
      <c r="H86" s="20"/>
      <c r="I86" s="11"/>
      <c r="J86" s="20"/>
      <c r="K86" s="20"/>
      <c r="L86" s="20"/>
      <c r="M86" s="20"/>
      <c r="N86" s="20"/>
    </row>
    <row r="87" spans="1:14">
      <c r="A87" s="19"/>
      <c r="B87" s="20"/>
      <c r="C87" s="20"/>
      <c r="D87" s="20"/>
      <c r="E87" s="20"/>
      <c r="F87" s="11"/>
      <c r="G87" s="20"/>
      <c r="H87" s="20"/>
      <c r="I87" s="11"/>
      <c r="J87" s="20"/>
      <c r="K87" s="20"/>
      <c r="L87" s="20"/>
      <c r="M87" s="20"/>
      <c r="N87" s="20"/>
    </row>
    <row r="88" spans="1:14">
      <c r="A88" s="19"/>
      <c r="B88" s="20"/>
      <c r="C88" s="20"/>
      <c r="D88" s="20"/>
      <c r="E88" s="20"/>
      <c r="F88" s="22"/>
      <c r="G88" s="20"/>
      <c r="H88" s="20"/>
      <c r="I88" s="11"/>
      <c r="J88" s="20"/>
      <c r="K88" s="20"/>
      <c r="L88" s="20"/>
      <c r="M88" s="20"/>
      <c r="N88" s="20"/>
    </row>
    <row r="89" spans="1:14">
      <c r="A89" s="19"/>
      <c r="B89" s="20"/>
      <c r="C89" s="20"/>
      <c r="D89" s="20"/>
      <c r="E89" s="20"/>
      <c r="F89" s="11"/>
      <c r="G89" s="20"/>
      <c r="H89" s="20"/>
      <c r="I89" s="11"/>
      <c r="J89" s="20"/>
      <c r="K89" s="20"/>
      <c r="L89" s="20"/>
      <c r="M89" s="20"/>
      <c r="N89" s="20"/>
    </row>
    <row r="90" spans="1:14">
      <c r="A90" s="19"/>
      <c r="B90" s="20"/>
      <c r="C90" s="20"/>
      <c r="D90" s="20"/>
      <c r="E90" s="20"/>
      <c r="F90" s="11"/>
      <c r="G90" s="20"/>
      <c r="H90" s="20"/>
      <c r="I90" s="11"/>
      <c r="J90" s="20"/>
      <c r="K90" s="20"/>
      <c r="L90" s="20"/>
      <c r="M90" s="20"/>
      <c r="N90" s="20"/>
    </row>
    <row r="91" spans="1:14">
      <c r="A91" s="19"/>
      <c r="B91" s="20"/>
      <c r="C91" s="20"/>
      <c r="D91" s="20"/>
      <c r="E91" s="20"/>
      <c r="F91" s="11"/>
      <c r="G91" s="20"/>
      <c r="H91" s="20"/>
      <c r="I91" s="11"/>
      <c r="J91" s="20"/>
      <c r="K91" s="20"/>
      <c r="L91" s="20"/>
      <c r="M91" s="20"/>
      <c r="N91" s="20"/>
    </row>
    <row r="92" spans="1:14">
      <c r="A92" s="19"/>
      <c r="B92" s="20"/>
      <c r="C92" s="20"/>
      <c r="D92" s="20"/>
      <c r="E92" s="20"/>
      <c r="F92" s="11"/>
      <c r="G92" s="20"/>
      <c r="H92" s="20"/>
      <c r="I92" s="11"/>
      <c r="J92" s="20"/>
      <c r="K92" s="20"/>
      <c r="L92" s="20"/>
      <c r="M92" s="20"/>
      <c r="N92" s="20"/>
    </row>
    <row r="93" spans="1:14">
      <c r="A93" s="19"/>
      <c r="C93" s="20"/>
      <c r="D93" s="20"/>
      <c r="E93" s="20"/>
      <c r="F93" s="11"/>
      <c r="G93" s="20"/>
      <c r="H93" s="20"/>
      <c r="I93" s="11"/>
      <c r="J93" s="20"/>
      <c r="K93" s="20"/>
      <c r="L93" s="20"/>
      <c r="M93" s="20"/>
      <c r="N93" s="20"/>
    </row>
    <row r="94" spans="1:14">
      <c r="A94" s="19"/>
      <c r="B94" s="20"/>
      <c r="C94" s="20"/>
      <c r="D94" s="20"/>
      <c r="E94" s="20"/>
      <c r="F94" s="11"/>
      <c r="G94" s="20"/>
      <c r="H94" s="20"/>
      <c r="I94" s="11"/>
      <c r="J94" s="20"/>
      <c r="K94" s="20"/>
      <c r="L94" s="20"/>
      <c r="M94" s="20"/>
      <c r="N94" s="20"/>
    </row>
    <row r="95" spans="1:14">
      <c r="A95" s="19"/>
      <c r="B95" s="20"/>
      <c r="C95" s="20"/>
      <c r="D95" s="20"/>
      <c r="E95" s="20"/>
      <c r="F95" s="11"/>
      <c r="G95" s="20"/>
      <c r="H95" s="20"/>
      <c r="I95" s="11"/>
      <c r="J95" s="20"/>
      <c r="K95" s="20"/>
      <c r="L95" s="20"/>
      <c r="M95" s="20"/>
      <c r="N95" s="20"/>
    </row>
    <row r="96" spans="1:14">
      <c r="A96" s="19"/>
      <c r="B96" s="20"/>
      <c r="C96" s="20"/>
      <c r="D96" s="20"/>
      <c r="E96" s="20"/>
      <c r="F96" s="11"/>
      <c r="G96" s="20"/>
      <c r="H96" s="20"/>
      <c r="I96" s="11"/>
      <c r="J96" s="20"/>
      <c r="K96" s="20"/>
      <c r="L96" s="20"/>
      <c r="M96" s="20"/>
      <c r="N96" s="20"/>
    </row>
    <row r="97" spans="1:14">
      <c r="A97" s="19"/>
      <c r="B97" s="20"/>
      <c r="C97" s="20"/>
      <c r="D97" s="20"/>
      <c r="E97" s="20"/>
      <c r="F97" s="11"/>
      <c r="G97" s="20"/>
      <c r="H97" s="20"/>
      <c r="I97" s="11"/>
      <c r="J97" s="20"/>
      <c r="K97" s="20"/>
      <c r="L97" s="20"/>
      <c r="M97" s="20"/>
      <c r="N97" s="20"/>
    </row>
    <row r="98" spans="1:14">
      <c r="A98" s="19"/>
      <c r="B98" s="20"/>
      <c r="C98" s="20"/>
      <c r="D98" s="20"/>
      <c r="E98" s="20"/>
      <c r="F98" s="11"/>
      <c r="G98" s="20"/>
      <c r="H98" s="20"/>
      <c r="I98" s="11"/>
      <c r="J98" s="20"/>
      <c r="K98" s="20"/>
      <c r="L98" s="20"/>
      <c r="M98" s="20"/>
      <c r="N98" s="20"/>
    </row>
    <row r="99" spans="1:14">
      <c r="A99" s="19"/>
      <c r="B99" s="20"/>
      <c r="C99" s="20"/>
      <c r="D99" s="20"/>
      <c r="E99" s="20"/>
      <c r="F99" s="11"/>
      <c r="G99" s="20"/>
      <c r="H99" s="20"/>
      <c r="I99" s="11"/>
      <c r="J99" s="20"/>
      <c r="K99" s="20"/>
      <c r="L99" s="20"/>
      <c r="M99" s="20"/>
      <c r="N99" s="20"/>
    </row>
    <row r="100" spans="1:14">
      <c r="A100" s="19"/>
      <c r="B100" s="20"/>
      <c r="C100" s="20"/>
      <c r="D100" s="20"/>
      <c r="E100" s="20"/>
      <c r="F100" s="11"/>
      <c r="G100" s="20"/>
      <c r="H100" s="20"/>
      <c r="I100" s="11"/>
      <c r="J100" s="20"/>
      <c r="K100" s="20"/>
      <c r="L100" s="20"/>
      <c r="M100" s="20"/>
      <c r="N100" s="20"/>
    </row>
    <row r="101" spans="1:14">
      <c r="A101" s="19"/>
      <c r="B101" s="20"/>
      <c r="C101" s="20"/>
      <c r="D101" s="20"/>
      <c r="E101" s="20"/>
      <c r="F101" s="11"/>
      <c r="G101" s="20"/>
      <c r="H101" s="20"/>
      <c r="I101" s="11"/>
      <c r="J101" s="20"/>
      <c r="K101" s="20"/>
      <c r="L101" s="20"/>
      <c r="M101" s="20"/>
      <c r="N101" s="20"/>
    </row>
    <row r="102" spans="1:14">
      <c r="A102" s="19"/>
      <c r="B102" s="20"/>
      <c r="C102" s="20"/>
      <c r="D102" s="20"/>
      <c r="E102" s="20"/>
      <c r="F102" s="11"/>
      <c r="G102" s="20"/>
      <c r="H102" s="20"/>
      <c r="I102" s="11"/>
      <c r="J102" s="20"/>
      <c r="K102" s="20"/>
      <c r="L102" s="20"/>
      <c r="M102" s="20"/>
      <c r="N102" s="20"/>
    </row>
    <row r="103" spans="1:14">
      <c r="A103" s="19"/>
      <c r="B103" s="20"/>
      <c r="C103" s="20"/>
      <c r="D103" s="20"/>
      <c r="E103" s="20"/>
      <c r="F103" s="11"/>
      <c r="G103" s="20"/>
      <c r="H103" s="20"/>
      <c r="I103" s="11"/>
      <c r="J103" s="20"/>
      <c r="K103" s="20"/>
      <c r="L103" s="20"/>
      <c r="M103" s="20"/>
      <c r="N103" s="20"/>
    </row>
    <row r="104" spans="1:14">
      <c r="A104" s="19"/>
      <c r="B104" s="20"/>
      <c r="C104" s="20"/>
      <c r="D104" s="20"/>
      <c r="E104" s="20"/>
      <c r="F104" s="11"/>
      <c r="G104" s="20"/>
      <c r="H104" s="20"/>
      <c r="I104" s="11"/>
      <c r="J104" s="20"/>
      <c r="K104" s="20"/>
      <c r="L104" s="20"/>
      <c r="M104" s="20"/>
      <c r="N104" s="20"/>
    </row>
    <row r="105" spans="1:14">
      <c r="A105" s="19"/>
      <c r="B105" s="20"/>
      <c r="C105" s="20"/>
      <c r="D105" s="20"/>
      <c r="E105" s="20"/>
      <c r="F105" s="11"/>
      <c r="G105" s="20"/>
      <c r="H105" s="20"/>
      <c r="I105" s="11"/>
      <c r="J105" s="20"/>
      <c r="K105" s="20"/>
      <c r="L105" s="20"/>
      <c r="M105" s="20"/>
      <c r="N105" s="20"/>
    </row>
    <row r="106" spans="1:14">
      <c r="A106" s="19"/>
      <c r="B106" s="20"/>
      <c r="C106" s="20"/>
      <c r="D106" s="20"/>
      <c r="E106" s="20"/>
      <c r="F106" s="11"/>
      <c r="G106" s="20"/>
      <c r="H106" s="20"/>
      <c r="I106" s="11"/>
      <c r="J106" s="20"/>
      <c r="K106" s="20"/>
      <c r="L106" s="20"/>
      <c r="M106" s="20"/>
      <c r="N106" s="20"/>
    </row>
    <row r="107" spans="1:14">
      <c r="A107" s="19"/>
      <c r="B107" s="20"/>
      <c r="C107" s="20"/>
      <c r="D107" s="20"/>
      <c r="E107" s="20"/>
      <c r="F107" s="11"/>
      <c r="G107" s="20"/>
      <c r="H107" s="20"/>
      <c r="I107" s="11"/>
      <c r="J107" s="20"/>
      <c r="K107" s="20"/>
      <c r="L107" s="20"/>
      <c r="M107" s="20"/>
      <c r="N107" s="20"/>
    </row>
    <row r="108" spans="1:14">
      <c r="A108" s="19"/>
      <c r="B108" s="20"/>
      <c r="C108" s="20"/>
      <c r="D108" s="20"/>
      <c r="E108" s="20"/>
      <c r="F108" s="11"/>
      <c r="G108" s="20"/>
      <c r="H108" s="20"/>
      <c r="I108" s="11"/>
      <c r="J108" s="20"/>
      <c r="K108" s="20"/>
      <c r="L108" s="20"/>
      <c r="M108" s="20"/>
      <c r="N108" s="20"/>
    </row>
    <row r="109" spans="1:14">
      <c r="A109" s="19"/>
      <c r="B109" s="20"/>
      <c r="C109" s="20"/>
      <c r="D109" s="20"/>
      <c r="E109" s="20"/>
      <c r="F109" s="11"/>
      <c r="G109" s="20"/>
      <c r="H109" s="20"/>
      <c r="I109" s="11"/>
      <c r="J109" s="20"/>
      <c r="K109" s="20"/>
      <c r="L109" s="20"/>
      <c r="M109" s="20"/>
      <c r="N109" s="20"/>
    </row>
    <row r="110" spans="1:14">
      <c r="A110" s="19"/>
      <c r="B110" s="20"/>
      <c r="C110" s="20"/>
      <c r="D110" s="20"/>
      <c r="E110" s="20"/>
      <c r="F110" s="11"/>
      <c r="G110" s="20"/>
      <c r="H110" s="20"/>
      <c r="I110" s="11"/>
      <c r="J110" s="20"/>
      <c r="K110" s="20"/>
      <c r="L110" s="20"/>
      <c r="M110" s="20"/>
      <c r="N110" s="20"/>
    </row>
    <row r="111" spans="1:14">
      <c r="A111" s="19"/>
      <c r="B111" s="20"/>
      <c r="C111" s="20"/>
      <c r="D111" s="20"/>
      <c r="E111" s="20"/>
      <c r="F111" s="11"/>
      <c r="G111" s="20"/>
      <c r="H111" s="20"/>
      <c r="I111" s="11"/>
      <c r="J111" s="20"/>
      <c r="K111" s="20"/>
      <c r="L111" s="20"/>
      <c r="M111" s="20"/>
      <c r="N111" s="20"/>
    </row>
    <row r="112" spans="1:14">
      <c r="A112" s="19"/>
      <c r="B112" s="20"/>
      <c r="C112" s="20"/>
      <c r="D112" s="20"/>
      <c r="E112" s="20"/>
      <c r="F112" s="11"/>
      <c r="G112" s="20"/>
      <c r="H112" s="20"/>
      <c r="I112" s="11"/>
      <c r="J112" s="20"/>
      <c r="K112" s="20"/>
      <c r="L112" s="20"/>
      <c r="M112" s="20"/>
      <c r="N112" s="20"/>
    </row>
    <row r="113" spans="1:14">
      <c r="A113" s="19"/>
      <c r="B113" s="20"/>
      <c r="C113" s="20"/>
      <c r="D113" s="20"/>
      <c r="E113" s="20"/>
      <c r="F113" s="11"/>
      <c r="G113" s="20"/>
      <c r="H113" s="20"/>
      <c r="I113" s="11"/>
      <c r="J113" s="20"/>
      <c r="K113" s="20"/>
      <c r="L113" s="20"/>
      <c r="M113" s="20"/>
      <c r="N113" s="20"/>
    </row>
    <row r="114" spans="1:14">
      <c r="A114" s="19"/>
      <c r="B114" s="20"/>
      <c r="C114" s="20"/>
      <c r="D114" s="20"/>
      <c r="E114" s="20"/>
      <c r="F114" s="11"/>
      <c r="G114" s="20"/>
      <c r="H114" s="20"/>
      <c r="I114" s="11"/>
      <c r="J114" s="20"/>
      <c r="K114" s="20"/>
      <c r="L114" s="20"/>
      <c r="M114" s="20"/>
      <c r="N114" s="20"/>
    </row>
    <row r="115" spans="1:14">
      <c r="A115" s="19"/>
      <c r="B115" s="20"/>
      <c r="C115" s="20"/>
      <c r="D115" s="20"/>
      <c r="E115" s="20"/>
      <c r="F115" s="11"/>
      <c r="G115" s="20"/>
      <c r="H115" s="20"/>
      <c r="I115" s="11"/>
      <c r="J115" s="20"/>
      <c r="K115" s="20"/>
      <c r="L115" s="20"/>
      <c r="M115" s="20"/>
      <c r="N115" s="20"/>
    </row>
    <row r="116" spans="1:14">
      <c r="A116" s="19"/>
      <c r="B116" s="20"/>
      <c r="C116" s="20"/>
      <c r="D116" s="20"/>
      <c r="E116" s="20"/>
      <c r="F116" s="11"/>
      <c r="G116" s="20"/>
      <c r="H116" s="20"/>
      <c r="I116" s="11"/>
      <c r="J116" s="20"/>
      <c r="K116" s="20"/>
      <c r="L116" s="20"/>
      <c r="M116" s="20"/>
      <c r="N116" s="20"/>
    </row>
    <row r="117" spans="1:14">
      <c r="A117" s="19"/>
      <c r="B117" s="20"/>
      <c r="C117" s="20"/>
      <c r="D117" s="20"/>
      <c r="E117" s="20"/>
      <c r="F117" s="11"/>
      <c r="G117" s="20"/>
      <c r="H117" s="20"/>
      <c r="I117" s="11"/>
      <c r="J117" s="20"/>
      <c r="K117" s="20"/>
      <c r="L117" s="20"/>
      <c r="M117" s="20"/>
      <c r="N117" s="20"/>
    </row>
    <row r="118" spans="1:14">
      <c r="A118" s="19"/>
      <c r="B118" s="20"/>
      <c r="C118" s="20"/>
      <c r="D118" s="20"/>
      <c r="E118" s="20"/>
      <c r="F118" s="11"/>
      <c r="G118" s="20"/>
      <c r="H118" s="20"/>
      <c r="I118" s="11"/>
      <c r="J118" s="20"/>
      <c r="K118" s="20"/>
      <c r="L118" s="20"/>
      <c r="M118" s="20"/>
      <c r="N118" s="20"/>
    </row>
    <row r="119" spans="1:14">
      <c r="A119" s="19"/>
      <c r="B119" s="20"/>
      <c r="C119" s="20"/>
      <c r="D119" s="20"/>
      <c r="E119" s="20"/>
      <c r="F119" s="11"/>
      <c r="G119" s="20"/>
      <c r="H119" s="20"/>
      <c r="I119" s="11"/>
      <c r="J119" s="20"/>
      <c r="K119" s="20"/>
      <c r="L119" s="20"/>
      <c r="M119" s="20"/>
      <c r="N119" s="20"/>
    </row>
    <row r="120" spans="1:14">
      <c r="A120" s="19"/>
      <c r="B120" s="20"/>
      <c r="C120" s="20"/>
      <c r="D120" s="20"/>
      <c r="E120" s="20"/>
      <c r="F120" s="11"/>
      <c r="G120" s="20"/>
      <c r="H120" s="20"/>
      <c r="I120" s="11"/>
      <c r="J120" s="20"/>
      <c r="K120" s="20"/>
      <c r="L120" s="20"/>
      <c r="M120" s="20"/>
      <c r="N120" s="20"/>
    </row>
    <row r="121" spans="1:14">
      <c r="A121" s="19"/>
      <c r="B121" s="20"/>
      <c r="C121" s="20"/>
      <c r="D121" s="20"/>
      <c r="E121" s="20"/>
      <c r="F121" s="11"/>
      <c r="G121" s="20"/>
      <c r="H121" s="20"/>
      <c r="I121" s="11"/>
      <c r="J121" s="20"/>
      <c r="K121" s="20"/>
      <c r="L121" s="20"/>
      <c r="M121" s="20"/>
      <c r="N121" s="20"/>
    </row>
    <row r="122" spans="1:14">
      <c r="A122" s="19"/>
      <c r="B122" s="20"/>
      <c r="C122" s="20"/>
      <c r="D122" s="20"/>
      <c r="E122" s="20"/>
      <c r="F122" s="11"/>
      <c r="G122" s="20"/>
      <c r="H122" s="20"/>
      <c r="I122" s="11"/>
      <c r="J122" s="20"/>
      <c r="K122" s="20"/>
      <c r="L122" s="20"/>
      <c r="M122" s="20"/>
      <c r="N122" s="20"/>
    </row>
    <row r="123" spans="1:14">
      <c r="A123" s="19"/>
      <c r="B123" s="20"/>
      <c r="C123" s="20"/>
      <c r="D123" s="20"/>
      <c r="E123" s="20"/>
      <c r="F123" s="11"/>
      <c r="G123" s="20"/>
      <c r="H123" s="20"/>
      <c r="I123" s="11"/>
      <c r="J123" s="20"/>
      <c r="K123" s="20"/>
      <c r="L123" s="20"/>
      <c r="M123" s="20"/>
      <c r="N123" s="20"/>
    </row>
    <row r="124" spans="1:14">
      <c r="A124" s="19"/>
      <c r="B124" s="20"/>
      <c r="C124" s="20"/>
      <c r="D124" s="20"/>
      <c r="E124" s="20"/>
      <c r="F124" s="11"/>
      <c r="G124" s="20"/>
      <c r="H124" s="20"/>
      <c r="I124" s="11"/>
      <c r="J124" s="20"/>
      <c r="K124" s="20"/>
      <c r="L124" s="20"/>
      <c r="M124" s="20"/>
      <c r="N124" s="20"/>
    </row>
    <row r="125" spans="1:14">
      <c r="A125" s="19"/>
      <c r="B125" s="20"/>
      <c r="C125" s="20"/>
      <c r="D125" s="20"/>
      <c r="E125" s="20"/>
      <c r="F125" s="11"/>
      <c r="G125" s="20"/>
      <c r="H125" s="20"/>
      <c r="I125" s="11"/>
      <c r="J125" s="20"/>
      <c r="K125" s="20"/>
      <c r="L125" s="20"/>
      <c r="M125" s="20"/>
      <c r="N125" s="20"/>
    </row>
    <row r="126" spans="1:14">
      <c r="A126" s="19"/>
      <c r="B126" s="20"/>
      <c r="C126" s="20"/>
      <c r="D126" s="20"/>
      <c r="E126" s="20"/>
      <c r="F126" s="11"/>
      <c r="G126" s="20"/>
      <c r="H126" s="20"/>
      <c r="I126" s="11"/>
      <c r="J126" s="20"/>
      <c r="K126" s="20"/>
      <c r="L126" s="20"/>
      <c r="M126" s="20"/>
      <c r="N126" s="20"/>
    </row>
    <row r="127" spans="1:14">
      <c r="A127" s="19"/>
      <c r="B127" s="20"/>
      <c r="C127" s="20"/>
      <c r="D127" s="20"/>
      <c r="E127" s="20"/>
      <c r="F127" s="11"/>
      <c r="G127" s="20"/>
      <c r="H127" s="20"/>
      <c r="I127" s="11"/>
      <c r="J127" s="20"/>
      <c r="K127" s="20"/>
      <c r="L127" s="20"/>
      <c r="M127" s="20"/>
      <c r="N127" s="20"/>
    </row>
    <row r="128" spans="1:14">
      <c r="A128" s="19"/>
      <c r="B128" s="20"/>
      <c r="C128" s="20"/>
      <c r="D128" s="20"/>
      <c r="E128" s="20"/>
      <c r="F128" s="11"/>
      <c r="G128" s="20"/>
      <c r="H128" s="20"/>
      <c r="I128" s="11"/>
      <c r="J128" s="20"/>
      <c r="K128" s="20"/>
      <c r="L128" s="20"/>
      <c r="M128" s="20"/>
      <c r="N128" s="20"/>
    </row>
    <row r="129" spans="1:14">
      <c r="A129" s="19"/>
      <c r="B129" s="20"/>
      <c r="C129" s="20"/>
      <c r="D129" s="20"/>
      <c r="E129" s="20"/>
      <c r="F129" s="11"/>
      <c r="G129" s="20"/>
      <c r="H129" s="20"/>
      <c r="I129" s="11"/>
      <c r="J129" s="20"/>
      <c r="K129" s="20"/>
      <c r="L129" s="20"/>
      <c r="M129" s="20"/>
      <c r="N129" s="20"/>
    </row>
    <row r="130" spans="1:14">
      <c r="A130" s="19"/>
      <c r="B130" s="20"/>
      <c r="C130" s="20"/>
      <c r="D130" s="20"/>
      <c r="E130" s="20"/>
      <c r="F130" s="11"/>
      <c r="G130" s="20"/>
      <c r="H130" s="20"/>
      <c r="I130" s="11"/>
      <c r="J130" s="20"/>
      <c r="K130" s="20"/>
      <c r="L130" s="20"/>
      <c r="M130" s="20"/>
      <c r="N130" s="20"/>
    </row>
    <row r="131" spans="1:14">
      <c r="A131" s="19"/>
      <c r="B131" s="20"/>
      <c r="C131" s="20"/>
      <c r="D131" s="20"/>
      <c r="E131" s="20"/>
      <c r="F131" s="11"/>
      <c r="G131" s="20"/>
      <c r="H131" s="20"/>
      <c r="I131" s="11"/>
      <c r="J131" s="20"/>
      <c r="K131" s="20"/>
      <c r="L131" s="20"/>
      <c r="M131" s="20"/>
      <c r="N131" s="20"/>
    </row>
    <row r="132" spans="1:14">
      <c r="A132" s="19"/>
      <c r="B132" s="20"/>
      <c r="C132" s="20"/>
      <c r="D132" s="20"/>
      <c r="E132" s="20"/>
      <c r="F132" s="11"/>
      <c r="G132" s="20"/>
      <c r="H132" s="20"/>
      <c r="I132" s="11"/>
      <c r="J132" s="20"/>
      <c r="K132" s="20"/>
      <c r="L132" s="20"/>
      <c r="M132" s="20"/>
      <c r="N132" s="20"/>
    </row>
    <row r="133" spans="1:14">
      <c r="A133" s="19"/>
      <c r="B133" s="20"/>
      <c r="C133" s="20"/>
      <c r="D133" s="20"/>
      <c r="E133" s="20"/>
      <c r="F133" s="11"/>
      <c r="G133" s="20"/>
      <c r="H133" s="20"/>
      <c r="I133" s="11"/>
      <c r="J133" s="20"/>
      <c r="K133" s="20"/>
      <c r="L133" s="20"/>
      <c r="M133" s="20"/>
      <c r="N133" s="20"/>
    </row>
    <row r="134" spans="1:14">
      <c r="A134" s="19"/>
      <c r="B134" s="20"/>
      <c r="C134" s="20"/>
      <c r="D134" s="20"/>
      <c r="E134" s="20"/>
      <c r="F134" s="11"/>
      <c r="G134" s="20"/>
      <c r="H134" s="20"/>
      <c r="I134" s="11"/>
      <c r="J134" s="20"/>
      <c r="K134" s="20"/>
      <c r="L134" s="20"/>
      <c r="M134" s="20"/>
      <c r="N134" s="20"/>
    </row>
    <row r="135" spans="1:14">
      <c r="A135" s="19"/>
      <c r="B135" s="20"/>
      <c r="C135" s="20"/>
      <c r="D135" s="20"/>
      <c r="E135" s="20"/>
      <c r="F135" s="11"/>
      <c r="G135" s="20"/>
      <c r="H135" s="20"/>
      <c r="I135" s="11"/>
      <c r="J135" s="20"/>
      <c r="K135" s="20"/>
      <c r="L135" s="20"/>
      <c r="M135" s="20"/>
      <c r="N135" s="20"/>
    </row>
    <row r="136" spans="1:14">
      <c r="A136" s="19"/>
      <c r="B136" s="20"/>
      <c r="C136" s="20"/>
      <c r="D136" s="20"/>
      <c r="E136" s="20"/>
      <c r="F136" s="11"/>
      <c r="G136" s="20"/>
      <c r="H136" s="20"/>
      <c r="I136" s="11"/>
      <c r="J136" s="20"/>
      <c r="K136" s="20"/>
      <c r="L136" s="20"/>
      <c r="M136" s="20"/>
      <c r="N136" s="20"/>
    </row>
    <row r="137" spans="1:14">
      <c r="A137" s="19"/>
      <c r="B137" s="20"/>
      <c r="C137" s="20"/>
      <c r="D137" s="20"/>
      <c r="E137" s="20"/>
      <c r="F137" s="11"/>
      <c r="G137" s="20"/>
      <c r="H137" s="20"/>
      <c r="I137" s="11"/>
      <c r="J137" s="20"/>
      <c r="K137" s="20"/>
      <c r="L137" s="20"/>
      <c r="M137" s="20"/>
      <c r="N137" s="20"/>
    </row>
    <row r="138" spans="1:14">
      <c r="A138" s="19"/>
      <c r="B138" s="20"/>
      <c r="C138" s="20"/>
      <c r="D138" s="20"/>
      <c r="E138" s="20"/>
      <c r="F138" s="11"/>
      <c r="G138" s="20"/>
      <c r="H138" s="20"/>
      <c r="I138" s="11"/>
      <c r="J138" s="20"/>
      <c r="K138" s="20"/>
      <c r="L138" s="20"/>
      <c r="M138" s="20"/>
      <c r="N138" s="20"/>
    </row>
    <row r="139" spans="1:14">
      <c r="A139" s="19"/>
      <c r="B139" s="20"/>
      <c r="C139" s="20"/>
      <c r="D139" s="20"/>
      <c r="E139" s="20"/>
      <c r="F139" s="11"/>
      <c r="G139" s="20"/>
      <c r="H139" s="20"/>
      <c r="I139" s="11"/>
      <c r="J139" s="20"/>
      <c r="K139" s="20"/>
      <c r="L139" s="20"/>
      <c r="M139" s="20"/>
      <c r="N139" s="20"/>
    </row>
    <row r="140" spans="1:14">
      <c r="A140" s="19"/>
      <c r="B140" s="20"/>
      <c r="C140" s="20"/>
      <c r="D140" s="20"/>
      <c r="E140" s="20"/>
      <c r="F140" s="11"/>
      <c r="G140" s="20"/>
      <c r="H140" s="20"/>
      <c r="I140" s="11"/>
      <c r="J140" s="20"/>
      <c r="K140" s="20"/>
      <c r="L140" s="20"/>
      <c r="M140" s="20"/>
      <c r="N140" s="20"/>
    </row>
    <row r="141" spans="1:14">
      <c r="A141" s="19"/>
      <c r="B141" s="20"/>
      <c r="C141" s="20"/>
      <c r="D141" s="20"/>
      <c r="E141" s="20"/>
      <c r="F141" s="11"/>
      <c r="G141" s="20"/>
      <c r="H141" s="20"/>
      <c r="I141" s="11"/>
      <c r="J141" s="20"/>
      <c r="K141" s="20"/>
      <c r="L141" s="20"/>
      <c r="M141" s="20"/>
      <c r="N141" s="20"/>
    </row>
    <row r="142" spans="1:14">
      <c r="A142" s="19"/>
      <c r="B142" s="20"/>
      <c r="C142" s="20"/>
      <c r="D142" s="20"/>
      <c r="E142" s="20"/>
      <c r="F142" s="11"/>
      <c r="G142" s="20"/>
      <c r="H142" s="20"/>
      <c r="I142" s="11"/>
      <c r="J142" s="20"/>
      <c r="K142" s="20"/>
      <c r="L142" s="20"/>
      <c r="M142" s="20"/>
      <c r="N142" s="20"/>
    </row>
    <row r="143" spans="1:14">
      <c r="A143" s="19"/>
      <c r="B143" s="20"/>
      <c r="C143" s="20"/>
      <c r="D143" s="20"/>
      <c r="E143" s="20"/>
      <c r="F143" s="11"/>
      <c r="G143" s="20"/>
      <c r="H143" s="20"/>
      <c r="I143" s="11"/>
      <c r="J143" s="20"/>
      <c r="K143" s="20"/>
      <c r="L143" s="20"/>
      <c r="M143" s="20"/>
      <c r="N143" s="20"/>
    </row>
    <row r="144" spans="1:14">
      <c r="A144" s="19"/>
      <c r="B144" s="20"/>
      <c r="C144" s="20"/>
      <c r="D144" s="20"/>
      <c r="E144" s="20"/>
      <c r="F144" s="11"/>
      <c r="G144" s="20"/>
      <c r="H144" s="20"/>
      <c r="I144" s="11"/>
      <c r="J144" s="20"/>
      <c r="K144" s="20"/>
      <c r="L144" s="20"/>
      <c r="M144" s="20"/>
      <c r="N144" s="20"/>
    </row>
    <row r="145" spans="1:14">
      <c r="A145" s="19"/>
      <c r="B145" s="20"/>
      <c r="C145" s="20"/>
      <c r="D145" s="20"/>
      <c r="E145" s="20"/>
      <c r="F145" s="11"/>
      <c r="G145" s="20"/>
      <c r="H145" s="20"/>
      <c r="I145" s="11"/>
      <c r="J145" s="20"/>
      <c r="K145" s="20"/>
      <c r="L145" s="20"/>
      <c r="M145" s="20"/>
      <c r="N145" s="20"/>
    </row>
    <row r="146" spans="1:14">
      <c r="A146" s="19"/>
      <c r="B146" s="20"/>
      <c r="C146" s="20"/>
      <c r="D146" s="20"/>
      <c r="E146" s="20"/>
      <c r="F146" s="11"/>
      <c r="G146" s="20"/>
      <c r="H146" s="20"/>
      <c r="I146" s="11"/>
      <c r="J146" s="20"/>
      <c r="K146" s="20"/>
      <c r="L146" s="20"/>
      <c r="M146" s="20"/>
      <c r="N146" s="20"/>
    </row>
    <row r="147" spans="1:14">
      <c r="A147" s="19"/>
      <c r="B147" s="20"/>
      <c r="C147" s="20"/>
      <c r="D147" s="20"/>
      <c r="E147" s="20"/>
      <c r="F147" s="11"/>
      <c r="G147" s="20"/>
      <c r="H147" s="20"/>
      <c r="I147" s="11"/>
      <c r="J147" s="20"/>
      <c r="K147" s="20"/>
      <c r="L147" s="20"/>
      <c r="M147" s="20"/>
      <c r="N147" s="20"/>
    </row>
    <row r="148" spans="1:14">
      <c r="A148" s="19"/>
      <c r="B148" s="20"/>
      <c r="C148" s="20"/>
      <c r="D148" s="20"/>
      <c r="E148" s="20"/>
      <c r="F148" s="11"/>
      <c r="G148" s="20"/>
      <c r="H148" s="20"/>
      <c r="I148" s="11"/>
      <c r="J148" s="20"/>
      <c r="K148" s="20"/>
      <c r="L148" s="20"/>
      <c r="M148" s="20"/>
      <c r="N148" s="20"/>
    </row>
    <row r="149" spans="1:14">
      <c r="A149" s="19"/>
      <c r="B149" s="20"/>
      <c r="C149" s="20"/>
      <c r="D149" s="20"/>
      <c r="E149" s="20"/>
      <c r="F149" s="11"/>
      <c r="G149" s="20"/>
      <c r="H149" s="20"/>
      <c r="I149" s="11"/>
      <c r="J149" s="20"/>
      <c r="K149" s="20"/>
      <c r="L149" s="20"/>
      <c r="M149" s="20"/>
      <c r="N149" s="20"/>
    </row>
    <row r="150" spans="1:14">
      <c r="A150" s="19"/>
      <c r="B150" s="20"/>
      <c r="C150" s="20"/>
      <c r="D150" s="20"/>
      <c r="E150" s="20"/>
      <c r="F150" s="11"/>
      <c r="G150" s="20"/>
      <c r="H150" s="20"/>
      <c r="I150" s="11"/>
      <c r="J150" s="20"/>
      <c r="K150" s="20"/>
      <c r="L150" s="20"/>
      <c r="M150" s="20"/>
      <c r="N150" s="20"/>
    </row>
    <row r="151" spans="1:14">
      <c r="A151" s="19"/>
      <c r="B151" s="20"/>
      <c r="C151" s="20"/>
      <c r="D151" s="20"/>
      <c r="E151" s="20"/>
      <c r="F151" s="11"/>
      <c r="G151" s="20"/>
      <c r="H151" s="20"/>
      <c r="I151" s="11"/>
      <c r="J151" s="20"/>
      <c r="K151" s="20"/>
      <c r="L151" s="20"/>
      <c r="M151" s="20"/>
      <c r="N151" s="20"/>
    </row>
    <row r="152" spans="1:14">
      <c r="A152" s="19"/>
      <c r="B152" s="20"/>
      <c r="C152" s="20"/>
      <c r="D152" s="20"/>
      <c r="E152" s="20"/>
      <c r="F152" s="11"/>
      <c r="G152" s="20"/>
      <c r="H152" s="20"/>
      <c r="I152" s="11"/>
      <c r="J152" s="20"/>
      <c r="K152" s="20"/>
      <c r="L152" s="20"/>
      <c r="M152" s="20"/>
      <c r="N152" s="20"/>
    </row>
    <row r="153" spans="1:14">
      <c r="A153" s="19"/>
      <c r="B153" s="20"/>
      <c r="C153" s="20"/>
      <c r="D153" s="20"/>
      <c r="E153" s="20"/>
      <c r="F153" s="11"/>
      <c r="G153" s="20"/>
      <c r="H153" s="20"/>
      <c r="I153" s="11"/>
      <c r="J153" s="20"/>
      <c r="K153" s="20"/>
      <c r="L153" s="20"/>
      <c r="M153" s="20"/>
      <c r="N153" s="20"/>
    </row>
    <row r="154" spans="1:14">
      <c r="A154" s="19"/>
      <c r="B154" s="20"/>
      <c r="C154" s="20"/>
      <c r="D154" s="20"/>
      <c r="E154" s="20"/>
      <c r="F154" s="11"/>
      <c r="G154" s="20"/>
      <c r="H154" s="20"/>
      <c r="I154" s="11"/>
      <c r="J154" s="20"/>
      <c r="K154" s="20"/>
      <c r="L154" s="20"/>
      <c r="M154" s="20"/>
      <c r="N154" s="20"/>
    </row>
    <row r="155" spans="1:14">
      <c r="A155" s="19"/>
      <c r="B155" s="20"/>
      <c r="C155" s="20"/>
      <c r="D155" s="20"/>
      <c r="E155" s="20"/>
      <c r="F155" s="11"/>
      <c r="G155" s="20"/>
      <c r="H155" s="20"/>
      <c r="I155" s="11"/>
      <c r="J155" s="20"/>
      <c r="K155" s="20"/>
      <c r="L155" s="20"/>
      <c r="M155" s="20"/>
      <c r="N155" s="20"/>
    </row>
    <row r="156" spans="1:14">
      <c r="A156" s="19"/>
      <c r="B156" s="20"/>
      <c r="C156" s="20"/>
      <c r="D156" s="20"/>
      <c r="E156" s="20"/>
      <c r="F156" s="11"/>
      <c r="G156" s="20"/>
      <c r="H156" s="20"/>
      <c r="I156" s="11"/>
      <c r="J156" s="20"/>
      <c r="K156" s="20"/>
      <c r="L156" s="20"/>
      <c r="M156" s="20"/>
      <c r="N156" s="20"/>
    </row>
    <row r="157" spans="1:14">
      <c r="A157" s="19"/>
      <c r="B157" s="20"/>
      <c r="C157" s="20"/>
      <c r="D157" s="20"/>
      <c r="E157" s="20"/>
      <c r="F157" s="11"/>
      <c r="G157" s="20"/>
      <c r="H157" s="20"/>
      <c r="I157" s="11"/>
      <c r="J157" s="20"/>
      <c r="K157" s="20"/>
      <c r="L157" s="20"/>
      <c r="M157" s="20"/>
      <c r="N157" s="20"/>
    </row>
    <row r="158" spans="1:14">
      <c r="A158" s="19"/>
      <c r="B158" s="20"/>
      <c r="C158" s="20"/>
      <c r="D158" s="20"/>
      <c r="E158" s="20"/>
      <c r="F158" s="11"/>
      <c r="G158" s="20"/>
      <c r="H158" s="20"/>
      <c r="I158" s="11"/>
      <c r="J158" s="20"/>
      <c r="K158" s="20"/>
      <c r="L158" s="20"/>
      <c r="M158" s="20"/>
      <c r="N158" s="20"/>
    </row>
    <row r="159" spans="1:14">
      <c r="A159" s="19"/>
      <c r="B159" s="20"/>
      <c r="C159" s="20"/>
      <c r="D159" s="20"/>
      <c r="E159" s="20"/>
      <c r="F159" s="11"/>
      <c r="G159" s="20"/>
      <c r="H159" s="20"/>
      <c r="I159" s="11"/>
      <c r="J159" s="20"/>
      <c r="K159" s="20"/>
      <c r="L159" s="20"/>
      <c r="M159" s="20"/>
      <c r="N159" s="20"/>
    </row>
    <row r="160" spans="1:14">
      <c r="A160" s="19"/>
      <c r="B160" s="20"/>
      <c r="C160" s="20"/>
      <c r="D160" s="20"/>
      <c r="E160" s="20"/>
      <c r="F160" s="11"/>
      <c r="G160" s="20"/>
      <c r="H160" s="20"/>
      <c r="I160" s="11"/>
      <c r="J160" s="20"/>
      <c r="K160" s="20"/>
      <c r="L160" s="20"/>
      <c r="M160" s="20"/>
      <c r="N160" s="20"/>
    </row>
    <row r="161" spans="1:14">
      <c r="A161" s="19"/>
      <c r="B161" s="20"/>
      <c r="C161" s="20"/>
      <c r="D161" s="20"/>
      <c r="E161" s="20"/>
      <c r="F161" s="11"/>
      <c r="G161" s="20"/>
      <c r="H161" s="20"/>
      <c r="I161" s="11"/>
      <c r="J161" s="20"/>
      <c r="K161" s="20"/>
      <c r="L161" s="20"/>
      <c r="M161" s="20"/>
      <c r="N161" s="20"/>
    </row>
    <row r="162" spans="1:14">
      <c r="A162" s="19"/>
      <c r="B162" s="20"/>
      <c r="C162" s="20"/>
      <c r="D162" s="20"/>
      <c r="E162" s="20"/>
      <c r="F162" s="11"/>
      <c r="G162" s="20"/>
      <c r="H162" s="20"/>
      <c r="I162" s="11"/>
      <c r="J162" s="20"/>
      <c r="K162" s="20"/>
      <c r="L162" s="20"/>
      <c r="M162" s="20"/>
      <c r="N162" s="20"/>
    </row>
    <row r="163" spans="1:14">
      <c r="A163" s="19"/>
      <c r="B163" s="20"/>
      <c r="C163" s="20"/>
      <c r="D163" s="20"/>
      <c r="E163" s="20"/>
      <c r="F163" s="11"/>
      <c r="G163" s="20"/>
      <c r="H163" s="20"/>
      <c r="I163" s="11"/>
      <c r="J163" s="20"/>
      <c r="K163" s="20"/>
      <c r="L163" s="20"/>
      <c r="M163" s="20"/>
      <c r="N163" s="20"/>
    </row>
    <row r="164" spans="1:14">
      <c r="A164" s="19"/>
      <c r="B164" s="20"/>
      <c r="C164" s="20"/>
      <c r="D164" s="20"/>
      <c r="E164" s="20"/>
      <c r="F164" s="11"/>
      <c r="G164" s="20"/>
      <c r="H164" s="20"/>
      <c r="I164" s="11"/>
      <c r="J164" s="20"/>
      <c r="K164" s="20"/>
      <c r="L164" s="20"/>
      <c r="M164" s="20"/>
      <c r="N164" s="20"/>
    </row>
    <row r="165" spans="1:14">
      <c r="A165" s="19"/>
      <c r="B165" s="20"/>
      <c r="C165" s="20"/>
      <c r="D165" s="20"/>
      <c r="E165" s="20"/>
      <c r="F165" s="11"/>
      <c r="G165" s="20"/>
      <c r="H165" s="20"/>
      <c r="I165" s="11"/>
      <c r="J165" s="20"/>
      <c r="K165" s="20"/>
      <c r="L165" s="20"/>
      <c r="M165" s="20"/>
      <c r="N165" s="20"/>
    </row>
    <row r="166" spans="1:14">
      <c r="A166" s="19"/>
      <c r="B166" s="20"/>
      <c r="C166" s="20"/>
      <c r="D166" s="20"/>
      <c r="E166" s="20"/>
      <c r="F166" s="11"/>
      <c r="G166" s="20"/>
      <c r="H166" s="20"/>
      <c r="I166" s="11"/>
      <c r="J166" s="20"/>
      <c r="K166" s="20"/>
      <c r="L166" s="20"/>
      <c r="M166" s="20"/>
      <c r="N166" s="20"/>
    </row>
    <row r="167" spans="1:14">
      <c r="A167" s="19"/>
      <c r="B167" s="20"/>
      <c r="C167" s="20"/>
      <c r="D167" s="20"/>
      <c r="E167" s="20"/>
      <c r="F167" s="11"/>
      <c r="G167" s="20"/>
      <c r="H167" s="20"/>
      <c r="I167" s="11"/>
      <c r="J167" s="20"/>
      <c r="K167" s="20"/>
      <c r="L167" s="20"/>
      <c r="M167" s="20"/>
      <c r="N167" s="20"/>
    </row>
    <row r="168" spans="1:14">
      <c r="A168" s="19"/>
      <c r="B168" s="20"/>
      <c r="C168" s="20"/>
      <c r="D168" s="20"/>
      <c r="E168" s="20"/>
      <c r="F168" s="11"/>
      <c r="G168" s="20"/>
      <c r="H168" s="20"/>
      <c r="I168" s="11"/>
      <c r="J168" s="20"/>
      <c r="K168" s="20"/>
      <c r="L168" s="20"/>
      <c r="M168" s="20"/>
      <c r="N168" s="20"/>
    </row>
    <row r="169" spans="1:14">
      <c r="A169" s="19"/>
      <c r="B169" s="20"/>
      <c r="C169" s="20"/>
      <c r="D169" s="20"/>
      <c r="E169" s="20"/>
      <c r="F169" s="11"/>
      <c r="G169" s="20"/>
      <c r="H169" s="20"/>
      <c r="I169" s="11"/>
      <c r="J169" s="20"/>
      <c r="K169" s="20"/>
      <c r="L169" s="20"/>
      <c r="M169" s="20"/>
      <c r="N169" s="20"/>
    </row>
    <row r="170" spans="1:14">
      <c r="A170" s="19"/>
      <c r="B170" s="20"/>
      <c r="C170" s="20"/>
      <c r="D170" s="20"/>
      <c r="E170" s="20"/>
      <c r="F170" s="11"/>
      <c r="G170" s="20"/>
      <c r="H170" s="20"/>
      <c r="I170" s="11"/>
      <c r="J170" s="20"/>
      <c r="K170" s="20"/>
      <c r="L170" s="20"/>
      <c r="M170" s="20"/>
      <c r="N170" s="20"/>
    </row>
    <row r="171" spans="1:14">
      <c r="A171" s="19"/>
      <c r="B171" s="20"/>
      <c r="C171" s="20"/>
      <c r="D171" s="20"/>
      <c r="E171" s="20"/>
      <c r="F171" s="11"/>
      <c r="G171" s="20"/>
      <c r="H171" s="20"/>
      <c r="I171" s="11"/>
      <c r="J171" s="20"/>
      <c r="K171" s="20"/>
      <c r="L171" s="20"/>
      <c r="M171" s="20"/>
      <c r="N171" s="20"/>
    </row>
    <row r="172" spans="1:14">
      <c r="A172" s="19"/>
      <c r="B172" s="20"/>
      <c r="C172" s="20"/>
      <c r="D172" s="20"/>
      <c r="E172" s="20"/>
      <c r="F172" s="11"/>
      <c r="G172" s="20"/>
      <c r="H172" s="20"/>
      <c r="I172" s="11"/>
      <c r="J172" s="20"/>
      <c r="K172" s="20"/>
      <c r="L172" s="20"/>
      <c r="M172" s="20"/>
      <c r="N172" s="20"/>
    </row>
    <row r="173" spans="1:14">
      <c r="A173" s="19"/>
      <c r="B173" s="20"/>
      <c r="C173" s="20"/>
      <c r="D173" s="20"/>
      <c r="E173" s="20"/>
      <c r="F173" s="11"/>
      <c r="G173" s="20"/>
      <c r="H173" s="20"/>
      <c r="I173" s="11"/>
      <c r="J173" s="20"/>
      <c r="K173" s="20"/>
      <c r="L173" s="20"/>
      <c r="M173" s="20"/>
      <c r="N173" s="20"/>
    </row>
    <row r="174" spans="1:14">
      <c r="A174" s="19"/>
      <c r="B174" s="20"/>
      <c r="C174" s="20"/>
      <c r="D174" s="20"/>
      <c r="E174" s="20"/>
      <c r="F174" s="11"/>
      <c r="G174" s="20"/>
      <c r="H174" s="20"/>
      <c r="I174" s="11"/>
      <c r="J174" s="20"/>
      <c r="K174" s="20"/>
      <c r="L174" s="20"/>
      <c r="M174" s="20"/>
      <c r="N174" s="20"/>
    </row>
    <row r="175" spans="1:14">
      <c r="A175" s="19"/>
      <c r="B175" s="20"/>
      <c r="C175" s="20"/>
      <c r="D175" s="20"/>
      <c r="E175" s="20"/>
      <c r="F175" s="11"/>
      <c r="G175" s="20"/>
      <c r="H175" s="20"/>
      <c r="I175" s="11"/>
      <c r="J175" s="20"/>
      <c r="K175" s="20"/>
      <c r="L175" s="20"/>
      <c r="M175" s="20"/>
      <c r="N175" s="20"/>
    </row>
    <row r="176" spans="1:14">
      <c r="A176" s="19"/>
      <c r="B176" s="20"/>
      <c r="C176" s="20"/>
      <c r="D176" s="20"/>
      <c r="E176" s="20"/>
      <c r="F176" s="11"/>
      <c r="G176" s="20"/>
      <c r="H176" s="20"/>
      <c r="I176" s="11"/>
      <c r="J176" s="20"/>
      <c r="K176" s="20"/>
      <c r="L176" s="20"/>
      <c r="M176" s="20"/>
      <c r="N176" s="20"/>
    </row>
    <row r="177" spans="1:14">
      <c r="A177" s="19"/>
      <c r="B177" s="20"/>
      <c r="C177" s="20"/>
      <c r="D177" s="20"/>
      <c r="E177" s="20"/>
      <c r="F177" s="11"/>
      <c r="G177" s="20"/>
      <c r="H177" s="20"/>
      <c r="I177" s="11"/>
      <c r="J177" s="20"/>
      <c r="K177" s="20"/>
      <c r="L177" s="20"/>
      <c r="M177" s="20"/>
      <c r="N177" s="20"/>
    </row>
    <row r="178" spans="1:14">
      <c r="A178" s="19"/>
      <c r="B178" s="20"/>
      <c r="C178" s="20"/>
      <c r="D178" s="20"/>
      <c r="E178" s="20"/>
      <c r="F178" s="11"/>
      <c r="G178" s="20"/>
      <c r="H178" s="20"/>
      <c r="I178" s="11"/>
      <c r="J178" s="20"/>
      <c r="K178" s="20"/>
      <c r="L178" s="20"/>
      <c r="M178" s="20"/>
      <c r="N178" s="20"/>
    </row>
    <row r="179" spans="1:14">
      <c r="A179" s="19"/>
      <c r="B179" s="20"/>
      <c r="C179" s="20"/>
      <c r="D179" s="20"/>
      <c r="E179" s="20"/>
      <c r="F179" s="11"/>
      <c r="G179" s="20"/>
      <c r="H179" s="20"/>
      <c r="I179" s="11"/>
      <c r="J179" s="20"/>
      <c r="K179" s="20"/>
      <c r="L179" s="20"/>
      <c r="M179" s="20"/>
      <c r="N179" s="20"/>
    </row>
    <row r="180" spans="1:14">
      <c r="A180" s="19"/>
      <c r="B180" s="20"/>
      <c r="C180" s="20"/>
      <c r="D180" s="20"/>
      <c r="E180" s="20"/>
      <c r="F180" s="11"/>
      <c r="G180" s="20"/>
      <c r="H180" s="20"/>
      <c r="I180" s="11"/>
      <c r="J180" s="20"/>
      <c r="K180" s="20"/>
      <c r="L180" s="20"/>
      <c r="M180" s="20"/>
      <c r="N180" s="20"/>
    </row>
    <row r="181" spans="1:14">
      <c r="A181" s="19"/>
      <c r="B181" s="20"/>
      <c r="C181" s="20"/>
      <c r="D181" s="20"/>
      <c r="E181" s="20"/>
      <c r="F181" s="11"/>
      <c r="G181" s="20"/>
      <c r="H181" s="20"/>
      <c r="I181" s="11"/>
      <c r="J181" s="20"/>
      <c r="K181" s="20"/>
      <c r="L181" s="20"/>
      <c r="M181" s="20"/>
      <c r="N181" s="20"/>
    </row>
    <row r="182" spans="1:14">
      <c r="A182" s="19"/>
      <c r="B182" s="20"/>
      <c r="C182" s="20"/>
      <c r="D182" s="20"/>
      <c r="E182" s="20"/>
      <c r="F182" s="11"/>
      <c r="G182" s="20"/>
      <c r="H182" s="20"/>
      <c r="I182" s="11"/>
      <c r="J182" s="20"/>
      <c r="K182" s="20"/>
      <c r="L182" s="20"/>
      <c r="M182" s="20"/>
      <c r="N182" s="20"/>
    </row>
    <row r="183" spans="1:14">
      <c r="A183" s="19"/>
      <c r="B183" s="20"/>
      <c r="C183" s="20"/>
      <c r="D183" s="20"/>
      <c r="E183" s="20"/>
      <c r="F183" s="11"/>
      <c r="G183" s="20"/>
      <c r="H183" s="20"/>
      <c r="I183" s="11"/>
      <c r="J183" s="20"/>
      <c r="K183" s="20"/>
      <c r="L183" s="20"/>
      <c r="M183" s="20"/>
      <c r="N183" s="20"/>
    </row>
    <row r="184" spans="1:14">
      <c r="A184" s="19"/>
      <c r="B184" s="20"/>
      <c r="C184" s="20"/>
      <c r="D184" s="20"/>
      <c r="E184" s="20"/>
      <c r="F184" s="11"/>
      <c r="G184" s="20"/>
      <c r="H184" s="20"/>
      <c r="I184" s="11"/>
      <c r="J184" s="20"/>
      <c r="K184" s="20"/>
      <c r="L184" s="20"/>
      <c r="M184" s="20"/>
      <c r="N184" s="20"/>
    </row>
    <row r="185" spans="1:14">
      <c r="A185" s="19"/>
      <c r="B185" s="20"/>
      <c r="C185" s="20"/>
      <c r="D185" s="20"/>
      <c r="E185" s="20"/>
      <c r="F185" s="11"/>
      <c r="G185" s="20"/>
      <c r="H185" s="20"/>
      <c r="I185" s="11"/>
      <c r="J185" s="20"/>
      <c r="K185" s="20"/>
      <c r="L185" s="20"/>
      <c r="M185" s="20"/>
      <c r="N185" s="20"/>
    </row>
    <row r="186" spans="1:14">
      <c r="A186" s="19"/>
      <c r="B186" s="20"/>
      <c r="C186" s="20"/>
      <c r="D186" s="20"/>
      <c r="E186" s="20"/>
      <c r="F186" s="11"/>
      <c r="G186" s="20"/>
      <c r="H186" s="20"/>
      <c r="I186" s="11"/>
      <c r="J186" s="20"/>
      <c r="K186" s="20"/>
      <c r="L186" s="20"/>
      <c r="M186" s="20"/>
      <c r="N186" s="20"/>
    </row>
    <row r="187" spans="1:14">
      <c r="A187" s="19"/>
      <c r="B187" s="20"/>
      <c r="C187" s="20"/>
      <c r="D187" s="20"/>
      <c r="E187" s="20"/>
      <c r="F187" s="11"/>
      <c r="G187" s="20"/>
      <c r="H187" s="20"/>
      <c r="I187" s="11"/>
      <c r="J187" s="20"/>
      <c r="K187" s="20"/>
      <c r="L187" s="20"/>
      <c r="M187" s="20"/>
      <c r="N187" s="20"/>
    </row>
    <row r="188" spans="1:14">
      <c r="A188" s="19"/>
      <c r="B188" s="20"/>
      <c r="C188" s="20"/>
      <c r="D188" s="20"/>
      <c r="E188" s="20"/>
      <c r="F188" s="11"/>
      <c r="G188" s="20"/>
      <c r="H188" s="20"/>
      <c r="I188" s="11"/>
      <c r="J188" s="20"/>
      <c r="K188" s="20"/>
      <c r="L188" s="20"/>
      <c r="M188" s="20"/>
      <c r="N188" s="20"/>
    </row>
    <row r="189" spans="1:14">
      <c r="A189" s="19"/>
      <c r="B189" s="20"/>
      <c r="C189" s="20"/>
      <c r="D189" s="20"/>
      <c r="E189" s="20"/>
      <c r="F189" s="11"/>
      <c r="G189" s="20"/>
      <c r="H189" s="20"/>
      <c r="I189" s="11"/>
      <c r="J189" s="20"/>
      <c r="K189" s="20"/>
      <c r="L189" s="20"/>
      <c r="M189" s="20"/>
      <c r="N189" s="20"/>
    </row>
    <row r="190" spans="1:14">
      <c r="A190" s="19"/>
      <c r="B190" s="20"/>
      <c r="C190" s="20"/>
      <c r="D190" s="20"/>
      <c r="E190" s="20"/>
      <c r="F190" s="11"/>
      <c r="G190" s="20"/>
      <c r="H190" s="20"/>
      <c r="I190" s="11"/>
      <c r="J190" s="20"/>
      <c r="K190" s="20"/>
      <c r="L190" s="20"/>
      <c r="M190" s="20"/>
      <c r="N190" s="20"/>
    </row>
    <row r="191" spans="1:14">
      <c r="A191" s="19"/>
      <c r="B191" s="20"/>
      <c r="C191" s="20"/>
      <c r="D191" s="20"/>
      <c r="E191" s="20"/>
      <c r="F191" s="11"/>
      <c r="G191" s="20"/>
      <c r="H191" s="20"/>
      <c r="I191" s="11"/>
      <c r="J191" s="20"/>
      <c r="K191" s="20"/>
      <c r="L191" s="20"/>
      <c r="M191" s="20"/>
      <c r="N191" s="20"/>
    </row>
    <row r="192" spans="1:14">
      <c r="A192" s="19"/>
      <c r="B192" s="20"/>
      <c r="C192" s="20"/>
      <c r="D192" s="20"/>
      <c r="E192" s="20"/>
      <c r="F192" s="11"/>
      <c r="G192" s="20"/>
      <c r="H192" s="20"/>
      <c r="I192" s="11"/>
      <c r="J192" s="20"/>
      <c r="K192" s="20"/>
      <c r="L192" s="20"/>
      <c r="M192" s="20"/>
      <c r="N192" s="20"/>
    </row>
    <row r="193" spans="1:14">
      <c r="A193" s="19"/>
      <c r="B193" s="20"/>
      <c r="C193" s="20"/>
      <c r="D193" s="20"/>
      <c r="E193" s="20"/>
      <c r="F193" s="11"/>
      <c r="G193" s="20"/>
      <c r="H193" s="20"/>
      <c r="I193" s="11"/>
      <c r="J193" s="20"/>
      <c r="K193" s="20"/>
      <c r="L193" s="20"/>
      <c r="M193" s="20"/>
      <c r="N193" s="20"/>
    </row>
    <row r="194" spans="1:14">
      <c r="A194" s="19"/>
      <c r="B194" s="20"/>
      <c r="C194" s="20"/>
      <c r="D194" s="20"/>
      <c r="E194" s="20"/>
      <c r="F194" s="11"/>
      <c r="G194" s="20"/>
      <c r="H194" s="20"/>
      <c r="I194" s="11"/>
      <c r="J194" s="20"/>
      <c r="K194" s="20"/>
      <c r="L194" s="20"/>
      <c r="M194" s="20"/>
      <c r="N194" s="20"/>
    </row>
    <row r="195" spans="1:14">
      <c r="A195" s="19"/>
      <c r="B195" s="20"/>
      <c r="C195" s="20"/>
      <c r="D195" s="20"/>
      <c r="E195" s="20"/>
      <c r="F195" s="11"/>
      <c r="G195" s="20"/>
      <c r="H195" s="20"/>
      <c r="I195" s="11"/>
      <c r="J195" s="20"/>
      <c r="K195" s="20"/>
      <c r="L195" s="20"/>
      <c r="M195" s="20"/>
      <c r="N195" s="20"/>
    </row>
    <row r="196" spans="1:14">
      <c r="A196" s="19"/>
      <c r="B196" s="20"/>
      <c r="C196" s="20"/>
      <c r="D196" s="20"/>
      <c r="E196" s="20"/>
      <c r="F196" s="11"/>
      <c r="G196" s="20"/>
      <c r="H196" s="20"/>
      <c r="I196" s="11"/>
      <c r="J196" s="20"/>
      <c r="K196" s="20"/>
      <c r="L196" s="20"/>
      <c r="M196" s="20"/>
      <c r="N196" s="20"/>
    </row>
    <row r="197" spans="1:14">
      <c r="A197" s="19"/>
      <c r="B197" s="20"/>
      <c r="C197" s="20"/>
      <c r="D197" s="20"/>
      <c r="E197" s="20"/>
      <c r="F197" s="11"/>
      <c r="G197" s="20"/>
      <c r="H197" s="20"/>
      <c r="I197" s="11"/>
      <c r="J197" s="20"/>
      <c r="K197" s="20"/>
      <c r="L197" s="20"/>
      <c r="M197" s="20"/>
      <c r="N197" s="20"/>
    </row>
    <row r="198" spans="1:14">
      <c r="A198" s="19"/>
      <c r="B198" s="20"/>
      <c r="C198" s="20"/>
      <c r="D198" s="20"/>
      <c r="E198" s="20"/>
      <c r="F198" s="11"/>
      <c r="G198" s="20"/>
      <c r="H198" s="20"/>
      <c r="I198" s="11"/>
      <c r="J198" s="20"/>
      <c r="K198" s="20"/>
      <c r="L198" s="20"/>
      <c r="M198" s="20"/>
      <c r="N198" s="20"/>
    </row>
    <row r="199" spans="1:14">
      <c r="A199" s="19"/>
      <c r="B199" s="20"/>
      <c r="C199" s="20"/>
      <c r="D199" s="20"/>
      <c r="E199" s="20"/>
      <c r="F199" s="11"/>
      <c r="G199" s="20"/>
      <c r="H199" s="20"/>
      <c r="I199" s="11"/>
      <c r="J199" s="20"/>
      <c r="K199" s="20"/>
      <c r="L199" s="20"/>
      <c r="M199" s="20"/>
      <c r="N199" s="20"/>
    </row>
  </sheetData>
  <mergeCells count="4">
    <mergeCell ref="B2:B3"/>
    <mergeCell ref="C2:E3"/>
    <mergeCell ref="H2:I2"/>
    <mergeCell ref="H3:I3"/>
  </mergeCells>
  <phoneticPr fontId="3"/>
  <conditionalFormatting sqref="I7:I47">
    <cfRule type="cellIs" dxfId="4" priority="3" stopIfTrue="1" operator="equal">
      <formula>"否"</formula>
    </cfRule>
  </conditionalFormatting>
  <conditionalFormatting sqref="I49:I199">
    <cfRule type="cellIs" dxfId="3" priority="2" stopIfTrue="1" operator="equal">
      <formula>"否"</formula>
    </cfRule>
  </conditionalFormatting>
  <conditionalFormatting sqref="J6:J199 L6:M199">
    <cfRule type="cellIs" dxfId="2" priority="1" stopIfTrue="1" operator="equal">
      <formula>"NG"</formula>
    </cfRule>
  </conditionalFormatting>
  <conditionalFormatting sqref="M98:N98">
    <cfRule type="cellIs" dxfId="1" priority="20" stopIfTrue="1" operator="equal">
      <formula>"NG"</formula>
    </cfRule>
  </conditionalFormatting>
  <conditionalFormatting sqref="M103:N103 M124:N134">
    <cfRule type="cellIs" dxfId="0" priority="23" stopIfTrue="1" operator="equal">
      <formula>"NG"</formula>
    </cfRule>
  </conditionalFormatting>
  <dataValidations count="5">
    <dataValidation type="list" allowBlank="1" showInputMessage="1" showErrorMessage="1" sqref="J6:J199 L6:M199" xr:uid="{FFC153D0-1D5B-414F-AD83-22875610DEB9}">
      <formula1>"OK,NG"</formula1>
    </dataValidation>
    <dataValidation type="list" allowBlank="1" showInputMessage="1" showErrorMessage="1" sqref="I6" xr:uid="{F95E2B75-1F21-4D9A-9395-C24943797FAD}">
      <formula1>"IO_TEST,TEST_FW,Manually"</formula1>
    </dataValidation>
    <dataValidation type="list" allowBlank="1" showInputMessage="1" showErrorMessage="1" sqref="I7:I199" xr:uid="{428927EC-79D1-4235-9FBA-A45A4DF5AB72}">
      <formula1>"要,否"</formula1>
    </dataValidation>
    <dataValidation type="list" allowBlank="1" showInputMessage="1" showErrorMessage="1" sqref="H6:H199" xr:uid="{EF925F08-92D1-4C23-BC8A-7803F1D65B98}">
      <formula1>"ツール,手動"</formula1>
    </dataValidation>
    <dataValidation type="list" allowBlank="1" showInputMessage="1" showErrorMessage="1" sqref="G6:G199" xr:uid="{8CF506BF-CEA7-4022-9B75-8E42DE07E4E0}">
      <formula1>"生成AI,手動"</formula1>
    </dataValidation>
  </dataValidations>
  <hyperlinks>
    <hyperlink ref="F8" location="引数チェック!A1" display="引数チェック" xr:uid="{E1755AF8-8136-45AB-B35C-D8240A988E1B}"/>
    <hyperlink ref="F9" location="引数チェック!A1" display="引数チェック" xr:uid="{2DA44E81-7595-47BD-96C4-ED9E97A43503}"/>
    <hyperlink ref="F10" location="引数チェック!A1" display="引数チェック" xr:uid="{251DA67B-CEA9-4BEE-A680-7DBDAA3ED3D9}"/>
    <hyperlink ref="F11:F42" location="引数チェック!A1" display="引数チェック" xr:uid="{A693E462-3CF7-419B-92F4-070F17544AF0}"/>
    <hyperlink ref="F46" location="主処理!A1" display="主処理" xr:uid="{67895CF5-EFD2-48F0-8AB2-FCB22AB1EC4A}"/>
    <hyperlink ref="F47" location="主処理!A1" display="主処理" xr:uid="{378BC74E-E846-497A-9B7D-CABDAD39BD32}"/>
    <hyperlink ref="F49:F57" location="主処理!A1" display="主処理" xr:uid="{A4B98C2C-438C-4C76-927D-2A68EFBF9DA4}"/>
    <hyperlink ref="F59:F69" location="主処理!A1" display="主処理" xr:uid="{6E348794-06CB-4828-8E2A-D7EE2E467F89}"/>
  </hyperlinks>
  <pageMargins left="0.78700000000000003" right="0.78700000000000003" top="0.98399999999999999" bottom="0.98399999999999999" header="0.51200000000000001" footer="0.51200000000000001"/>
  <pageSetup paperSize="9" scale="74" orientation="portrait" r:id="rId1"/>
  <headerFooter alignWithMargins="0"/>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7DF95-BCAF-4240-B232-1D285A6E1B93}">
  <dimension ref="A1:AS72"/>
  <sheetViews>
    <sheetView showGridLines="0" workbookViewId="0">
      <pane ySplit="9" topLeftCell="A10" activePane="bottomLeft" state="frozen"/>
      <selection pane="bottomLeft"/>
    </sheetView>
  </sheetViews>
  <sheetFormatPr defaultRowHeight="15"/>
  <cols>
    <col min="1" max="1" width="6.6328125" style="35" customWidth="1"/>
    <col min="2" max="2" width="4.6328125" style="35" customWidth="1"/>
    <col min="3" max="3" width="3.08984375" style="35" customWidth="1"/>
    <col min="4" max="4" width="12.90625" style="37" customWidth="1"/>
    <col min="5" max="5" width="11.08984375" style="37" customWidth="1"/>
    <col min="6" max="6" width="12.26953125" style="37" customWidth="1"/>
    <col min="7" max="7" width="11.90625" style="37" customWidth="1"/>
    <col min="8" max="8" width="9.36328125" style="37" customWidth="1"/>
    <col min="9" max="9" width="11.08984375" style="37" customWidth="1"/>
    <col min="10" max="10" width="10.453125" style="37" customWidth="1"/>
    <col min="11" max="11" width="9.7265625" style="35" customWidth="1"/>
    <col min="12" max="256" width="9" style="35"/>
    <col min="257" max="257" width="3.08984375" style="35" customWidth="1"/>
    <col min="258" max="258" width="4.6328125" style="35" customWidth="1"/>
    <col min="259" max="259" width="3.08984375" style="35" customWidth="1"/>
    <col min="260" max="260" width="12.90625" style="35" customWidth="1"/>
    <col min="261" max="261" width="11.08984375" style="35" customWidth="1"/>
    <col min="262" max="262" width="12.26953125" style="35" customWidth="1"/>
    <col min="263" max="263" width="11.90625" style="35" customWidth="1"/>
    <col min="264" max="264" width="9.36328125" style="35" customWidth="1"/>
    <col min="265" max="265" width="11.08984375" style="35" customWidth="1"/>
    <col min="266" max="266" width="10.453125" style="35" customWidth="1"/>
    <col min="267" max="267" width="9.7265625" style="35" customWidth="1"/>
    <col min="268" max="512" width="9" style="35"/>
    <col min="513" max="513" width="3.08984375" style="35" customWidth="1"/>
    <col min="514" max="514" width="4.6328125" style="35" customWidth="1"/>
    <col min="515" max="515" width="3.08984375" style="35" customWidth="1"/>
    <col min="516" max="516" width="12.90625" style="35" customWidth="1"/>
    <col min="517" max="517" width="11.08984375" style="35" customWidth="1"/>
    <col min="518" max="518" width="12.26953125" style="35" customWidth="1"/>
    <col min="519" max="519" width="11.90625" style="35" customWidth="1"/>
    <col min="520" max="520" width="9.36328125" style="35" customWidth="1"/>
    <col min="521" max="521" width="11.08984375" style="35" customWidth="1"/>
    <col min="522" max="522" width="10.453125" style="35" customWidth="1"/>
    <col min="523" max="523" width="9.7265625" style="35" customWidth="1"/>
    <col min="524" max="768" width="9" style="35"/>
    <col min="769" max="769" width="3.08984375" style="35" customWidth="1"/>
    <col min="770" max="770" width="4.6328125" style="35" customWidth="1"/>
    <col min="771" max="771" width="3.08984375" style="35" customWidth="1"/>
    <col min="772" max="772" width="12.90625" style="35" customWidth="1"/>
    <col min="773" max="773" width="11.08984375" style="35" customWidth="1"/>
    <col min="774" max="774" width="12.26953125" style="35" customWidth="1"/>
    <col min="775" max="775" width="11.90625" style="35" customWidth="1"/>
    <col min="776" max="776" width="9.36328125" style="35" customWidth="1"/>
    <col min="777" max="777" width="11.08984375" style="35" customWidth="1"/>
    <col min="778" max="778" width="10.453125" style="35" customWidth="1"/>
    <col min="779" max="779" width="9.7265625" style="35" customWidth="1"/>
    <col min="780" max="1024" width="9" style="35"/>
    <col min="1025" max="1025" width="3.08984375" style="35" customWidth="1"/>
    <col min="1026" max="1026" width="4.6328125" style="35" customWidth="1"/>
    <col min="1027" max="1027" width="3.08984375" style="35" customWidth="1"/>
    <col min="1028" max="1028" width="12.90625" style="35" customWidth="1"/>
    <col min="1029" max="1029" width="11.08984375" style="35" customWidth="1"/>
    <col min="1030" max="1030" width="12.26953125" style="35" customWidth="1"/>
    <col min="1031" max="1031" width="11.90625" style="35" customWidth="1"/>
    <col min="1032" max="1032" width="9.36328125" style="35" customWidth="1"/>
    <col min="1033" max="1033" width="11.08984375" style="35" customWidth="1"/>
    <col min="1034" max="1034" width="10.453125" style="35" customWidth="1"/>
    <col min="1035" max="1035" width="9.7265625" style="35" customWidth="1"/>
    <col min="1036" max="1280" width="9" style="35"/>
    <col min="1281" max="1281" width="3.08984375" style="35" customWidth="1"/>
    <col min="1282" max="1282" width="4.6328125" style="35" customWidth="1"/>
    <col min="1283" max="1283" width="3.08984375" style="35" customWidth="1"/>
    <col min="1284" max="1284" width="12.90625" style="35" customWidth="1"/>
    <col min="1285" max="1285" width="11.08984375" style="35" customWidth="1"/>
    <col min="1286" max="1286" width="12.26953125" style="35" customWidth="1"/>
    <col min="1287" max="1287" width="11.90625" style="35" customWidth="1"/>
    <col min="1288" max="1288" width="9.36328125" style="35" customWidth="1"/>
    <col min="1289" max="1289" width="11.08984375" style="35" customWidth="1"/>
    <col min="1290" max="1290" width="10.453125" style="35" customWidth="1"/>
    <col min="1291" max="1291" width="9.7265625" style="35" customWidth="1"/>
    <col min="1292" max="1536" width="9" style="35"/>
    <col min="1537" max="1537" width="3.08984375" style="35" customWidth="1"/>
    <col min="1538" max="1538" width="4.6328125" style="35" customWidth="1"/>
    <col min="1539" max="1539" width="3.08984375" style="35" customWidth="1"/>
    <col min="1540" max="1540" width="12.90625" style="35" customWidth="1"/>
    <col min="1541" max="1541" width="11.08984375" style="35" customWidth="1"/>
    <col min="1542" max="1542" width="12.26953125" style="35" customWidth="1"/>
    <col min="1543" max="1543" width="11.90625" style="35" customWidth="1"/>
    <col min="1544" max="1544" width="9.36328125" style="35" customWidth="1"/>
    <col min="1545" max="1545" width="11.08984375" style="35" customWidth="1"/>
    <col min="1546" max="1546" width="10.453125" style="35" customWidth="1"/>
    <col min="1547" max="1547" width="9.7265625" style="35" customWidth="1"/>
    <col min="1548" max="1792" width="9" style="35"/>
    <col min="1793" max="1793" width="3.08984375" style="35" customWidth="1"/>
    <col min="1794" max="1794" width="4.6328125" style="35" customWidth="1"/>
    <col min="1795" max="1795" width="3.08984375" style="35" customWidth="1"/>
    <col min="1796" max="1796" width="12.90625" style="35" customWidth="1"/>
    <col min="1797" max="1797" width="11.08984375" style="35" customWidth="1"/>
    <col min="1798" max="1798" width="12.26953125" style="35" customWidth="1"/>
    <col min="1799" max="1799" width="11.90625" style="35" customWidth="1"/>
    <col min="1800" max="1800" width="9.36328125" style="35" customWidth="1"/>
    <col min="1801" max="1801" width="11.08984375" style="35" customWidth="1"/>
    <col min="1802" max="1802" width="10.453125" style="35" customWidth="1"/>
    <col min="1803" max="1803" width="9.7265625" style="35" customWidth="1"/>
    <col min="1804" max="2048" width="9" style="35"/>
    <col min="2049" max="2049" width="3.08984375" style="35" customWidth="1"/>
    <col min="2050" max="2050" width="4.6328125" style="35" customWidth="1"/>
    <col min="2051" max="2051" width="3.08984375" style="35" customWidth="1"/>
    <col min="2052" max="2052" width="12.90625" style="35" customWidth="1"/>
    <col min="2053" max="2053" width="11.08984375" style="35" customWidth="1"/>
    <col min="2054" max="2054" width="12.26953125" style="35" customWidth="1"/>
    <col min="2055" max="2055" width="11.90625" style="35" customWidth="1"/>
    <col min="2056" max="2056" width="9.36328125" style="35" customWidth="1"/>
    <col min="2057" max="2057" width="11.08984375" style="35" customWidth="1"/>
    <col min="2058" max="2058" width="10.453125" style="35" customWidth="1"/>
    <col min="2059" max="2059" width="9.7265625" style="35" customWidth="1"/>
    <col min="2060" max="2304" width="9" style="35"/>
    <col min="2305" max="2305" width="3.08984375" style="35" customWidth="1"/>
    <col min="2306" max="2306" width="4.6328125" style="35" customWidth="1"/>
    <col min="2307" max="2307" width="3.08984375" style="35" customWidth="1"/>
    <col min="2308" max="2308" width="12.90625" style="35" customWidth="1"/>
    <col min="2309" max="2309" width="11.08984375" style="35" customWidth="1"/>
    <col min="2310" max="2310" width="12.26953125" style="35" customWidth="1"/>
    <col min="2311" max="2311" width="11.90625" style="35" customWidth="1"/>
    <col min="2312" max="2312" width="9.36328125" style="35" customWidth="1"/>
    <col min="2313" max="2313" width="11.08984375" style="35" customWidth="1"/>
    <col min="2314" max="2314" width="10.453125" style="35" customWidth="1"/>
    <col min="2315" max="2315" width="9.7265625" style="35" customWidth="1"/>
    <col min="2316" max="2560" width="9" style="35"/>
    <col min="2561" max="2561" width="3.08984375" style="35" customWidth="1"/>
    <col min="2562" max="2562" width="4.6328125" style="35" customWidth="1"/>
    <col min="2563" max="2563" width="3.08984375" style="35" customWidth="1"/>
    <col min="2564" max="2564" width="12.90625" style="35" customWidth="1"/>
    <col min="2565" max="2565" width="11.08984375" style="35" customWidth="1"/>
    <col min="2566" max="2566" width="12.26953125" style="35" customWidth="1"/>
    <col min="2567" max="2567" width="11.90625" style="35" customWidth="1"/>
    <col min="2568" max="2568" width="9.36328125" style="35" customWidth="1"/>
    <col min="2569" max="2569" width="11.08984375" style="35" customWidth="1"/>
    <col min="2570" max="2570" width="10.453125" style="35" customWidth="1"/>
    <col min="2571" max="2571" width="9.7265625" style="35" customWidth="1"/>
    <col min="2572" max="2816" width="9" style="35"/>
    <col min="2817" max="2817" width="3.08984375" style="35" customWidth="1"/>
    <col min="2818" max="2818" width="4.6328125" style="35" customWidth="1"/>
    <col min="2819" max="2819" width="3.08984375" style="35" customWidth="1"/>
    <col min="2820" max="2820" width="12.90625" style="35" customWidth="1"/>
    <col min="2821" max="2821" width="11.08984375" style="35" customWidth="1"/>
    <col min="2822" max="2822" width="12.26953125" style="35" customWidth="1"/>
    <col min="2823" max="2823" width="11.90625" style="35" customWidth="1"/>
    <col min="2824" max="2824" width="9.36328125" style="35" customWidth="1"/>
    <col min="2825" max="2825" width="11.08984375" style="35" customWidth="1"/>
    <col min="2826" max="2826" width="10.453125" style="35" customWidth="1"/>
    <col min="2827" max="2827" width="9.7265625" style="35" customWidth="1"/>
    <col min="2828" max="3072" width="9" style="35"/>
    <col min="3073" max="3073" width="3.08984375" style="35" customWidth="1"/>
    <col min="3074" max="3074" width="4.6328125" style="35" customWidth="1"/>
    <col min="3075" max="3075" width="3.08984375" style="35" customWidth="1"/>
    <col min="3076" max="3076" width="12.90625" style="35" customWidth="1"/>
    <col min="3077" max="3077" width="11.08984375" style="35" customWidth="1"/>
    <col min="3078" max="3078" width="12.26953125" style="35" customWidth="1"/>
    <col min="3079" max="3079" width="11.90625" style="35" customWidth="1"/>
    <col min="3080" max="3080" width="9.36328125" style="35" customWidth="1"/>
    <col min="3081" max="3081" width="11.08984375" style="35" customWidth="1"/>
    <col min="3082" max="3082" width="10.453125" style="35" customWidth="1"/>
    <col min="3083" max="3083" width="9.7265625" style="35" customWidth="1"/>
    <col min="3084" max="3328" width="9" style="35"/>
    <col min="3329" max="3329" width="3.08984375" style="35" customWidth="1"/>
    <col min="3330" max="3330" width="4.6328125" style="35" customWidth="1"/>
    <col min="3331" max="3331" width="3.08984375" style="35" customWidth="1"/>
    <col min="3332" max="3332" width="12.90625" style="35" customWidth="1"/>
    <col min="3333" max="3333" width="11.08984375" style="35" customWidth="1"/>
    <col min="3334" max="3334" width="12.26953125" style="35" customWidth="1"/>
    <col min="3335" max="3335" width="11.90625" style="35" customWidth="1"/>
    <col min="3336" max="3336" width="9.36328125" style="35" customWidth="1"/>
    <col min="3337" max="3337" width="11.08984375" style="35" customWidth="1"/>
    <col min="3338" max="3338" width="10.453125" style="35" customWidth="1"/>
    <col min="3339" max="3339" width="9.7265625" style="35" customWidth="1"/>
    <col min="3340" max="3584" width="9" style="35"/>
    <col min="3585" max="3585" width="3.08984375" style="35" customWidth="1"/>
    <col min="3586" max="3586" width="4.6328125" style="35" customWidth="1"/>
    <col min="3587" max="3587" width="3.08984375" style="35" customWidth="1"/>
    <col min="3588" max="3588" width="12.90625" style="35" customWidth="1"/>
    <col min="3589" max="3589" width="11.08984375" style="35" customWidth="1"/>
    <col min="3590" max="3590" width="12.26953125" style="35" customWidth="1"/>
    <col min="3591" max="3591" width="11.90625" style="35" customWidth="1"/>
    <col min="3592" max="3592" width="9.36328125" style="35" customWidth="1"/>
    <col min="3593" max="3593" width="11.08984375" style="35" customWidth="1"/>
    <col min="3594" max="3594" width="10.453125" style="35" customWidth="1"/>
    <col min="3595" max="3595" width="9.7265625" style="35" customWidth="1"/>
    <col min="3596" max="3840" width="9" style="35"/>
    <col min="3841" max="3841" width="3.08984375" style="35" customWidth="1"/>
    <col min="3842" max="3842" width="4.6328125" style="35" customWidth="1"/>
    <col min="3843" max="3843" width="3.08984375" style="35" customWidth="1"/>
    <col min="3844" max="3844" width="12.90625" style="35" customWidth="1"/>
    <col min="3845" max="3845" width="11.08984375" style="35" customWidth="1"/>
    <col min="3846" max="3846" width="12.26953125" style="35" customWidth="1"/>
    <col min="3847" max="3847" width="11.90625" style="35" customWidth="1"/>
    <col min="3848" max="3848" width="9.36328125" style="35" customWidth="1"/>
    <col min="3849" max="3849" width="11.08984375" style="35" customWidth="1"/>
    <col min="3850" max="3850" width="10.453125" style="35" customWidth="1"/>
    <col min="3851" max="3851" width="9.7265625" style="35" customWidth="1"/>
    <col min="3852" max="4096" width="9" style="35"/>
    <col min="4097" max="4097" width="3.08984375" style="35" customWidth="1"/>
    <col min="4098" max="4098" width="4.6328125" style="35" customWidth="1"/>
    <col min="4099" max="4099" width="3.08984375" style="35" customWidth="1"/>
    <col min="4100" max="4100" width="12.90625" style="35" customWidth="1"/>
    <col min="4101" max="4101" width="11.08984375" style="35" customWidth="1"/>
    <col min="4102" max="4102" width="12.26953125" style="35" customWidth="1"/>
    <col min="4103" max="4103" width="11.90625" style="35" customWidth="1"/>
    <col min="4104" max="4104" width="9.36328125" style="35" customWidth="1"/>
    <col min="4105" max="4105" width="11.08984375" style="35" customWidth="1"/>
    <col min="4106" max="4106" width="10.453125" style="35" customWidth="1"/>
    <col min="4107" max="4107" width="9.7265625" style="35" customWidth="1"/>
    <col min="4108" max="4352" width="9" style="35"/>
    <col min="4353" max="4353" width="3.08984375" style="35" customWidth="1"/>
    <col min="4354" max="4354" width="4.6328125" style="35" customWidth="1"/>
    <col min="4355" max="4355" width="3.08984375" style="35" customWidth="1"/>
    <col min="4356" max="4356" width="12.90625" style="35" customWidth="1"/>
    <col min="4357" max="4357" width="11.08984375" style="35" customWidth="1"/>
    <col min="4358" max="4358" width="12.26953125" style="35" customWidth="1"/>
    <col min="4359" max="4359" width="11.90625" style="35" customWidth="1"/>
    <col min="4360" max="4360" width="9.36328125" style="35" customWidth="1"/>
    <col min="4361" max="4361" width="11.08984375" style="35" customWidth="1"/>
    <col min="4362" max="4362" width="10.453125" style="35" customWidth="1"/>
    <col min="4363" max="4363" width="9.7265625" style="35" customWidth="1"/>
    <col min="4364" max="4608" width="9" style="35"/>
    <col min="4609" max="4609" width="3.08984375" style="35" customWidth="1"/>
    <col min="4610" max="4610" width="4.6328125" style="35" customWidth="1"/>
    <col min="4611" max="4611" width="3.08984375" style="35" customWidth="1"/>
    <col min="4612" max="4612" width="12.90625" style="35" customWidth="1"/>
    <col min="4613" max="4613" width="11.08984375" style="35" customWidth="1"/>
    <col min="4614" max="4614" width="12.26953125" style="35" customWidth="1"/>
    <col min="4615" max="4615" width="11.90625" style="35" customWidth="1"/>
    <col min="4616" max="4616" width="9.36328125" style="35" customWidth="1"/>
    <col min="4617" max="4617" width="11.08984375" style="35" customWidth="1"/>
    <col min="4618" max="4618" width="10.453125" style="35" customWidth="1"/>
    <col min="4619" max="4619" width="9.7265625" style="35" customWidth="1"/>
    <col min="4620" max="4864" width="9" style="35"/>
    <col min="4865" max="4865" width="3.08984375" style="35" customWidth="1"/>
    <col min="4866" max="4866" width="4.6328125" style="35" customWidth="1"/>
    <col min="4867" max="4867" width="3.08984375" style="35" customWidth="1"/>
    <col min="4868" max="4868" width="12.90625" style="35" customWidth="1"/>
    <col min="4869" max="4869" width="11.08984375" style="35" customWidth="1"/>
    <col min="4870" max="4870" width="12.26953125" style="35" customWidth="1"/>
    <col min="4871" max="4871" width="11.90625" style="35" customWidth="1"/>
    <col min="4872" max="4872" width="9.36328125" style="35" customWidth="1"/>
    <col min="4873" max="4873" width="11.08984375" style="35" customWidth="1"/>
    <col min="4874" max="4874" width="10.453125" style="35" customWidth="1"/>
    <col min="4875" max="4875" width="9.7265625" style="35" customWidth="1"/>
    <col min="4876" max="5120" width="9" style="35"/>
    <col min="5121" max="5121" width="3.08984375" style="35" customWidth="1"/>
    <col min="5122" max="5122" width="4.6328125" style="35" customWidth="1"/>
    <col min="5123" max="5123" width="3.08984375" style="35" customWidth="1"/>
    <col min="5124" max="5124" width="12.90625" style="35" customWidth="1"/>
    <col min="5125" max="5125" width="11.08984375" style="35" customWidth="1"/>
    <col min="5126" max="5126" width="12.26953125" style="35" customWidth="1"/>
    <col min="5127" max="5127" width="11.90625" style="35" customWidth="1"/>
    <col min="5128" max="5128" width="9.36328125" style="35" customWidth="1"/>
    <col min="5129" max="5129" width="11.08984375" style="35" customWidth="1"/>
    <col min="5130" max="5130" width="10.453125" style="35" customWidth="1"/>
    <col min="5131" max="5131" width="9.7265625" style="35" customWidth="1"/>
    <col min="5132" max="5376" width="9" style="35"/>
    <col min="5377" max="5377" width="3.08984375" style="35" customWidth="1"/>
    <col min="5378" max="5378" width="4.6328125" style="35" customWidth="1"/>
    <col min="5379" max="5379" width="3.08984375" style="35" customWidth="1"/>
    <col min="5380" max="5380" width="12.90625" style="35" customWidth="1"/>
    <col min="5381" max="5381" width="11.08984375" style="35" customWidth="1"/>
    <col min="5382" max="5382" width="12.26953125" style="35" customWidth="1"/>
    <col min="5383" max="5383" width="11.90625" style="35" customWidth="1"/>
    <col min="5384" max="5384" width="9.36328125" style="35" customWidth="1"/>
    <col min="5385" max="5385" width="11.08984375" style="35" customWidth="1"/>
    <col min="5386" max="5386" width="10.453125" style="35" customWidth="1"/>
    <col min="5387" max="5387" width="9.7265625" style="35" customWidth="1"/>
    <col min="5388" max="5632" width="9" style="35"/>
    <col min="5633" max="5633" width="3.08984375" style="35" customWidth="1"/>
    <col min="5634" max="5634" width="4.6328125" style="35" customWidth="1"/>
    <col min="5635" max="5635" width="3.08984375" style="35" customWidth="1"/>
    <col min="5636" max="5636" width="12.90625" style="35" customWidth="1"/>
    <col min="5637" max="5637" width="11.08984375" style="35" customWidth="1"/>
    <col min="5638" max="5638" width="12.26953125" style="35" customWidth="1"/>
    <col min="5639" max="5639" width="11.90625" style="35" customWidth="1"/>
    <col min="5640" max="5640" width="9.36328125" style="35" customWidth="1"/>
    <col min="5641" max="5641" width="11.08984375" style="35" customWidth="1"/>
    <col min="5642" max="5642" width="10.453125" style="35" customWidth="1"/>
    <col min="5643" max="5643" width="9.7265625" style="35" customWidth="1"/>
    <col min="5644" max="5888" width="9" style="35"/>
    <col min="5889" max="5889" width="3.08984375" style="35" customWidth="1"/>
    <col min="5890" max="5890" width="4.6328125" style="35" customWidth="1"/>
    <col min="5891" max="5891" width="3.08984375" style="35" customWidth="1"/>
    <col min="5892" max="5892" width="12.90625" style="35" customWidth="1"/>
    <col min="5893" max="5893" width="11.08984375" style="35" customWidth="1"/>
    <col min="5894" max="5894" width="12.26953125" style="35" customWidth="1"/>
    <col min="5895" max="5895" width="11.90625" style="35" customWidth="1"/>
    <col min="5896" max="5896" width="9.36328125" style="35" customWidth="1"/>
    <col min="5897" max="5897" width="11.08984375" style="35" customWidth="1"/>
    <col min="5898" max="5898" width="10.453125" style="35" customWidth="1"/>
    <col min="5899" max="5899" width="9.7265625" style="35" customWidth="1"/>
    <col min="5900" max="6144" width="9" style="35"/>
    <col min="6145" max="6145" width="3.08984375" style="35" customWidth="1"/>
    <col min="6146" max="6146" width="4.6328125" style="35" customWidth="1"/>
    <col min="6147" max="6147" width="3.08984375" style="35" customWidth="1"/>
    <col min="6148" max="6148" width="12.90625" style="35" customWidth="1"/>
    <col min="6149" max="6149" width="11.08984375" style="35" customWidth="1"/>
    <col min="6150" max="6150" width="12.26953125" style="35" customWidth="1"/>
    <col min="6151" max="6151" width="11.90625" style="35" customWidth="1"/>
    <col min="6152" max="6152" width="9.36328125" style="35" customWidth="1"/>
    <col min="6153" max="6153" width="11.08984375" style="35" customWidth="1"/>
    <col min="6154" max="6154" width="10.453125" style="35" customWidth="1"/>
    <col min="6155" max="6155" width="9.7265625" style="35" customWidth="1"/>
    <col min="6156" max="6400" width="9" style="35"/>
    <col min="6401" max="6401" width="3.08984375" style="35" customWidth="1"/>
    <col min="6402" max="6402" width="4.6328125" style="35" customWidth="1"/>
    <col min="6403" max="6403" width="3.08984375" style="35" customWidth="1"/>
    <col min="6404" max="6404" width="12.90625" style="35" customWidth="1"/>
    <col min="6405" max="6405" width="11.08984375" style="35" customWidth="1"/>
    <col min="6406" max="6406" width="12.26953125" style="35" customWidth="1"/>
    <col min="6407" max="6407" width="11.90625" style="35" customWidth="1"/>
    <col min="6408" max="6408" width="9.36328125" style="35" customWidth="1"/>
    <col min="6409" max="6409" width="11.08984375" style="35" customWidth="1"/>
    <col min="6410" max="6410" width="10.453125" style="35" customWidth="1"/>
    <col min="6411" max="6411" width="9.7265625" style="35" customWidth="1"/>
    <col min="6412" max="6656" width="9" style="35"/>
    <col min="6657" max="6657" width="3.08984375" style="35" customWidth="1"/>
    <col min="6658" max="6658" width="4.6328125" style="35" customWidth="1"/>
    <col min="6659" max="6659" width="3.08984375" style="35" customWidth="1"/>
    <col min="6660" max="6660" width="12.90625" style="35" customWidth="1"/>
    <col min="6661" max="6661" width="11.08984375" style="35" customWidth="1"/>
    <col min="6662" max="6662" width="12.26953125" style="35" customWidth="1"/>
    <col min="6663" max="6663" width="11.90625" style="35" customWidth="1"/>
    <col min="6664" max="6664" width="9.36328125" style="35" customWidth="1"/>
    <col min="6665" max="6665" width="11.08984375" style="35" customWidth="1"/>
    <col min="6666" max="6666" width="10.453125" style="35" customWidth="1"/>
    <col min="6667" max="6667" width="9.7265625" style="35" customWidth="1"/>
    <col min="6668" max="6912" width="9" style="35"/>
    <col min="6913" max="6913" width="3.08984375" style="35" customWidth="1"/>
    <col min="6914" max="6914" width="4.6328125" style="35" customWidth="1"/>
    <col min="6915" max="6915" width="3.08984375" style="35" customWidth="1"/>
    <col min="6916" max="6916" width="12.90625" style="35" customWidth="1"/>
    <col min="6917" max="6917" width="11.08984375" style="35" customWidth="1"/>
    <col min="6918" max="6918" width="12.26953125" style="35" customWidth="1"/>
    <col min="6919" max="6919" width="11.90625" style="35" customWidth="1"/>
    <col min="6920" max="6920" width="9.36328125" style="35" customWidth="1"/>
    <col min="6921" max="6921" width="11.08984375" style="35" customWidth="1"/>
    <col min="6922" max="6922" width="10.453125" style="35" customWidth="1"/>
    <col min="6923" max="6923" width="9.7265625" style="35" customWidth="1"/>
    <col min="6924" max="7168" width="9" style="35"/>
    <col min="7169" max="7169" width="3.08984375" style="35" customWidth="1"/>
    <col min="7170" max="7170" width="4.6328125" style="35" customWidth="1"/>
    <col min="7171" max="7171" width="3.08984375" style="35" customWidth="1"/>
    <col min="7172" max="7172" width="12.90625" style="35" customWidth="1"/>
    <col min="7173" max="7173" width="11.08984375" style="35" customWidth="1"/>
    <col min="7174" max="7174" width="12.26953125" style="35" customWidth="1"/>
    <col min="7175" max="7175" width="11.90625" style="35" customWidth="1"/>
    <col min="7176" max="7176" width="9.36328125" style="35" customWidth="1"/>
    <col min="7177" max="7177" width="11.08984375" style="35" customWidth="1"/>
    <col min="7178" max="7178" width="10.453125" style="35" customWidth="1"/>
    <col min="7179" max="7179" width="9.7265625" style="35" customWidth="1"/>
    <col min="7180" max="7424" width="9" style="35"/>
    <col min="7425" max="7425" width="3.08984375" style="35" customWidth="1"/>
    <col min="7426" max="7426" width="4.6328125" style="35" customWidth="1"/>
    <col min="7427" max="7427" width="3.08984375" style="35" customWidth="1"/>
    <col min="7428" max="7428" width="12.90625" style="35" customWidth="1"/>
    <col min="7429" max="7429" width="11.08984375" style="35" customWidth="1"/>
    <col min="7430" max="7430" width="12.26953125" style="35" customWidth="1"/>
    <col min="7431" max="7431" width="11.90625" style="35" customWidth="1"/>
    <col min="7432" max="7432" width="9.36328125" style="35" customWidth="1"/>
    <col min="7433" max="7433" width="11.08984375" style="35" customWidth="1"/>
    <col min="7434" max="7434" width="10.453125" style="35" customWidth="1"/>
    <col min="7435" max="7435" width="9.7265625" style="35" customWidth="1"/>
    <col min="7436" max="7680" width="9" style="35"/>
    <col min="7681" max="7681" width="3.08984375" style="35" customWidth="1"/>
    <col min="7682" max="7682" width="4.6328125" style="35" customWidth="1"/>
    <col min="7683" max="7683" width="3.08984375" style="35" customWidth="1"/>
    <col min="7684" max="7684" width="12.90625" style="35" customWidth="1"/>
    <col min="7685" max="7685" width="11.08984375" style="35" customWidth="1"/>
    <col min="7686" max="7686" width="12.26953125" style="35" customWidth="1"/>
    <col min="7687" max="7687" width="11.90625" style="35" customWidth="1"/>
    <col min="7688" max="7688" width="9.36328125" style="35" customWidth="1"/>
    <col min="7689" max="7689" width="11.08984375" style="35" customWidth="1"/>
    <col min="7690" max="7690" width="10.453125" style="35" customWidth="1"/>
    <col min="7691" max="7691" width="9.7265625" style="35" customWidth="1"/>
    <col min="7692" max="7936" width="9" style="35"/>
    <col min="7937" max="7937" width="3.08984375" style="35" customWidth="1"/>
    <col min="7938" max="7938" width="4.6328125" style="35" customWidth="1"/>
    <col min="7939" max="7939" width="3.08984375" style="35" customWidth="1"/>
    <col min="7940" max="7940" width="12.90625" style="35" customWidth="1"/>
    <col min="7941" max="7941" width="11.08984375" style="35" customWidth="1"/>
    <col min="7942" max="7942" width="12.26953125" style="35" customWidth="1"/>
    <col min="7943" max="7943" width="11.90625" style="35" customWidth="1"/>
    <col min="7944" max="7944" width="9.36328125" style="35" customWidth="1"/>
    <col min="7945" max="7945" width="11.08984375" style="35" customWidth="1"/>
    <col min="7946" max="7946" width="10.453125" style="35" customWidth="1"/>
    <col min="7947" max="7947" width="9.7265625" style="35" customWidth="1"/>
    <col min="7948" max="8192" width="9" style="35"/>
    <col min="8193" max="8193" width="3.08984375" style="35" customWidth="1"/>
    <col min="8194" max="8194" width="4.6328125" style="35" customWidth="1"/>
    <col min="8195" max="8195" width="3.08984375" style="35" customWidth="1"/>
    <col min="8196" max="8196" width="12.90625" style="35" customWidth="1"/>
    <col min="8197" max="8197" width="11.08984375" style="35" customWidth="1"/>
    <col min="8198" max="8198" width="12.26953125" style="35" customWidth="1"/>
    <col min="8199" max="8199" width="11.90625" style="35" customWidth="1"/>
    <col min="8200" max="8200" width="9.36328125" style="35" customWidth="1"/>
    <col min="8201" max="8201" width="11.08984375" style="35" customWidth="1"/>
    <col min="8202" max="8202" width="10.453125" style="35" customWidth="1"/>
    <col min="8203" max="8203" width="9.7265625" style="35" customWidth="1"/>
    <col min="8204" max="8448" width="9" style="35"/>
    <col min="8449" max="8449" width="3.08984375" style="35" customWidth="1"/>
    <col min="8450" max="8450" width="4.6328125" style="35" customWidth="1"/>
    <col min="8451" max="8451" width="3.08984375" style="35" customWidth="1"/>
    <col min="8452" max="8452" width="12.90625" style="35" customWidth="1"/>
    <col min="8453" max="8453" width="11.08984375" style="35" customWidth="1"/>
    <col min="8454" max="8454" width="12.26953125" style="35" customWidth="1"/>
    <col min="8455" max="8455" width="11.90625" style="35" customWidth="1"/>
    <col min="8456" max="8456" width="9.36328125" style="35" customWidth="1"/>
    <col min="8457" max="8457" width="11.08984375" style="35" customWidth="1"/>
    <col min="8458" max="8458" width="10.453125" style="35" customWidth="1"/>
    <col min="8459" max="8459" width="9.7265625" style="35" customWidth="1"/>
    <col min="8460" max="8704" width="9" style="35"/>
    <col min="8705" max="8705" width="3.08984375" style="35" customWidth="1"/>
    <col min="8706" max="8706" width="4.6328125" style="35" customWidth="1"/>
    <col min="8707" max="8707" width="3.08984375" style="35" customWidth="1"/>
    <col min="8708" max="8708" width="12.90625" style="35" customWidth="1"/>
    <col min="8709" max="8709" width="11.08984375" style="35" customWidth="1"/>
    <col min="8710" max="8710" width="12.26953125" style="35" customWidth="1"/>
    <col min="8711" max="8711" width="11.90625" style="35" customWidth="1"/>
    <col min="8712" max="8712" width="9.36328125" style="35" customWidth="1"/>
    <col min="8713" max="8713" width="11.08984375" style="35" customWidth="1"/>
    <col min="8714" max="8714" width="10.453125" style="35" customWidth="1"/>
    <col min="8715" max="8715" width="9.7265625" style="35" customWidth="1"/>
    <col min="8716" max="8960" width="9" style="35"/>
    <col min="8961" max="8961" width="3.08984375" style="35" customWidth="1"/>
    <col min="8962" max="8962" width="4.6328125" style="35" customWidth="1"/>
    <col min="8963" max="8963" width="3.08984375" style="35" customWidth="1"/>
    <col min="8964" max="8964" width="12.90625" style="35" customWidth="1"/>
    <col min="8965" max="8965" width="11.08984375" style="35" customWidth="1"/>
    <col min="8966" max="8966" width="12.26953125" style="35" customWidth="1"/>
    <col min="8967" max="8967" width="11.90625" style="35" customWidth="1"/>
    <col min="8968" max="8968" width="9.36328125" style="35" customWidth="1"/>
    <col min="8969" max="8969" width="11.08984375" style="35" customWidth="1"/>
    <col min="8970" max="8970" width="10.453125" style="35" customWidth="1"/>
    <col min="8971" max="8971" width="9.7265625" style="35" customWidth="1"/>
    <col min="8972" max="9216" width="9" style="35"/>
    <col min="9217" max="9217" width="3.08984375" style="35" customWidth="1"/>
    <col min="9218" max="9218" width="4.6328125" style="35" customWidth="1"/>
    <col min="9219" max="9219" width="3.08984375" style="35" customWidth="1"/>
    <col min="9220" max="9220" width="12.90625" style="35" customWidth="1"/>
    <col min="9221" max="9221" width="11.08984375" style="35" customWidth="1"/>
    <col min="9222" max="9222" width="12.26953125" style="35" customWidth="1"/>
    <col min="9223" max="9223" width="11.90625" style="35" customWidth="1"/>
    <col min="9224" max="9224" width="9.36328125" style="35" customWidth="1"/>
    <col min="9225" max="9225" width="11.08984375" style="35" customWidth="1"/>
    <col min="9226" max="9226" width="10.453125" style="35" customWidth="1"/>
    <col min="9227" max="9227" width="9.7265625" style="35" customWidth="1"/>
    <col min="9228" max="9472" width="9" style="35"/>
    <col min="9473" max="9473" width="3.08984375" style="35" customWidth="1"/>
    <col min="9474" max="9474" width="4.6328125" style="35" customWidth="1"/>
    <col min="9475" max="9475" width="3.08984375" style="35" customWidth="1"/>
    <col min="9476" max="9476" width="12.90625" style="35" customWidth="1"/>
    <col min="9477" max="9477" width="11.08984375" style="35" customWidth="1"/>
    <col min="9478" max="9478" width="12.26953125" style="35" customWidth="1"/>
    <col min="9479" max="9479" width="11.90625" style="35" customWidth="1"/>
    <col min="9480" max="9480" width="9.36328125" style="35" customWidth="1"/>
    <col min="9481" max="9481" width="11.08984375" style="35" customWidth="1"/>
    <col min="9482" max="9482" width="10.453125" style="35" customWidth="1"/>
    <col min="9483" max="9483" width="9.7265625" style="35" customWidth="1"/>
    <col min="9484" max="9728" width="9" style="35"/>
    <col min="9729" max="9729" width="3.08984375" style="35" customWidth="1"/>
    <col min="9730" max="9730" width="4.6328125" style="35" customWidth="1"/>
    <col min="9731" max="9731" width="3.08984375" style="35" customWidth="1"/>
    <col min="9732" max="9732" width="12.90625" style="35" customWidth="1"/>
    <col min="9733" max="9733" width="11.08984375" style="35" customWidth="1"/>
    <col min="9734" max="9734" width="12.26953125" style="35" customWidth="1"/>
    <col min="9735" max="9735" width="11.90625" style="35" customWidth="1"/>
    <col min="9736" max="9736" width="9.36328125" style="35" customWidth="1"/>
    <col min="9737" max="9737" width="11.08984375" style="35" customWidth="1"/>
    <col min="9738" max="9738" width="10.453125" style="35" customWidth="1"/>
    <col min="9739" max="9739" width="9.7265625" style="35" customWidth="1"/>
    <col min="9740" max="9984" width="9" style="35"/>
    <col min="9985" max="9985" width="3.08984375" style="35" customWidth="1"/>
    <col min="9986" max="9986" width="4.6328125" style="35" customWidth="1"/>
    <col min="9987" max="9987" width="3.08984375" style="35" customWidth="1"/>
    <col min="9988" max="9988" width="12.90625" style="35" customWidth="1"/>
    <col min="9989" max="9989" width="11.08984375" style="35" customWidth="1"/>
    <col min="9990" max="9990" width="12.26953125" style="35" customWidth="1"/>
    <col min="9991" max="9991" width="11.90625" style="35" customWidth="1"/>
    <col min="9992" max="9992" width="9.36328125" style="35" customWidth="1"/>
    <col min="9993" max="9993" width="11.08984375" style="35" customWidth="1"/>
    <col min="9994" max="9994" width="10.453125" style="35" customWidth="1"/>
    <col min="9995" max="9995" width="9.7265625" style="35" customWidth="1"/>
    <col min="9996" max="10240" width="9" style="35"/>
    <col min="10241" max="10241" width="3.08984375" style="35" customWidth="1"/>
    <col min="10242" max="10242" width="4.6328125" style="35" customWidth="1"/>
    <col min="10243" max="10243" width="3.08984375" style="35" customWidth="1"/>
    <col min="10244" max="10244" width="12.90625" style="35" customWidth="1"/>
    <col min="10245" max="10245" width="11.08984375" style="35" customWidth="1"/>
    <col min="10246" max="10246" width="12.26953125" style="35" customWidth="1"/>
    <col min="10247" max="10247" width="11.90625" style="35" customWidth="1"/>
    <col min="10248" max="10248" width="9.36328125" style="35" customWidth="1"/>
    <col min="10249" max="10249" width="11.08984375" style="35" customWidth="1"/>
    <col min="10250" max="10250" width="10.453125" style="35" customWidth="1"/>
    <col min="10251" max="10251" width="9.7265625" style="35" customWidth="1"/>
    <col min="10252" max="10496" width="9" style="35"/>
    <col min="10497" max="10497" width="3.08984375" style="35" customWidth="1"/>
    <col min="10498" max="10498" width="4.6328125" style="35" customWidth="1"/>
    <col min="10499" max="10499" width="3.08984375" style="35" customWidth="1"/>
    <col min="10500" max="10500" width="12.90625" style="35" customWidth="1"/>
    <col min="10501" max="10501" width="11.08984375" style="35" customWidth="1"/>
    <col min="10502" max="10502" width="12.26953125" style="35" customWidth="1"/>
    <col min="10503" max="10503" width="11.90625" style="35" customWidth="1"/>
    <col min="10504" max="10504" width="9.36328125" style="35" customWidth="1"/>
    <col min="10505" max="10505" width="11.08984375" style="35" customWidth="1"/>
    <col min="10506" max="10506" width="10.453125" style="35" customWidth="1"/>
    <col min="10507" max="10507" width="9.7265625" style="35" customWidth="1"/>
    <col min="10508" max="10752" width="9" style="35"/>
    <col min="10753" max="10753" width="3.08984375" style="35" customWidth="1"/>
    <col min="10754" max="10754" width="4.6328125" style="35" customWidth="1"/>
    <col min="10755" max="10755" width="3.08984375" style="35" customWidth="1"/>
    <col min="10756" max="10756" width="12.90625" style="35" customWidth="1"/>
    <col min="10757" max="10757" width="11.08984375" style="35" customWidth="1"/>
    <col min="10758" max="10758" width="12.26953125" style="35" customWidth="1"/>
    <col min="10759" max="10759" width="11.90625" style="35" customWidth="1"/>
    <col min="10760" max="10760" width="9.36328125" style="35" customWidth="1"/>
    <col min="10761" max="10761" width="11.08984375" style="35" customWidth="1"/>
    <col min="10762" max="10762" width="10.453125" style="35" customWidth="1"/>
    <col min="10763" max="10763" width="9.7265625" style="35" customWidth="1"/>
    <col min="10764" max="11008" width="9" style="35"/>
    <col min="11009" max="11009" width="3.08984375" style="35" customWidth="1"/>
    <col min="11010" max="11010" width="4.6328125" style="35" customWidth="1"/>
    <col min="11011" max="11011" width="3.08984375" style="35" customWidth="1"/>
    <col min="11012" max="11012" width="12.90625" style="35" customWidth="1"/>
    <col min="11013" max="11013" width="11.08984375" style="35" customWidth="1"/>
    <col min="11014" max="11014" width="12.26953125" style="35" customWidth="1"/>
    <col min="11015" max="11015" width="11.90625" style="35" customWidth="1"/>
    <col min="11016" max="11016" width="9.36328125" style="35" customWidth="1"/>
    <col min="11017" max="11017" width="11.08984375" style="35" customWidth="1"/>
    <col min="11018" max="11018" width="10.453125" style="35" customWidth="1"/>
    <col min="11019" max="11019" width="9.7265625" style="35" customWidth="1"/>
    <col min="11020" max="11264" width="9" style="35"/>
    <col min="11265" max="11265" width="3.08984375" style="35" customWidth="1"/>
    <col min="11266" max="11266" width="4.6328125" style="35" customWidth="1"/>
    <col min="11267" max="11267" width="3.08984375" style="35" customWidth="1"/>
    <col min="11268" max="11268" width="12.90625" style="35" customWidth="1"/>
    <col min="11269" max="11269" width="11.08984375" style="35" customWidth="1"/>
    <col min="11270" max="11270" width="12.26953125" style="35" customWidth="1"/>
    <col min="11271" max="11271" width="11.90625" style="35" customWidth="1"/>
    <col min="11272" max="11272" width="9.36328125" style="35" customWidth="1"/>
    <col min="11273" max="11273" width="11.08984375" style="35" customWidth="1"/>
    <col min="11274" max="11274" width="10.453125" style="35" customWidth="1"/>
    <col min="11275" max="11275" width="9.7265625" style="35" customWidth="1"/>
    <col min="11276" max="11520" width="9" style="35"/>
    <col min="11521" max="11521" width="3.08984375" style="35" customWidth="1"/>
    <col min="11522" max="11522" width="4.6328125" style="35" customWidth="1"/>
    <col min="11523" max="11523" width="3.08984375" style="35" customWidth="1"/>
    <col min="11524" max="11524" width="12.90625" style="35" customWidth="1"/>
    <col min="11525" max="11525" width="11.08984375" style="35" customWidth="1"/>
    <col min="11526" max="11526" width="12.26953125" style="35" customWidth="1"/>
    <col min="11527" max="11527" width="11.90625" style="35" customWidth="1"/>
    <col min="11528" max="11528" width="9.36328125" style="35" customWidth="1"/>
    <col min="11529" max="11529" width="11.08984375" style="35" customWidth="1"/>
    <col min="11530" max="11530" width="10.453125" style="35" customWidth="1"/>
    <col min="11531" max="11531" width="9.7265625" style="35" customWidth="1"/>
    <col min="11532" max="11776" width="9" style="35"/>
    <col min="11777" max="11777" width="3.08984375" style="35" customWidth="1"/>
    <col min="11778" max="11778" width="4.6328125" style="35" customWidth="1"/>
    <col min="11779" max="11779" width="3.08984375" style="35" customWidth="1"/>
    <col min="11780" max="11780" width="12.90625" style="35" customWidth="1"/>
    <col min="11781" max="11781" width="11.08984375" style="35" customWidth="1"/>
    <col min="11782" max="11782" width="12.26953125" style="35" customWidth="1"/>
    <col min="11783" max="11783" width="11.90625" style="35" customWidth="1"/>
    <col min="11784" max="11784" width="9.36328125" style="35" customWidth="1"/>
    <col min="11785" max="11785" width="11.08984375" style="35" customWidth="1"/>
    <col min="11786" max="11786" width="10.453125" style="35" customWidth="1"/>
    <col min="11787" max="11787" width="9.7265625" style="35" customWidth="1"/>
    <col min="11788" max="12032" width="9" style="35"/>
    <col min="12033" max="12033" width="3.08984375" style="35" customWidth="1"/>
    <col min="12034" max="12034" width="4.6328125" style="35" customWidth="1"/>
    <col min="12035" max="12035" width="3.08984375" style="35" customWidth="1"/>
    <col min="12036" max="12036" width="12.90625" style="35" customWidth="1"/>
    <col min="12037" max="12037" width="11.08984375" style="35" customWidth="1"/>
    <col min="12038" max="12038" width="12.26953125" style="35" customWidth="1"/>
    <col min="12039" max="12039" width="11.90625" style="35" customWidth="1"/>
    <col min="12040" max="12040" width="9.36328125" style="35" customWidth="1"/>
    <col min="12041" max="12041" width="11.08984375" style="35" customWidth="1"/>
    <col min="12042" max="12042" width="10.453125" style="35" customWidth="1"/>
    <col min="12043" max="12043" width="9.7265625" style="35" customWidth="1"/>
    <col min="12044" max="12288" width="9" style="35"/>
    <col min="12289" max="12289" width="3.08984375" style="35" customWidth="1"/>
    <col min="12290" max="12290" width="4.6328125" style="35" customWidth="1"/>
    <col min="12291" max="12291" width="3.08984375" style="35" customWidth="1"/>
    <col min="12292" max="12292" width="12.90625" style="35" customWidth="1"/>
    <col min="12293" max="12293" width="11.08984375" style="35" customWidth="1"/>
    <col min="12294" max="12294" width="12.26953125" style="35" customWidth="1"/>
    <col min="12295" max="12295" width="11.90625" style="35" customWidth="1"/>
    <col min="12296" max="12296" width="9.36328125" style="35" customWidth="1"/>
    <col min="12297" max="12297" width="11.08984375" style="35" customWidth="1"/>
    <col min="12298" max="12298" width="10.453125" style="35" customWidth="1"/>
    <col min="12299" max="12299" width="9.7265625" style="35" customWidth="1"/>
    <col min="12300" max="12544" width="9" style="35"/>
    <col min="12545" max="12545" width="3.08984375" style="35" customWidth="1"/>
    <col min="12546" max="12546" width="4.6328125" style="35" customWidth="1"/>
    <col min="12547" max="12547" width="3.08984375" style="35" customWidth="1"/>
    <col min="12548" max="12548" width="12.90625" style="35" customWidth="1"/>
    <col min="12549" max="12549" width="11.08984375" style="35" customWidth="1"/>
    <col min="12550" max="12550" width="12.26953125" style="35" customWidth="1"/>
    <col min="12551" max="12551" width="11.90625" style="35" customWidth="1"/>
    <col min="12552" max="12552" width="9.36328125" style="35" customWidth="1"/>
    <col min="12553" max="12553" width="11.08984375" style="35" customWidth="1"/>
    <col min="12554" max="12554" width="10.453125" style="35" customWidth="1"/>
    <col min="12555" max="12555" width="9.7265625" style="35" customWidth="1"/>
    <col min="12556" max="12800" width="9" style="35"/>
    <col min="12801" max="12801" width="3.08984375" style="35" customWidth="1"/>
    <col min="12802" max="12802" width="4.6328125" style="35" customWidth="1"/>
    <col min="12803" max="12803" width="3.08984375" style="35" customWidth="1"/>
    <col min="12804" max="12804" width="12.90625" style="35" customWidth="1"/>
    <col min="12805" max="12805" width="11.08984375" style="35" customWidth="1"/>
    <col min="12806" max="12806" width="12.26953125" style="35" customWidth="1"/>
    <col min="12807" max="12807" width="11.90625" style="35" customWidth="1"/>
    <col min="12808" max="12808" width="9.36328125" style="35" customWidth="1"/>
    <col min="12809" max="12809" width="11.08984375" style="35" customWidth="1"/>
    <col min="12810" max="12810" width="10.453125" style="35" customWidth="1"/>
    <col min="12811" max="12811" width="9.7265625" style="35" customWidth="1"/>
    <col min="12812" max="13056" width="9" style="35"/>
    <col min="13057" max="13057" width="3.08984375" style="35" customWidth="1"/>
    <col min="13058" max="13058" width="4.6328125" style="35" customWidth="1"/>
    <col min="13059" max="13059" width="3.08984375" style="35" customWidth="1"/>
    <col min="13060" max="13060" width="12.90625" style="35" customWidth="1"/>
    <col min="13061" max="13061" width="11.08984375" style="35" customWidth="1"/>
    <col min="13062" max="13062" width="12.26953125" style="35" customWidth="1"/>
    <col min="13063" max="13063" width="11.90625" style="35" customWidth="1"/>
    <col min="13064" max="13064" width="9.36328125" style="35" customWidth="1"/>
    <col min="13065" max="13065" width="11.08984375" style="35" customWidth="1"/>
    <col min="13066" max="13066" width="10.453125" style="35" customWidth="1"/>
    <col min="13067" max="13067" width="9.7265625" style="35" customWidth="1"/>
    <col min="13068" max="13312" width="9" style="35"/>
    <col min="13313" max="13313" width="3.08984375" style="35" customWidth="1"/>
    <col min="13314" max="13314" width="4.6328125" style="35" customWidth="1"/>
    <col min="13315" max="13315" width="3.08984375" style="35" customWidth="1"/>
    <col min="13316" max="13316" width="12.90625" style="35" customWidth="1"/>
    <col min="13317" max="13317" width="11.08984375" style="35" customWidth="1"/>
    <col min="13318" max="13318" width="12.26953125" style="35" customWidth="1"/>
    <col min="13319" max="13319" width="11.90625" style="35" customWidth="1"/>
    <col min="13320" max="13320" width="9.36328125" style="35" customWidth="1"/>
    <col min="13321" max="13321" width="11.08984375" style="35" customWidth="1"/>
    <col min="13322" max="13322" width="10.453125" style="35" customWidth="1"/>
    <col min="13323" max="13323" width="9.7265625" style="35" customWidth="1"/>
    <col min="13324" max="13568" width="9" style="35"/>
    <col min="13569" max="13569" width="3.08984375" style="35" customWidth="1"/>
    <col min="13570" max="13570" width="4.6328125" style="35" customWidth="1"/>
    <col min="13571" max="13571" width="3.08984375" style="35" customWidth="1"/>
    <col min="13572" max="13572" width="12.90625" style="35" customWidth="1"/>
    <col min="13573" max="13573" width="11.08984375" style="35" customWidth="1"/>
    <col min="13574" max="13574" width="12.26953125" style="35" customWidth="1"/>
    <col min="13575" max="13575" width="11.90625" style="35" customWidth="1"/>
    <col min="13576" max="13576" width="9.36328125" style="35" customWidth="1"/>
    <col min="13577" max="13577" width="11.08984375" style="35" customWidth="1"/>
    <col min="13578" max="13578" width="10.453125" style="35" customWidth="1"/>
    <col min="13579" max="13579" width="9.7265625" style="35" customWidth="1"/>
    <col min="13580" max="13824" width="9" style="35"/>
    <col min="13825" max="13825" width="3.08984375" style="35" customWidth="1"/>
    <col min="13826" max="13826" width="4.6328125" style="35" customWidth="1"/>
    <col min="13827" max="13827" width="3.08984375" style="35" customWidth="1"/>
    <col min="13828" max="13828" width="12.90625" style="35" customWidth="1"/>
    <col min="13829" max="13829" width="11.08984375" style="35" customWidth="1"/>
    <col min="13830" max="13830" width="12.26953125" style="35" customWidth="1"/>
    <col min="13831" max="13831" width="11.90625" style="35" customWidth="1"/>
    <col min="13832" max="13832" width="9.36328125" style="35" customWidth="1"/>
    <col min="13833" max="13833" width="11.08984375" style="35" customWidth="1"/>
    <col min="13834" max="13834" width="10.453125" style="35" customWidth="1"/>
    <col min="13835" max="13835" width="9.7265625" style="35" customWidth="1"/>
    <col min="13836" max="14080" width="9" style="35"/>
    <col min="14081" max="14081" width="3.08984375" style="35" customWidth="1"/>
    <col min="14082" max="14082" width="4.6328125" style="35" customWidth="1"/>
    <col min="14083" max="14083" width="3.08984375" style="35" customWidth="1"/>
    <col min="14084" max="14084" width="12.90625" style="35" customWidth="1"/>
    <col min="14085" max="14085" width="11.08984375" style="35" customWidth="1"/>
    <col min="14086" max="14086" width="12.26953125" style="35" customWidth="1"/>
    <col min="14087" max="14087" width="11.90625" style="35" customWidth="1"/>
    <col min="14088" max="14088" width="9.36328125" style="35" customWidth="1"/>
    <col min="14089" max="14089" width="11.08984375" style="35" customWidth="1"/>
    <col min="14090" max="14090" width="10.453125" style="35" customWidth="1"/>
    <col min="14091" max="14091" width="9.7265625" style="35" customWidth="1"/>
    <col min="14092" max="14336" width="9" style="35"/>
    <col min="14337" max="14337" width="3.08984375" style="35" customWidth="1"/>
    <col min="14338" max="14338" width="4.6328125" style="35" customWidth="1"/>
    <col min="14339" max="14339" width="3.08984375" style="35" customWidth="1"/>
    <col min="14340" max="14340" width="12.90625" style="35" customWidth="1"/>
    <col min="14341" max="14341" width="11.08984375" style="35" customWidth="1"/>
    <col min="14342" max="14342" width="12.26953125" style="35" customWidth="1"/>
    <col min="14343" max="14343" width="11.90625" style="35" customWidth="1"/>
    <col min="14344" max="14344" width="9.36328125" style="35" customWidth="1"/>
    <col min="14345" max="14345" width="11.08984375" style="35" customWidth="1"/>
    <col min="14346" max="14346" width="10.453125" style="35" customWidth="1"/>
    <col min="14347" max="14347" width="9.7265625" style="35" customWidth="1"/>
    <col min="14348" max="14592" width="9" style="35"/>
    <col min="14593" max="14593" width="3.08984375" style="35" customWidth="1"/>
    <col min="14594" max="14594" width="4.6328125" style="35" customWidth="1"/>
    <col min="14595" max="14595" width="3.08984375" style="35" customWidth="1"/>
    <col min="14596" max="14596" width="12.90625" style="35" customWidth="1"/>
    <col min="14597" max="14597" width="11.08984375" style="35" customWidth="1"/>
    <col min="14598" max="14598" width="12.26953125" style="35" customWidth="1"/>
    <col min="14599" max="14599" width="11.90625" style="35" customWidth="1"/>
    <col min="14600" max="14600" width="9.36328125" style="35" customWidth="1"/>
    <col min="14601" max="14601" width="11.08984375" style="35" customWidth="1"/>
    <col min="14602" max="14602" width="10.453125" style="35" customWidth="1"/>
    <col min="14603" max="14603" width="9.7265625" style="35" customWidth="1"/>
    <col min="14604" max="14848" width="9" style="35"/>
    <col min="14849" max="14849" width="3.08984375" style="35" customWidth="1"/>
    <col min="14850" max="14850" width="4.6328125" style="35" customWidth="1"/>
    <col min="14851" max="14851" width="3.08984375" style="35" customWidth="1"/>
    <col min="14852" max="14852" width="12.90625" style="35" customWidth="1"/>
    <col min="14853" max="14853" width="11.08984375" style="35" customWidth="1"/>
    <col min="14854" max="14854" width="12.26953125" style="35" customWidth="1"/>
    <col min="14855" max="14855" width="11.90625" style="35" customWidth="1"/>
    <col min="14856" max="14856" width="9.36328125" style="35" customWidth="1"/>
    <col min="14857" max="14857" width="11.08984375" style="35" customWidth="1"/>
    <col min="14858" max="14858" width="10.453125" style="35" customWidth="1"/>
    <col min="14859" max="14859" width="9.7265625" style="35" customWidth="1"/>
    <col min="14860" max="15104" width="9" style="35"/>
    <col min="15105" max="15105" width="3.08984375" style="35" customWidth="1"/>
    <col min="15106" max="15106" width="4.6328125" style="35" customWidth="1"/>
    <col min="15107" max="15107" width="3.08984375" style="35" customWidth="1"/>
    <col min="15108" max="15108" width="12.90625" style="35" customWidth="1"/>
    <col min="15109" max="15109" width="11.08984375" style="35" customWidth="1"/>
    <col min="15110" max="15110" width="12.26953125" style="35" customWidth="1"/>
    <col min="15111" max="15111" width="11.90625" style="35" customWidth="1"/>
    <col min="15112" max="15112" width="9.36328125" style="35" customWidth="1"/>
    <col min="15113" max="15113" width="11.08984375" style="35" customWidth="1"/>
    <col min="15114" max="15114" width="10.453125" style="35" customWidth="1"/>
    <col min="15115" max="15115" width="9.7265625" style="35" customWidth="1"/>
    <col min="15116" max="15360" width="9" style="35"/>
    <col min="15361" max="15361" width="3.08984375" style="35" customWidth="1"/>
    <col min="15362" max="15362" width="4.6328125" style="35" customWidth="1"/>
    <col min="15363" max="15363" width="3.08984375" style="35" customWidth="1"/>
    <col min="15364" max="15364" width="12.90625" style="35" customWidth="1"/>
    <col min="15365" max="15365" width="11.08984375" style="35" customWidth="1"/>
    <col min="15366" max="15366" width="12.26953125" style="35" customWidth="1"/>
    <col min="15367" max="15367" width="11.90625" style="35" customWidth="1"/>
    <col min="15368" max="15368" width="9.36328125" style="35" customWidth="1"/>
    <col min="15369" max="15369" width="11.08984375" style="35" customWidth="1"/>
    <col min="15370" max="15370" width="10.453125" style="35" customWidth="1"/>
    <col min="15371" max="15371" width="9.7265625" style="35" customWidth="1"/>
    <col min="15372" max="15616" width="9" style="35"/>
    <col min="15617" max="15617" width="3.08984375" style="35" customWidth="1"/>
    <col min="15618" max="15618" width="4.6328125" style="35" customWidth="1"/>
    <col min="15619" max="15619" width="3.08984375" style="35" customWidth="1"/>
    <col min="15620" max="15620" width="12.90625" style="35" customWidth="1"/>
    <col min="15621" max="15621" width="11.08984375" style="35" customWidth="1"/>
    <col min="15622" max="15622" width="12.26953125" style="35" customWidth="1"/>
    <col min="15623" max="15623" width="11.90625" style="35" customWidth="1"/>
    <col min="15624" max="15624" width="9.36328125" style="35" customWidth="1"/>
    <col min="15625" max="15625" width="11.08984375" style="35" customWidth="1"/>
    <col min="15626" max="15626" width="10.453125" style="35" customWidth="1"/>
    <col min="15627" max="15627" width="9.7265625" style="35" customWidth="1"/>
    <col min="15628" max="15872" width="9" style="35"/>
    <col min="15873" max="15873" width="3.08984375" style="35" customWidth="1"/>
    <col min="15874" max="15874" width="4.6328125" style="35" customWidth="1"/>
    <col min="15875" max="15875" width="3.08984375" style="35" customWidth="1"/>
    <col min="15876" max="15876" width="12.90625" style="35" customWidth="1"/>
    <col min="15877" max="15877" width="11.08984375" style="35" customWidth="1"/>
    <col min="15878" max="15878" width="12.26953125" style="35" customWidth="1"/>
    <col min="15879" max="15879" width="11.90625" style="35" customWidth="1"/>
    <col min="15880" max="15880" width="9.36328125" style="35" customWidth="1"/>
    <col min="15881" max="15881" width="11.08984375" style="35" customWidth="1"/>
    <col min="15882" max="15882" width="10.453125" style="35" customWidth="1"/>
    <col min="15883" max="15883" width="9.7265625" style="35" customWidth="1"/>
    <col min="15884" max="16128" width="9" style="35"/>
    <col min="16129" max="16129" width="3.08984375" style="35" customWidth="1"/>
    <col min="16130" max="16130" width="4.6328125" style="35" customWidth="1"/>
    <col min="16131" max="16131" width="3.08984375" style="35" customWidth="1"/>
    <col min="16132" max="16132" width="12.90625" style="35" customWidth="1"/>
    <col min="16133" max="16133" width="11.08984375" style="35" customWidth="1"/>
    <col min="16134" max="16134" width="12.26953125" style="35" customWidth="1"/>
    <col min="16135" max="16135" width="11.90625" style="35" customWidth="1"/>
    <col min="16136" max="16136" width="9.36328125" style="35" customWidth="1"/>
    <col min="16137" max="16137" width="11.08984375" style="35" customWidth="1"/>
    <col min="16138" max="16138" width="10.453125" style="35" customWidth="1"/>
    <col min="16139" max="16139" width="9.7265625" style="35" customWidth="1"/>
    <col min="16140" max="16384" width="9" style="35"/>
  </cols>
  <sheetData>
    <row r="1" spans="1:41">
      <c r="A1" s="310" t="s">
        <v>85</v>
      </c>
    </row>
    <row r="2" spans="1:41" s="84" customFormat="1" ht="24" customHeight="1" thickBot="1">
      <c r="A2" s="83"/>
      <c r="B2" s="414" t="s">
        <v>174</v>
      </c>
      <c r="C2" s="414"/>
      <c r="D2" s="414"/>
      <c r="E2" s="414"/>
      <c r="F2" s="414"/>
      <c r="G2" s="414"/>
      <c r="H2" s="414"/>
      <c r="I2" s="414"/>
      <c r="J2" s="414"/>
      <c r="K2" s="414"/>
    </row>
    <row r="3" spans="1:41" s="84" customFormat="1" ht="13.5" customHeight="1" thickTop="1">
      <c r="A3" s="85"/>
      <c r="B3" s="86"/>
      <c r="C3" s="87"/>
      <c r="D3" s="87"/>
      <c r="E3" s="87"/>
      <c r="F3" s="87"/>
      <c r="G3" s="87"/>
      <c r="H3" s="87"/>
      <c r="I3" s="87"/>
      <c r="J3" s="87"/>
    </row>
    <row r="4" spans="1:41" s="84" customFormat="1" ht="13.5" customHeight="1">
      <c r="A4" s="85"/>
      <c r="B4" s="88" t="s">
        <v>175</v>
      </c>
      <c r="C4" s="89"/>
      <c r="D4" s="90" t="s">
        <v>176</v>
      </c>
      <c r="E4" s="91" t="s">
        <v>177</v>
      </c>
      <c r="F4" s="92" t="s">
        <v>178</v>
      </c>
      <c r="G4" s="93" t="s">
        <v>179</v>
      </c>
      <c r="H4" s="93" t="s">
        <v>180</v>
      </c>
      <c r="I4" s="93" t="s">
        <v>181</v>
      </c>
    </row>
    <row r="5" spans="1:41" s="84" customFormat="1" ht="13.5" customHeight="1">
      <c r="A5" s="85"/>
      <c r="B5" s="88"/>
      <c r="C5" s="94"/>
      <c r="D5" s="95"/>
      <c r="E5" s="95"/>
      <c r="F5" s="95"/>
      <c r="G5" s="96"/>
      <c r="H5" s="97"/>
      <c r="I5" s="97"/>
    </row>
    <row r="6" spans="1:41" s="84" customFormat="1" ht="13.5" customHeight="1">
      <c r="A6" s="85"/>
      <c r="B6" s="88"/>
      <c r="C6" s="94"/>
      <c r="D6" s="95"/>
      <c r="E6" s="95"/>
      <c r="F6" s="95"/>
      <c r="G6" s="96"/>
      <c r="H6" s="97"/>
      <c r="I6" s="97"/>
    </row>
    <row r="7" spans="1:41" s="84" customFormat="1" ht="13.5" customHeight="1">
      <c r="A7" s="85"/>
      <c r="B7" s="88"/>
      <c r="C7" s="94"/>
      <c r="D7" s="95"/>
      <c r="E7" s="95"/>
      <c r="F7" s="95"/>
      <c r="G7" s="96"/>
      <c r="H7" s="97"/>
      <c r="I7" s="97"/>
    </row>
    <row r="8" spans="1:41" s="84" customFormat="1" ht="13.5" customHeight="1">
      <c r="A8" s="85"/>
      <c r="B8" s="88"/>
      <c r="C8" s="94"/>
      <c r="D8" s="95"/>
      <c r="E8" s="95"/>
      <c r="F8" s="95"/>
      <c r="G8" s="96"/>
      <c r="H8" s="97"/>
      <c r="I8" s="97"/>
    </row>
    <row r="9" spans="1:41" ht="13.5" customHeight="1">
      <c r="B9" s="41"/>
      <c r="C9" s="41"/>
      <c r="D9" s="41"/>
      <c r="E9" s="42"/>
    </row>
    <row r="10" spans="1:41" ht="15" customHeight="1">
      <c r="A10" s="443" t="s">
        <v>582</v>
      </c>
      <c r="B10" s="443"/>
      <c r="C10" s="443"/>
      <c r="D10" s="443"/>
      <c r="E10" s="443"/>
      <c r="F10" s="443"/>
      <c r="G10" s="443"/>
      <c r="H10" s="443"/>
      <c r="I10" s="443"/>
      <c r="J10" s="443"/>
      <c r="K10" s="443"/>
      <c r="L10" s="442"/>
      <c r="M10" s="442"/>
      <c r="N10" s="442"/>
      <c r="O10" s="442"/>
      <c r="P10" s="442"/>
      <c r="Q10" s="442"/>
      <c r="R10" s="442"/>
      <c r="S10" s="442"/>
      <c r="T10" s="442"/>
      <c r="U10" s="442"/>
      <c r="V10" s="442"/>
      <c r="W10" s="442"/>
      <c r="X10" s="442"/>
      <c r="Y10" s="442"/>
    </row>
    <row r="11" spans="1:41" ht="19.5" customHeight="1">
      <c r="A11" s="443"/>
      <c r="B11" s="443"/>
      <c r="C11" s="443"/>
      <c r="D11" s="443"/>
      <c r="E11" s="443"/>
      <c r="F11" s="443"/>
      <c r="G11" s="443"/>
      <c r="H11" s="443"/>
      <c r="I11" s="443"/>
      <c r="J11" s="443"/>
      <c r="K11" s="443"/>
      <c r="L11" s="442"/>
      <c r="M11" s="442"/>
      <c r="N11" s="442"/>
      <c r="O11" s="442"/>
      <c r="P11" s="442"/>
      <c r="Q11" s="442"/>
      <c r="R11" s="442"/>
      <c r="S11" s="442"/>
      <c r="T11" s="442"/>
      <c r="U11" s="442"/>
      <c r="V11" s="442"/>
      <c r="W11" s="442"/>
      <c r="X11" s="442"/>
      <c r="Y11" s="442"/>
      <c r="Z11" s="350"/>
      <c r="AA11" s="350"/>
      <c r="AB11" s="350"/>
      <c r="AC11" s="350"/>
      <c r="AD11" s="350"/>
      <c r="AE11" s="350"/>
      <c r="AF11" s="350"/>
      <c r="AG11" s="350"/>
      <c r="AH11" s="350"/>
      <c r="AI11" s="350"/>
      <c r="AJ11" s="350"/>
      <c r="AK11" s="350"/>
      <c r="AL11" s="350"/>
      <c r="AM11" s="100"/>
      <c r="AN11" s="100"/>
      <c r="AO11" s="100"/>
    </row>
    <row r="12" spans="1:41" s="102" customFormat="1" ht="16.5" customHeight="1">
      <c r="A12" s="443"/>
      <c r="B12" s="443"/>
      <c r="C12" s="443"/>
      <c r="D12" s="443"/>
      <c r="E12" s="443"/>
      <c r="F12" s="443"/>
      <c r="G12" s="443"/>
      <c r="H12" s="443"/>
      <c r="I12" s="443"/>
      <c r="J12" s="443"/>
      <c r="K12" s="443"/>
      <c r="L12" s="442"/>
      <c r="M12" s="442"/>
      <c r="N12" s="442"/>
      <c r="O12" s="442"/>
      <c r="P12" s="442"/>
      <c r="Q12" s="442"/>
      <c r="R12" s="442"/>
      <c r="S12" s="442"/>
      <c r="T12" s="442"/>
      <c r="U12" s="442"/>
      <c r="V12" s="442"/>
      <c r="W12" s="442"/>
      <c r="X12" s="442"/>
      <c r="Y12" s="442"/>
      <c r="Z12" s="353"/>
      <c r="AA12" s="353"/>
      <c r="AB12" s="353"/>
      <c r="AC12" s="353"/>
      <c r="AD12" s="353"/>
      <c r="AE12" s="353"/>
      <c r="AF12" s="353"/>
      <c r="AG12" s="353"/>
      <c r="AH12" s="353"/>
      <c r="AI12" s="353"/>
      <c r="AJ12" s="353"/>
      <c r="AK12" s="353"/>
      <c r="AL12" s="353"/>
    </row>
    <row r="13" spans="1:41" s="105" customFormat="1" ht="93.75" customHeight="1">
      <c r="A13" s="443"/>
      <c r="B13" s="443"/>
      <c r="C13" s="443"/>
      <c r="D13" s="443"/>
      <c r="E13" s="443"/>
      <c r="F13" s="443"/>
      <c r="G13" s="443"/>
      <c r="H13" s="443"/>
      <c r="I13" s="443"/>
      <c r="J13" s="443"/>
      <c r="K13" s="443"/>
      <c r="L13" s="442"/>
      <c r="M13" s="442"/>
      <c r="N13" s="442"/>
      <c r="O13" s="442"/>
      <c r="P13" s="442"/>
      <c r="Q13" s="442"/>
      <c r="R13" s="442"/>
      <c r="S13" s="442"/>
      <c r="T13" s="442"/>
      <c r="U13" s="442"/>
      <c r="V13" s="442"/>
      <c r="W13" s="442"/>
      <c r="X13" s="442"/>
      <c r="Y13" s="442"/>
      <c r="Z13" s="364"/>
      <c r="AA13" s="364"/>
      <c r="AB13" s="365"/>
      <c r="AC13" s="365"/>
      <c r="AD13" s="365"/>
      <c r="AE13" s="365"/>
      <c r="AF13" s="365"/>
      <c r="AG13" s="365"/>
      <c r="AH13" s="364"/>
      <c r="AI13" s="364"/>
      <c r="AJ13" s="364"/>
      <c r="AK13" s="364"/>
      <c r="AL13" s="364"/>
      <c r="AM13" s="104"/>
      <c r="AN13" s="104"/>
      <c r="AO13" s="104"/>
    </row>
    <row r="14" spans="1:41" s="100" customFormat="1" ht="13.5" customHeight="1">
      <c r="A14" s="366"/>
      <c r="B14" s="367"/>
      <c r="C14" s="368"/>
      <c r="D14" s="369"/>
      <c r="E14" s="370"/>
      <c r="F14" s="370"/>
      <c r="G14" s="370"/>
      <c r="H14" s="370"/>
      <c r="I14" s="370"/>
      <c r="J14" s="369"/>
      <c r="K14" s="370"/>
      <c r="L14" s="369"/>
      <c r="M14" s="369"/>
      <c r="N14" s="369"/>
      <c r="O14" s="370"/>
      <c r="P14" s="370"/>
      <c r="Q14" s="369"/>
      <c r="R14" s="369"/>
      <c r="S14" s="369"/>
      <c r="T14" s="370"/>
      <c r="U14" s="370"/>
      <c r="V14" s="370"/>
      <c r="W14" s="369"/>
      <c r="X14" s="369"/>
      <c r="Y14" s="369"/>
      <c r="Z14" s="369"/>
      <c r="AA14" s="350"/>
      <c r="AB14" s="350"/>
      <c r="AC14" s="350"/>
      <c r="AD14" s="350"/>
      <c r="AE14" s="350"/>
      <c r="AF14" s="350"/>
      <c r="AG14" s="350"/>
      <c r="AH14" s="350"/>
      <c r="AI14" s="350"/>
      <c r="AJ14" s="350"/>
      <c r="AK14" s="350"/>
      <c r="AL14" s="350"/>
    </row>
    <row r="15" spans="1:41" ht="13.5" customHeight="1">
      <c r="A15" s="371"/>
      <c r="B15" s="372"/>
      <c r="C15" s="373"/>
      <c r="D15" s="369"/>
      <c r="E15" s="369"/>
      <c r="F15" s="369"/>
      <c r="G15" s="369"/>
      <c r="H15" s="374"/>
      <c r="I15" s="369"/>
      <c r="J15" s="369"/>
      <c r="K15" s="369"/>
      <c r="L15" s="369"/>
      <c r="M15" s="369"/>
      <c r="N15" s="369"/>
      <c r="O15" s="369"/>
      <c r="P15" s="375"/>
      <c r="Q15" s="369"/>
      <c r="R15" s="369"/>
      <c r="S15" s="369"/>
      <c r="T15" s="369"/>
      <c r="U15" s="369"/>
      <c r="V15" s="369"/>
      <c r="W15" s="369"/>
      <c r="X15" s="369"/>
      <c r="Y15" s="369"/>
      <c r="Z15" s="369"/>
      <c r="AA15" s="369"/>
      <c r="AB15" s="350"/>
      <c r="AC15" s="376"/>
      <c r="AD15" s="350"/>
      <c r="AE15" s="376"/>
      <c r="AF15" s="350"/>
      <c r="AG15" s="350"/>
      <c r="AH15" s="350"/>
      <c r="AI15" s="376"/>
      <c r="AJ15" s="350"/>
      <c r="AK15" s="376"/>
      <c r="AL15" s="350"/>
      <c r="AM15" s="100"/>
      <c r="AN15" s="100"/>
      <c r="AO15" s="100"/>
    </row>
    <row r="16" spans="1:41" ht="13.5" customHeight="1">
      <c r="A16" s="377"/>
      <c r="B16" s="372"/>
      <c r="C16" s="373"/>
      <c r="D16" s="369"/>
      <c r="E16" s="369"/>
      <c r="F16" s="369"/>
      <c r="G16" s="369"/>
      <c r="H16" s="374"/>
      <c r="I16" s="369"/>
      <c r="J16" s="369"/>
      <c r="K16" s="369"/>
      <c r="L16" s="369"/>
      <c r="M16" s="369"/>
      <c r="N16" s="369"/>
      <c r="O16" s="369"/>
      <c r="P16" s="375"/>
      <c r="Q16" s="369"/>
      <c r="R16" s="369"/>
      <c r="S16" s="369"/>
      <c r="T16" s="369"/>
      <c r="U16" s="369"/>
      <c r="V16" s="369"/>
      <c r="W16" s="369"/>
      <c r="X16" s="369"/>
      <c r="Y16" s="369"/>
      <c r="Z16" s="369"/>
      <c r="AA16" s="369"/>
      <c r="AB16" s="350"/>
      <c r="AC16" s="376"/>
      <c r="AD16" s="350"/>
      <c r="AE16" s="376"/>
      <c r="AF16" s="350"/>
      <c r="AG16" s="350"/>
      <c r="AH16" s="369"/>
      <c r="AI16" s="376"/>
      <c r="AJ16" s="350"/>
      <c r="AK16" s="350"/>
      <c r="AL16" s="350"/>
      <c r="AM16" s="100"/>
      <c r="AN16" s="100"/>
      <c r="AO16" s="100"/>
    </row>
    <row r="17" spans="1:45" ht="13.5" customHeight="1">
      <c r="A17" s="378"/>
      <c r="B17" s="372"/>
      <c r="C17" s="373"/>
      <c r="D17" s="369"/>
      <c r="E17" s="369"/>
      <c r="F17" s="369"/>
      <c r="G17" s="369"/>
      <c r="H17" s="374"/>
      <c r="I17" s="369"/>
      <c r="J17" s="369"/>
      <c r="K17" s="369"/>
      <c r="L17" s="369"/>
      <c r="M17" s="369"/>
      <c r="N17" s="369"/>
      <c r="O17" s="369"/>
      <c r="P17" s="375"/>
      <c r="Q17" s="369"/>
      <c r="R17" s="369"/>
      <c r="S17" s="369"/>
      <c r="T17" s="369"/>
      <c r="U17" s="369"/>
      <c r="V17" s="369"/>
      <c r="W17" s="369"/>
      <c r="X17" s="369"/>
      <c r="Y17" s="369"/>
      <c r="Z17" s="369"/>
      <c r="AA17" s="369"/>
      <c r="AB17" s="350"/>
      <c r="AC17" s="376"/>
      <c r="AD17" s="350"/>
      <c r="AE17" s="376"/>
      <c r="AF17" s="350"/>
      <c r="AG17" s="350"/>
      <c r="AH17" s="369"/>
      <c r="AI17" s="376"/>
      <c r="AJ17" s="350"/>
      <c r="AK17" s="350"/>
      <c r="AL17" s="350"/>
      <c r="AM17" s="100"/>
      <c r="AN17" s="100"/>
      <c r="AO17" s="100"/>
    </row>
    <row r="18" spans="1:45" ht="13.5" customHeight="1">
      <c r="A18" s="378"/>
      <c r="B18" s="372"/>
      <c r="C18" s="373"/>
      <c r="D18" s="369"/>
      <c r="E18" s="369"/>
      <c r="F18" s="369"/>
      <c r="G18" s="369"/>
      <c r="H18" s="374"/>
      <c r="I18" s="369"/>
      <c r="J18" s="369"/>
      <c r="K18" s="369"/>
      <c r="L18" s="369"/>
      <c r="M18" s="369"/>
      <c r="N18" s="369"/>
      <c r="O18" s="369"/>
      <c r="P18" s="375"/>
      <c r="Q18" s="369"/>
      <c r="R18" s="369"/>
      <c r="S18" s="369"/>
      <c r="T18" s="369"/>
      <c r="U18" s="369"/>
      <c r="V18" s="369"/>
      <c r="W18" s="369"/>
      <c r="X18" s="369"/>
      <c r="Y18" s="369"/>
      <c r="Z18" s="369"/>
      <c r="AA18" s="369"/>
      <c r="AB18" s="350"/>
      <c r="AC18" s="376"/>
      <c r="AD18" s="350"/>
      <c r="AE18" s="376"/>
      <c r="AF18" s="350"/>
      <c r="AG18" s="350"/>
      <c r="AH18" s="369"/>
      <c r="AI18" s="376"/>
      <c r="AJ18" s="350"/>
      <c r="AK18" s="350"/>
      <c r="AL18" s="350"/>
      <c r="AM18" s="100"/>
      <c r="AN18" s="100"/>
      <c r="AO18" s="100"/>
    </row>
    <row r="19" spans="1:45" ht="13.5" customHeight="1">
      <c r="A19" s="377"/>
      <c r="B19" s="372"/>
      <c r="C19" s="373"/>
      <c r="D19" s="369"/>
      <c r="E19" s="369"/>
      <c r="F19" s="369"/>
      <c r="G19" s="369"/>
      <c r="H19" s="374"/>
      <c r="I19" s="369"/>
      <c r="J19" s="369"/>
      <c r="K19" s="369"/>
      <c r="L19" s="369"/>
      <c r="M19" s="369"/>
      <c r="N19" s="369"/>
      <c r="O19" s="369"/>
      <c r="P19" s="375"/>
      <c r="Q19" s="369"/>
      <c r="R19" s="369"/>
      <c r="S19" s="369"/>
      <c r="T19" s="369"/>
      <c r="U19" s="369"/>
      <c r="V19" s="369"/>
      <c r="W19" s="369"/>
      <c r="X19" s="369"/>
      <c r="Y19" s="369"/>
      <c r="Z19" s="369"/>
      <c r="AA19" s="369"/>
      <c r="AB19" s="350"/>
      <c r="AC19" s="376"/>
      <c r="AD19" s="350"/>
      <c r="AE19" s="376"/>
      <c r="AF19" s="350"/>
      <c r="AG19" s="350"/>
      <c r="AH19" s="369"/>
      <c r="AI19" s="376"/>
      <c r="AJ19" s="350"/>
      <c r="AK19" s="350"/>
      <c r="AL19" s="350"/>
      <c r="AM19" s="100"/>
      <c r="AN19" s="100"/>
      <c r="AO19" s="100"/>
    </row>
    <row r="20" spans="1:45" ht="13.5" customHeight="1">
      <c r="A20" s="371"/>
      <c r="B20" s="372"/>
      <c r="C20" s="373"/>
      <c r="D20" s="369"/>
      <c r="E20" s="369"/>
      <c r="F20" s="369"/>
      <c r="G20" s="369"/>
      <c r="H20" s="374"/>
      <c r="I20" s="369"/>
      <c r="J20" s="369"/>
      <c r="K20" s="369"/>
      <c r="L20" s="369"/>
      <c r="M20" s="369"/>
      <c r="N20" s="369"/>
      <c r="O20" s="369"/>
      <c r="P20" s="375"/>
      <c r="Q20" s="369"/>
      <c r="R20" s="369"/>
      <c r="S20" s="369"/>
      <c r="T20" s="369"/>
      <c r="U20" s="369"/>
      <c r="V20" s="369"/>
      <c r="W20" s="369"/>
      <c r="X20" s="369"/>
      <c r="Y20" s="369"/>
      <c r="Z20" s="369"/>
      <c r="AA20" s="369"/>
      <c r="AB20" s="350"/>
      <c r="AC20" s="376"/>
      <c r="AD20" s="350"/>
      <c r="AE20" s="376"/>
      <c r="AF20" s="350"/>
      <c r="AG20" s="350"/>
      <c r="AH20" s="350"/>
      <c r="AI20" s="376"/>
      <c r="AJ20" s="350"/>
      <c r="AK20" s="376"/>
      <c r="AL20" s="350"/>
      <c r="AM20" s="100"/>
      <c r="AN20" s="100"/>
      <c r="AO20" s="100"/>
    </row>
    <row r="21" spans="1:45" ht="13.5" customHeight="1">
      <c r="A21" s="378"/>
      <c r="B21" s="372"/>
      <c r="C21" s="373"/>
      <c r="D21" s="369"/>
      <c r="E21" s="369"/>
      <c r="F21" s="369"/>
      <c r="G21" s="369"/>
      <c r="H21" s="374"/>
      <c r="I21" s="369"/>
      <c r="J21" s="369"/>
      <c r="K21" s="369"/>
      <c r="L21" s="369"/>
      <c r="M21" s="369"/>
      <c r="N21" s="369"/>
      <c r="O21" s="369"/>
      <c r="P21" s="375"/>
      <c r="Q21" s="369"/>
      <c r="R21" s="369"/>
      <c r="S21" s="369"/>
      <c r="T21" s="369"/>
      <c r="U21" s="369"/>
      <c r="V21" s="369"/>
      <c r="W21" s="369"/>
      <c r="X21" s="369"/>
      <c r="Y21" s="369"/>
      <c r="Z21" s="369"/>
      <c r="AA21" s="369"/>
      <c r="AB21" s="350"/>
      <c r="AC21" s="376"/>
      <c r="AD21" s="350"/>
      <c r="AE21" s="376"/>
      <c r="AF21" s="350"/>
      <c r="AG21" s="350"/>
      <c r="AH21" s="350"/>
      <c r="AI21" s="376"/>
      <c r="AJ21" s="350"/>
      <c r="AK21" s="376"/>
      <c r="AL21" s="350"/>
      <c r="AM21" s="100"/>
      <c r="AN21" s="100"/>
      <c r="AO21" s="100"/>
    </row>
    <row r="22" spans="1:45" ht="13.5" customHeight="1">
      <c r="A22" s="378"/>
      <c r="B22" s="372"/>
      <c r="C22" s="373"/>
      <c r="D22" s="369"/>
      <c r="E22" s="369"/>
      <c r="F22" s="369"/>
      <c r="G22" s="369"/>
      <c r="H22" s="374"/>
      <c r="I22" s="369"/>
      <c r="J22" s="369"/>
      <c r="K22" s="369"/>
      <c r="L22" s="369"/>
      <c r="M22" s="369"/>
      <c r="N22" s="369"/>
      <c r="O22" s="369"/>
      <c r="P22" s="375"/>
      <c r="Q22" s="369"/>
      <c r="R22" s="369"/>
      <c r="S22" s="369"/>
      <c r="T22" s="369"/>
      <c r="U22" s="369"/>
      <c r="V22" s="369"/>
      <c r="W22" s="369"/>
      <c r="X22" s="369"/>
      <c r="Y22" s="369"/>
      <c r="Z22" s="369"/>
      <c r="AA22" s="369"/>
      <c r="AB22" s="350"/>
      <c r="AC22" s="376"/>
      <c r="AD22" s="350"/>
      <c r="AE22" s="376"/>
      <c r="AF22" s="350"/>
      <c r="AG22" s="350"/>
      <c r="AH22" s="350"/>
      <c r="AI22" s="376"/>
      <c r="AJ22" s="350"/>
      <c r="AK22" s="376"/>
      <c r="AL22" s="350"/>
      <c r="AM22" s="100"/>
      <c r="AN22" s="100"/>
      <c r="AO22" s="100"/>
    </row>
    <row r="23" spans="1:45" ht="13.5" customHeight="1">
      <c r="A23" s="377"/>
      <c r="B23" s="372"/>
      <c r="C23" s="373"/>
      <c r="D23" s="369"/>
      <c r="E23" s="369"/>
      <c r="F23" s="369"/>
      <c r="G23" s="369"/>
      <c r="H23" s="374"/>
      <c r="I23" s="369"/>
      <c r="J23" s="369"/>
      <c r="K23" s="369"/>
      <c r="L23" s="369"/>
      <c r="M23" s="369"/>
      <c r="N23" s="369"/>
      <c r="O23" s="369"/>
      <c r="P23" s="375"/>
      <c r="Q23" s="369"/>
      <c r="R23" s="369"/>
      <c r="S23" s="369"/>
      <c r="T23" s="369"/>
      <c r="U23" s="369"/>
      <c r="V23" s="369"/>
      <c r="W23" s="369"/>
      <c r="X23" s="369"/>
      <c r="Y23" s="369"/>
      <c r="Z23" s="369"/>
      <c r="AA23" s="369"/>
      <c r="AB23" s="350"/>
      <c r="AC23" s="376"/>
      <c r="AD23" s="350"/>
      <c r="AE23" s="376"/>
      <c r="AF23" s="350"/>
      <c r="AG23" s="350"/>
      <c r="AH23" s="350"/>
      <c r="AI23" s="376"/>
      <c r="AJ23" s="350"/>
      <c r="AK23" s="376"/>
      <c r="AL23" s="350"/>
      <c r="AM23" s="100"/>
      <c r="AN23" s="100"/>
      <c r="AO23" s="100"/>
    </row>
    <row r="24" spans="1:45" ht="13.5" customHeight="1">
      <c r="A24" s="377"/>
      <c r="B24" s="372"/>
      <c r="C24" s="373"/>
      <c r="D24" s="369"/>
      <c r="E24" s="369"/>
      <c r="F24" s="369"/>
      <c r="G24" s="369"/>
      <c r="H24" s="374"/>
      <c r="I24" s="369"/>
      <c r="J24" s="369"/>
      <c r="K24" s="369"/>
      <c r="L24" s="369"/>
      <c r="M24" s="369"/>
      <c r="N24" s="369"/>
      <c r="O24" s="369"/>
      <c r="P24" s="375"/>
      <c r="Q24" s="369"/>
      <c r="R24" s="369"/>
      <c r="S24" s="369"/>
      <c r="T24" s="369"/>
      <c r="U24" s="369"/>
      <c r="V24" s="369"/>
      <c r="W24" s="369"/>
      <c r="X24" s="369"/>
      <c r="Y24" s="369"/>
      <c r="Z24" s="369"/>
      <c r="AA24" s="369"/>
      <c r="AB24" s="350"/>
      <c r="AC24" s="376"/>
      <c r="AD24" s="350"/>
      <c r="AE24" s="376"/>
      <c r="AF24" s="350"/>
      <c r="AG24" s="350"/>
      <c r="AH24" s="369"/>
      <c r="AI24" s="376"/>
      <c r="AJ24" s="350"/>
      <c r="AK24" s="350"/>
      <c r="AL24" s="350"/>
      <c r="AM24" s="100"/>
      <c r="AN24" s="100"/>
      <c r="AO24" s="100"/>
    </row>
    <row r="25" spans="1:45" ht="13.5" customHeight="1">
      <c r="A25" s="371"/>
      <c r="B25" s="372"/>
      <c r="C25" s="373"/>
      <c r="D25" s="369"/>
      <c r="E25" s="369"/>
      <c r="F25" s="369"/>
      <c r="G25" s="369"/>
      <c r="H25" s="374"/>
      <c r="I25" s="369"/>
      <c r="J25" s="369"/>
      <c r="K25" s="369"/>
      <c r="L25" s="369"/>
      <c r="M25" s="369"/>
      <c r="N25" s="369"/>
      <c r="O25" s="369"/>
      <c r="P25" s="375"/>
      <c r="Q25" s="369"/>
      <c r="R25" s="369"/>
      <c r="S25" s="369"/>
      <c r="T25" s="369"/>
      <c r="U25" s="369"/>
      <c r="V25" s="369"/>
      <c r="W25" s="369"/>
      <c r="X25" s="369"/>
      <c r="Y25" s="369"/>
      <c r="Z25" s="369"/>
      <c r="AA25" s="369"/>
      <c r="AB25" s="350"/>
      <c r="AC25" s="376"/>
      <c r="AD25" s="350"/>
      <c r="AE25" s="376"/>
      <c r="AF25" s="350"/>
      <c r="AG25" s="350"/>
      <c r="AH25" s="369"/>
      <c r="AI25" s="376"/>
      <c r="AJ25" s="350"/>
      <c r="AK25" s="350"/>
      <c r="AL25" s="350"/>
      <c r="AM25" s="100"/>
      <c r="AN25" s="100"/>
      <c r="AO25" s="100"/>
    </row>
    <row r="26" spans="1:45" ht="13.5" customHeight="1">
      <c r="A26" s="371"/>
      <c r="B26" s="372"/>
      <c r="C26" s="373"/>
      <c r="D26" s="369"/>
      <c r="E26" s="369"/>
      <c r="F26" s="369"/>
      <c r="G26" s="369"/>
      <c r="H26" s="374"/>
      <c r="I26" s="369"/>
      <c r="J26" s="369"/>
      <c r="K26" s="369"/>
      <c r="L26" s="369"/>
      <c r="M26" s="369"/>
      <c r="N26" s="369"/>
      <c r="O26" s="369"/>
      <c r="P26" s="375"/>
      <c r="Q26" s="369"/>
      <c r="R26" s="369"/>
      <c r="S26" s="369"/>
      <c r="T26" s="369"/>
      <c r="U26" s="369"/>
      <c r="V26" s="369"/>
      <c r="W26" s="369"/>
      <c r="X26" s="369"/>
      <c r="Y26" s="369"/>
      <c r="Z26" s="369"/>
      <c r="AA26" s="369"/>
      <c r="AB26" s="350"/>
      <c r="AC26" s="376"/>
      <c r="AD26" s="350"/>
      <c r="AE26" s="376"/>
      <c r="AF26" s="350"/>
      <c r="AG26" s="350"/>
      <c r="AH26" s="369"/>
      <c r="AI26" s="376"/>
      <c r="AJ26" s="350"/>
      <c r="AK26" s="350"/>
      <c r="AL26" s="350"/>
      <c r="AM26" s="100"/>
      <c r="AN26" s="100"/>
      <c r="AO26" s="100"/>
    </row>
    <row r="27" spans="1:45" ht="13.5" customHeight="1">
      <c r="A27" s="371"/>
      <c r="B27" s="372"/>
      <c r="C27" s="373"/>
      <c r="D27" s="369"/>
      <c r="E27" s="369"/>
      <c r="F27" s="369"/>
      <c r="G27" s="369"/>
      <c r="H27" s="374"/>
      <c r="I27" s="369"/>
      <c r="J27" s="369"/>
      <c r="K27" s="369"/>
      <c r="L27" s="369"/>
      <c r="M27" s="369"/>
      <c r="N27" s="369"/>
      <c r="O27" s="369"/>
      <c r="P27" s="375"/>
      <c r="Q27" s="369"/>
      <c r="R27" s="369"/>
      <c r="S27" s="369"/>
      <c r="T27" s="369"/>
      <c r="U27" s="369"/>
      <c r="V27" s="369"/>
      <c r="W27" s="369"/>
      <c r="X27" s="369"/>
      <c r="Y27" s="369"/>
      <c r="Z27" s="369"/>
      <c r="AA27" s="369"/>
      <c r="AB27" s="369"/>
      <c r="AC27" s="376"/>
      <c r="AD27" s="350"/>
      <c r="AE27" s="376"/>
      <c r="AF27" s="350"/>
      <c r="AG27" s="350"/>
      <c r="AH27" s="369"/>
      <c r="AI27" s="376"/>
      <c r="AJ27" s="350"/>
      <c r="AK27" s="350"/>
      <c r="AL27" s="350"/>
      <c r="AM27" s="100"/>
      <c r="AN27" s="100"/>
      <c r="AO27" s="100"/>
    </row>
    <row r="28" spans="1:45" ht="13.5" customHeight="1">
      <c r="A28" s="366"/>
      <c r="B28" s="372"/>
      <c r="C28" s="373"/>
      <c r="D28" s="369"/>
      <c r="E28" s="369"/>
      <c r="F28" s="369"/>
      <c r="G28" s="375"/>
      <c r="H28" s="374"/>
      <c r="I28" s="369"/>
      <c r="J28" s="369"/>
      <c r="K28" s="369"/>
      <c r="L28" s="369"/>
      <c r="M28" s="369"/>
      <c r="N28" s="369"/>
      <c r="O28" s="369"/>
      <c r="P28" s="375"/>
      <c r="Q28" s="369"/>
      <c r="R28" s="369"/>
      <c r="S28" s="369"/>
      <c r="T28" s="369"/>
      <c r="U28" s="369"/>
      <c r="V28" s="369"/>
      <c r="W28" s="369"/>
      <c r="X28" s="369"/>
      <c r="Y28" s="369"/>
      <c r="Z28" s="369"/>
      <c r="AA28" s="369"/>
      <c r="AB28" s="350"/>
      <c r="AC28" s="376"/>
      <c r="AD28" s="350"/>
      <c r="AE28" s="376"/>
      <c r="AF28" s="350"/>
      <c r="AG28" s="350"/>
      <c r="AH28" s="350"/>
      <c r="AI28" s="376"/>
      <c r="AJ28" s="350"/>
      <c r="AK28" s="376"/>
      <c r="AL28" s="350"/>
      <c r="AM28" s="100"/>
      <c r="AN28" s="100"/>
      <c r="AO28" s="100"/>
    </row>
    <row r="29" spans="1:45" ht="13.5" customHeight="1">
      <c r="A29" s="366"/>
      <c r="B29" s="372"/>
      <c r="C29" s="373"/>
      <c r="D29" s="369"/>
      <c r="E29" s="369"/>
      <c r="F29" s="369"/>
      <c r="G29" s="375"/>
      <c r="H29" s="374"/>
      <c r="I29" s="369"/>
      <c r="J29" s="369"/>
      <c r="K29" s="369"/>
      <c r="L29" s="369"/>
      <c r="M29" s="369"/>
      <c r="N29" s="369"/>
      <c r="O29" s="369"/>
      <c r="P29" s="375"/>
      <c r="Q29" s="369"/>
      <c r="R29" s="369"/>
      <c r="S29" s="369"/>
      <c r="T29" s="369"/>
      <c r="U29" s="369"/>
      <c r="V29" s="369"/>
      <c r="W29" s="369"/>
      <c r="X29" s="369"/>
      <c r="Y29" s="369"/>
      <c r="Z29" s="369"/>
      <c r="AA29" s="369"/>
      <c r="AB29" s="350"/>
      <c r="AC29" s="376"/>
      <c r="AD29" s="350"/>
      <c r="AE29" s="376"/>
      <c r="AF29" s="350"/>
      <c r="AG29" s="350"/>
      <c r="AH29" s="350"/>
      <c r="AI29" s="376"/>
      <c r="AJ29" s="350"/>
      <c r="AK29" s="376"/>
      <c r="AL29" s="350"/>
      <c r="AM29" s="100"/>
      <c r="AN29" s="100"/>
      <c r="AO29" s="100"/>
    </row>
    <row r="30" spans="1:45" ht="12.75" customHeight="1">
      <c r="A30" s="379"/>
      <c r="B30" s="372"/>
      <c r="C30" s="373"/>
      <c r="D30" s="369"/>
      <c r="E30" s="369"/>
      <c r="F30" s="369"/>
      <c r="G30" s="369"/>
      <c r="H30" s="374"/>
      <c r="I30" s="369"/>
      <c r="J30" s="369"/>
      <c r="K30" s="375"/>
      <c r="L30" s="369"/>
      <c r="M30" s="369"/>
      <c r="N30" s="369"/>
      <c r="O30" s="369"/>
      <c r="P30" s="375"/>
      <c r="Q30" s="369"/>
      <c r="R30" s="369"/>
      <c r="S30" s="369"/>
      <c r="T30" s="369"/>
      <c r="U30" s="369"/>
      <c r="V30" s="369"/>
      <c r="W30" s="369"/>
      <c r="X30" s="369"/>
      <c r="Y30" s="369"/>
      <c r="Z30" s="369"/>
      <c r="AA30" s="369"/>
      <c r="AB30" s="350"/>
      <c r="AC30" s="376"/>
      <c r="AD30" s="350"/>
      <c r="AE30" s="376"/>
      <c r="AF30" s="350"/>
      <c r="AG30" s="350"/>
      <c r="AH30" s="350"/>
      <c r="AI30" s="376"/>
      <c r="AJ30" s="350"/>
      <c r="AK30" s="376"/>
      <c r="AL30" s="350"/>
      <c r="AM30" s="100"/>
      <c r="AN30" s="100"/>
      <c r="AO30" s="100"/>
    </row>
    <row r="31" spans="1:45" ht="13.5" customHeight="1">
      <c r="A31" s="379"/>
      <c r="B31" s="372"/>
      <c r="C31" s="373"/>
      <c r="D31" s="369"/>
      <c r="E31" s="369"/>
      <c r="F31" s="369"/>
      <c r="G31" s="369"/>
      <c r="H31" s="374"/>
      <c r="I31" s="369"/>
      <c r="J31" s="369"/>
      <c r="K31" s="375"/>
      <c r="L31" s="369"/>
      <c r="M31" s="369"/>
      <c r="N31" s="369"/>
      <c r="O31" s="369"/>
      <c r="P31" s="375"/>
      <c r="Q31" s="369"/>
      <c r="R31" s="369"/>
      <c r="S31" s="369"/>
      <c r="T31" s="369"/>
      <c r="U31" s="369"/>
      <c r="V31" s="369"/>
      <c r="W31" s="369"/>
      <c r="X31" s="369"/>
      <c r="Y31" s="369"/>
      <c r="Z31" s="369"/>
      <c r="AA31" s="369"/>
      <c r="AB31" s="350"/>
      <c r="AC31" s="376"/>
      <c r="AD31" s="350"/>
      <c r="AE31" s="376"/>
      <c r="AF31" s="350"/>
      <c r="AG31" s="350"/>
      <c r="AH31" s="350"/>
      <c r="AI31" s="376"/>
      <c r="AJ31" s="350"/>
      <c r="AK31" s="376"/>
      <c r="AL31" s="350"/>
      <c r="AM31" s="350"/>
      <c r="AN31" s="350"/>
      <c r="AO31" s="350"/>
      <c r="AP31" s="344"/>
      <c r="AQ31" s="344"/>
      <c r="AR31" s="344"/>
      <c r="AS31" s="344"/>
    </row>
    <row r="32" spans="1:45" ht="13.5" customHeight="1">
      <c r="A32" s="379"/>
      <c r="B32" s="372"/>
      <c r="C32" s="373"/>
      <c r="D32" s="369"/>
      <c r="E32" s="369"/>
      <c r="F32" s="369"/>
      <c r="G32" s="369"/>
      <c r="H32" s="374"/>
      <c r="I32" s="369"/>
      <c r="J32" s="369"/>
      <c r="K32" s="369"/>
      <c r="L32" s="369"/>
      <c r="M32" s="369"/>
      <c r="N32" s="369"/>
      <c r="O32" s="369"/>
      <c r="P32" s="375"/>
      <c r="Q32" s="369"/>
      <c r="R32" s="369"/>
      <c r="S32" s="369"/>
      <c r="T32" s="369"/>
      <c r="U32" s="369"/>
      <c r="V32" s="369"/>
      <c r="W32" s="380"/>
      <c r="X32" s="369"/>
      <c r="Y32" s="369"/>
      <c r="Z32" s="369"/>
      <c r="AA32" s="350"/>
      <c r="AB32" s="350"/>
      <c r="AC32" s="376"/>
      <c r="AD32" s="350"/>
      <c r="AE32" s="376"/>
      <c r="AF32" s="350"/>
      <c r="AG32" s="350"/>
      <c r="AH32" s="350"/>
      <c r="AI32" s="376"/>
      <c r="AJ32" s="350"/>
      <c r="AK32" s="350"/>
      <c r="AL32" s="350"/>
      <c r="AM32" s="350"/>
      <c r="AN32" s="350"/>
      <c r="AO32" s="350"/>
      <c r="AP32" s="344"/>
      <c r="AQ32" s="344"/>
      <c r="AR32" s="344"/>
      <c r="AS32" s="344"/>
    </row>
    <row r="33" spans="1:45" ht="13.5" customHeight="1">
      <c r="A33" s="379"/>
      <c r="B33" s="372"/>
      <c r="C33" s="373"/>
      <c r="D33" s="369"/>
      <c r="E33" s="369"/>
      <c r="F33" s="369"/>
      <c r="G33" s="369"/>
      <c r="H33" s="374"/>
      <c r="I33" s="369"/>
      <c r="J33" s="369"/>
      <c r="K33" s="369"/>
      <c r="L33" s="369"/>
      <c r="M33" s="369"/>
      <c r="N33" s="369"/>
      <c r="O33" s="369"/>
      <c r="P33" s="375"/>
      <c r="Q33" s="369"/>
      <c r="R33" s="369"/>
      <c r="S33" s="369"/>
      <c r="T33" s="369"/>
      <c r="U33" s="369"/>
      <c r="V33" s="369"/>
      <c r="W33" s="380"/>
      <c r="X33" s="369"/>
      <c r="Y33" s="369"/>
      <c r="Z33" s="369"/>
      <c r="AA33" s="350"/>
      <c r="AB33" s="350"/>
      <c r="AC33" s="376"/>
      <c r="AD33" s="350"/>
      <c r="AE33" s="376"/>
      <c r="AF33" s="350"/>
      <c r="AG33" s="350"/>
      <c r="AH33" s="350"/>
      <c r="AI33" s="376"/>
      <c r="AJ33" s="350"/>
      <c r="AK33" s="350"/>
      <c r="AL33" s="350"/>
      <c r="AM33" s="350"/>
      <c r="AN33" s="350"/>
      <c r="AO33" s="350"/>
      <c r="AP33" s="344"/>
      <c r="AQ33" s="344"/>
      <c r="AR33" s="344"/>
      <c r="AS33" s="344"/>
    </row>
    <row r="34" spans="1:45" ht="13.5" customHeight="1">
      <c r="A34" s="366"/>
      <c r="B34" s="372"/>
      <c r="C34" s="373"/>
      <c r="D34" s="369"/>
      <c r="E34" s="375"/>
      <c r="F34" s="369"/>
      <c r="G34" s="369"/>
      <c r="H34" s="374"/>
      <c r="I34" s="369"/>
      <c r="J34" s="369"/>
      <c r="K34" s="369"/>
      <c r="L34" s="369"/>
      <c r="M34" s="369"/>
      <c r="N34" s="369"/>
      <c r="O34" s="369"/>
      <c r="P34" s="375"/>
      <c r="Q34" s="369"/>
      <c r="R34" s="369"/>
      <c r="S34" s="369"/>
      <c r="T34" s="369"/>
      <c r="U34" s="369"/>
      <c r="V34" s="369"/>
      <c r="W34" s="369"/>
      <c r="X34" s="369"/>
      <c r="Y34" s="369"/>
      <c r="Z34" s="369"/>
      <c r="AA34" s="369"/>
      <c r="AB34" s="350"/>
      <c r="AC34" s="376"/>
      <c r="AD34" s="350"/>
      <c r="AE34" s="376"/>
      <c r="AF34" s="350"/>
      <c r="AG34" s="350"/>
      <c r="AH34" s="350"/>
      <c r="AI34" s="376"/>
      <c r="AJ34" s="350"/>
      <c r="AK34" s="376"/>
      <c r="AL34" s="350"/>
      <c r="AM34" s="350"/>
      <c r="AN34" s="350"/>
      <c r="AO34" s="350"/>
      <c r="AP34" s="344"/>
      <c r="AQ34" s="344"/>
      <c r="AR34" s="344"/>
      <c r="AS34" s="344"/>
    </row>
    <row r="35" spans="1:45" ht="13.5" customHeight="1">
      <c r="A35" s="366"/>
      <c r="B35" s="372"/>
      <c r="C35" s="373"/>
      <c r="D35" s="369"/>
      <c r="E35" s="375"/>
      <c r="F35" s="369"/>
      <c r="G35" s="369"/>
      <c r="H35" s="374"/>
      <c r="I35" s="369"/>
      <c r="J35" s="369"/>
      <c r="K35" s="369"/>
      <c r="L35" s="369"/>
      <c r="M35" s="369"/>
      <c r="N35" s="369"/>
      <c r="O35" s="369"/>
      <c r="P35" s="375"/>
      <c r="Q35" s="369"/>
      <c r="R35" s="369"/>
      <c r="S35" s="369"/>
      <c r="T35" s="369"/>
      <c r="U35" s="369"/>
      <c r="V35" s="369"/>
      <c r="W35" s="369"/>
      <c r="X35" s="369"/>
      <c r="Y35" s="369"/>
      <c r="Z35" s="369"/>
      <c r="AA35" s="369"/>
      <c r="AB35" s="350"/>
      <c r="AC35" s="376"/>
      <c r="AD35" s="350"/>
      <c r="AE35" s="376"/>
      <c r="AF35" s="350"/>
      <c r="AG35" s="350"/>
      <c r="AH35" s="350"/>
      <c r="AI35" s="376"/>
      <c r="AJ35" s="350"/>
      <c r="AK35" s="376"/>
      <c r="AL35" s="350"/>
      <c r="AM35" s="350"/>
      <c r="AN35" s="350"/>
      <c r="AO35" s="350"/>
      <c r="AP35" s="344"/>
      <c r="AQ35" s="344"/>
      <c r="AR35" s="344"/>
      <c r="AS35" s="344"/>
    </row>
    <row r="36" spans="1:45">
      <c r="A36" s="344"/>
      <c r="B36" s="348"/>
      <c r="C36" s="368"/>
      <c r="D36" s="348"/>
      <c r="E36" s="348"/>
      <c r="F36" s="348"/>
      <c r="G36" s="348"/>
      <c r="H36" s="348"/>
      <c r="I36" s="348"/>
      <c r="J36" s="348"/>
      <c r="K36" s="348"/>
      <c r="L36" s="348"/>
      <c r="M36" s="348"/>
      <c r="N36" s="348"/>
      <c r="O36" s="348"/>
      <c r="P36" s="348"/>
      <c r="Q36" s="348"/>
      <c r="R36" s="348"/>
      <c r="S36" s="348"/>
      <c r="T36" s="376"/>
      <c r="U36" s="376"/>
      <c r="V36" s="376"/>
      <c r="W36" s="381"/>
      <c r="X36" s="376"/>
      <c r="Y36" s="376"/>
      <c r="Z36" s="350"/>
      <c r="AA36" s="350"/>
      <c r="AB36" s="350"/>
      <c r="AC36" s="350"/>
      <c r="AD36" s="350"/>
      <c r="AE36" s="350"/>
      <c r="AF36" s="350"/>
      <c r="AG36" s="350"/>
      <c r="AH36" s="350"/>
      <c r="AI36" s="350"/>
      <c r="AJ36" s="350"/>
      <c r="AK36" s="350"/>
      <c r="AL36" s="350"/>
      <c r="AM36" s="350"/>
      <c r="AN36" s="350"/>
      <c r="AO36" s="350"/>
      <c r="AP36" s="344"/>
      <c r="AQ36" s="344"/>
      <c r="AR36" s="344"/>
      <c r="AS36" s="344"/>
    </row>
    <row r="37" spans="1:45">
      <c r="A37" s="344"/>
      <c r="B37" s="348"/>
      <c r="C37" s="368"/>
      <c r="D37" s="348"/>
      <c r="E37" s="348"/>
      <c r="F37" s="348"/>
      <c r="G37" s="348"/>
      <c r="H37" s="348"/>
      <c r="I37" s="348"/>
      <c r="J37" s="348"/>
      <c r="K37" s="348"/>
      <c r="L37" s="348"/>
      <c r="M37" s="348"/>
      <c r="N37" s="348"/>
      <c r="O37" s="348"/>
      <c r="P37" s="348"/>
      <c r="Q37" s="348"/>
      <c r="R37" s="348"/>
      <c r="S37" s="348"/>
      <c r="T37" s="376"/>
      <c r="U37" s="376"/>
      <c r="V37" s="376"/>
      <c r="W37" s="382"/>
      <c r="X37" s="376"/>
      <c r="Y37" s="376"/>
      <c r="Z37" s="350"/>
      <c r="AA37" s="350"/>
      <c r="AB37" s="350"/>
      <c r="AC37" s="350"/>
      <c r="AD37" s="350"/>
      <c r="AE37" s="350"/>
      <c r="AF37" s="350"/>
      <c r="AG37" s="350"/>
      <c r="AH37" s="350"/>
      <c r="AI37" s="350"/>
      <c r="AJ37" s="350"/>
      <c r="AK37" s="350"/>
      <c r="AL37" s="350"/>
      <c r="AM37" s="350"/>
      <c r="AN37" s="350"/>
      <c r="AO37" s="350"/>
      <c r="AP37" s="344"/>
      <c r="AQ37" s="344"/>
      <c r="AR37" s="344"/>
      <c r="AS37" s="344"/>
    </row>
    <row r="38" spans="1:45" ht="19.5" customHeight="1">
      <c r="A38" s="344"/>
      <c r="B38" s="348"/>
      <c r="C38" s="349"/>
      <c r="D38" s="415"/>
      <c r="E38" s="415"/>
      <c r="F38" s="415"/>
      <c r="G38" s="415"/>
      <c r="H38" s="415"/>
      <c r="I38" s="415"/>
      <c r="J38" s="415"/>
      <c r="K38" s="415"/>
      <c r="L38" s="415"/>
      <c r="M38" s="415"/>
      <c r="N38" s="415"/>
      <c r="O38" s="415"/>
      <c r="P38" s="415"/>
      <c r="Q38" s="415"/>
      <c r="R38" s="415"/>
      <c r="S38" s="415"/>
      <c r="T38" s="383"/>
      <c r="U38" s="383"/>
      <c r="V38" s="383"/>
      <c r="W38" s="383"/>
      <c r="X38" s="383"/>
      <c r="Y38" s="383"/>
      <c r="Z38" s="384"/>
      <c r="AA38" s="384"/>
      <c r="AB38" s="384"/>
      <c r="AC38" s="384"/>
      <c r="AD38" s="384"/>
      <c r="AE38" s="384"/>
      <c r="AF38" s="384"/>
      <c r="AG38" s="384"/>
      <c r="AH38" s="384"/>
      <c r="AI38" s="384"/>
      <c r="AJ38" s="384"/>
      <c r="AK38" s="384"/>
      <c r="AL38" s="384"/>
      <c r="AM38" s="384"/>
      <c r="AN38" s="384"/>
      <c r="AO38" s="384"/>
      <c r="AP38" s="339"/>
      <c r="AQ38" s="344"/>
      <c r="AR38" s="344"/>
      <c r="AS38" s="344"/>
    </row>
    <row r="39" spans="1:45" s="102" customFormat="1" ht="16.5" customHeight="1">
      <c r="A39" s="413"/>
      <c r="B39" s="413"/>
      <c r="C39" s="413"/>
      <c r="D39" s="385"/>
      <c r="E39" s="385"/>
      <c r="F39" s="385"/>
      <c r="G39" s="385"/>
      <c r="H39" s="385"/>
      <c r="I39" s="385"/>
      <c r="J39" s="385"/>
      <c r="K39" s="385"/>
      <c r="L39" s="385"/>
      <c r="M39" s="385"/>
      <c r="N39" s="385"/>
      <c r="O39" s="385"/>
      <c r="P39" s="385"/>
      <c r="Q39" s="385"/>
      <c r="R39" s="385"/>
      <c r="S39" s="385"/>
      <c r="T39" s="385"/>
      <c r="U39" s="385"/>
      <c r="V39" s="385"/>
      <c r="W39" s="385"/>
      <c r="X39" s="385"/>
      <c r="Y39" s="385"/>
      <c r="Z39" s="386"/>
      <c r="AA39" s="386"/>
      <c r="AB39" s="386"/>
      <c r="AC39" s="386"/>
      <c r="AD39" s="386"/>
      <c r="AE39" s="386"/>
      <c r="AF39" s="386"/>
      <c r="AG39" s="386"/>
      <c r="AH39" s="386"/>
      <c r="AI39" s="386"/>
      <c r="AJ39" s="386"/>
      <c r="AK39" s="386"/>
      <c r="AL39" s="386"/>
      <c r="AM39" s="386"/>
      <c r="AN39" s="386"/>
      <c r="AO39" s="386"/>
      <c r="AP39" s="386"/>
      <c r="AQ39" s="353"/>
      <c r="AR39" s="353"/>
      <c r="AS39" s="353"/>
    </row>
    <row r="40" spans="1:45" s="105" customFormat="1" ht="105" customHeight="1">
      <c r="A40" s="387"/>
      <c r="B40" s="355"/>
      <c r="C40" s="388"/>
      <c r="D40" s="359"/>
      <c r="E40" s="360"/>
      <c r="F40" s="360"/>
      <c r="G40" s="360"/>
      <c r="H40" s="360"/>
      <c r="I40" s="360"/>
      <c r="J40" s="360"/>
      <c r="K40" s="360"/>
      <c r="L40" s="360"/>
      <c r="M40" s="360"/>
      <c r="N40" s="360"/>
      <c r="O40" s="360"/>
      <c r="P40" s="360"/>
      <c r="Q40" s="359"/>
      <c r="R40" s="359"/>
      <c r="S40" s="362"/>
      <c r="T40" s="361"/>
      <c r="U40" s="361"/>
      <c r="V40" s="362"/>
      <c r="W40" s="362"/>
      <c r="X40" s="362"/>
      <c r="Y40" s="362"/>
      <c r="Z40" s="364"/>
      <c r="AA40" s="364"/>
      <c r="AB40" s="365"/>
      <c r="AC40" s="365"/>
      <c r="AD40" s="365"/>
      <c r="AE40" s="365"/>
      <c r="AF40" s="365"/>
      <c r="AG40" s="365"/>
      <c r="AH40" s="364"/>
      <c r="AI40" s="365"/>
      <c r="AJ40" s="364"/>
      <c r="AK40" s="365"/>
      <c r="AL40" s="364"/>
      <c r="AM40" s="364"/>
      <c r="AN40" s="364"/>
      <c r="AO40" s="364"/>
      <c r="AP40" s="393"/>
      <c r="AQ40" s="387"/>
      <c r="AR40" s="387"/>
      <c r="AS40" s="387"/>
    </row>
    <row r="41" spans="1:45" s="100" customFormat="1" ht="13.5" customHeight="1">
      <c r="A41" s="350"/>
      <c r="B41" s="367"/>
      <c r="C41" s="368"/>
      <c r="D41" s="369"/>
      <c r="E41" s="370"/>
      <c r="F41" s="370"/>
      <c r="G41" s="370"/>
      <c r="H41" s="370"/>
      <c r="I41" s="370"/>
      <c r="J41" s="370"/>
      <c r="K41" s="370"/>
      <c r="L41" s="370"/>
      <c r="M41" s="370"/>
      <c r="N41" s="370"/>
      <c r="O41" s="370"/>
      <c r="P41" s="370"/>
      <c r="Q41" s="369"/>
      <c r="R41" s="369"/>
      <c r="S41" s="369"/>
      <c r="T41" s="369"/>
      <c r="U41" s="370"/>
      <c r="V41" s="370"/>
      <c r="W41" s="369"/>
      <c r="X41" s="370"/>
      <c r="Y41" s="384"/>
      <c r="Z41" s="370"/>
      <c r="AA41" s="384"/>
      <c r="AB41" s="384"/>
      <c r="AC41" s="370"/>
      <c r="AD41" s="384"/>
      <c r="AE41" s="384"/>
      <c r="AF41" s="384"/>
      <c r="AG41" s="384"/>
      <c r="AH41" s="384"/>
      <c r="AI41" s="384"/>
      <c r="AJ41" s="384"/>
      <c r="AK41" s="384"/>
      <c r="AL41" s="384"/>
      <c r="AM41" s="384"/>
      <c r="AN41" s="384"/>
      <c r="AO41" s="384"/>
      <c r="AP41" s="384"/>
      <c r="AQ41" s="350"/>
      <c r="AR41" s="350"/>
      <c r="AS41" s="350"/>
    </row>
    <row r="42" spans="1:45" ht="13.5" customHeight="1">
      <c r="A42" s="344"/>
      <c r="B42" s="372"/>
      <c r="C42" s="373"/>
      <c r="D42" s="369"/>
      <c r="E42" s="369"/>
      <c r="F42" s="369"/>
      <c r="G42" s="369"/>
      <c r="H42" s="369"/>
      <c r="I42" s="389"/>
      <c r="J42" s="369"/>
      <c r="K42" s="369"/>
      <c r="L42" s="369"/>
      <c r="M42" s="369"/>
      <c r="N42" s="369"/>
      <c r="O42" s="369"/>
      <c r="P42" s="375"/>
      <c r="Q42" s="369"/>
      <c r="R42" s="369"/>
      <c r="S42" s="369"/>
      <c r="T42" s="369"/>
      <c r="U42" s="369"/>
      <c r="V42" s="369"/>
      <c r="W42" s="369"/>
      <c r="X42" s="369"/>
      <c r="Y42" s="369"/>
      <c r="Z42" s="384"/>
      <c r="AA42" s="384"/>
      <c r="AB42" s="384"/>
      <c r="AC42" s="384"/>
      <c r="AD42" s="369"/>
      <c r="AE42" s="369"/>
      <c r="AF42" s="369"/>
      <c r="AG42" s="369"/>
      <c r="AH42" s="384"/>
      <c r="AI42" s="384"/>
      <c r="AJ42" s="384"/>
      <c r="AK42" s="384"/>
      <c r="AL42" s="384"/>
      <c r="AM42" s="369"/>
      <c r="AN42" s="384"/>
      <c r="AO42" s="369"/>
      <c r="AP42" s="384"/>
      <c r="AQ42" s="344"/>
      <c r="AR42" s="344"/>
      <c r="AS42" s="344"/>
    </row>
    <row r="43" spans="1:45" ht="13.5" customHeight="1">
      <c r="A43" s="344"/>
      <c r="B43" s="372"/>
      <c r="C43" s="373"/>
      <c r="D43" s="369"/>
      <c r="E43" s="369"/>
      <c r="F43" s="369"/>
      <c r="G43" s="369"/>
      <c r="H43" s="369"/>
      <c r="I43" s="389"/>
      <c r="J43" s="369"/>
      <c r="K43" s="369"/>
      <c r="L43" s="369"/>
      <c r="M43" s="369"/>
      <c r="N43" s="369"/>
      <c r="O43" s="369"/>
      <c r="P43" s="375"/>
      <c r="Q43" s="369"/>
      <c r="R43" s="369"/>
      <c r="S43" s="369"/>
      <c r="T43" s="369"/>
      <c r="U43" s="369"/>
      <c r="V43" s="369"/>
      <c r="W43" s="369"/>
      <c r="X43" s="369"/>
      <c r="Y43" s="369"/>
      <c r="Z43" s="384"/>
      <c r="AA43" s="384"/>
      <c r="AB43" s="384"/>
      <c r="AC43" s="384"/>
      <c r="AD43" s="369"/>
      <c r="AE43" s="369"/>
      <c r="AF43" s="369"/>
      <c r="AG43" s="369"/>
      <c r="AH43" s="384"/>
      <c r="AI43" s="384"/>
      <c r="AJ43" s="384"/>
      <c r="AK43" s="384"/>
      <c r="AL43" s="384"/>
      <c r="AM43" s="369"/>
      <c r="AN43" s="384"/>
      <c r="AO43" s="369"/>
      <c r="AP43" s="384"/>
      <c r="AQ43" s="344"/>
      <c r="AR43" s="344"/>
      <c r="AS43" s="344"/>
    </row>
    <row r="44" spans="1:45" ht="13.5" customHeight="1">
      <c r="A44" s="344"/>
      <c r="B44" s="372"/>
      <c r="C44" s="373"/>
      <c r="D44" s="369"/>
      <c r="E44" s="369"/>
      <c r="F44" s="369"/>
      <c r="G44" s="369"/>
      <c r="H44" s="369"/>
      <c r="I44" s="389"/>
      <c r="J44" s="369"/>
      <c r="K44" s="369"/>
      <c r="L44" s="369"/>
      <c r="M44" s="369"/>
      <c r="N44" s="369"/>
      <c r="O44" s="369"/>
      <c r="P44" s="375"/>
      <c r="Q44" s="369"/>
      <c r="R44" s="369"/>
      <c r="S44" s="369"/>
      <c r="T44" s="369"/>
      <c r="U44" s="369"/>
      <c r="V44" s="369"/>
      <c r="W44" s="369"/>
      <c r="X44" s="369"/>
      <c r="Y44" s="369"/>
      <c r="Z44" s="384"/>
      <c r="AA44" s="384"/>
      <c r="AB44" s="384"/>
      <c r="AC44" s="384"/>
      <c r="AD44" s="369"/>
      <c r="AE44" s="369"/>
      <c r="AF44" s="369"/>
      <c r="AG44" s="369"/>
      <c r="AH44" s="384"/>
      <c r="AI44" s="384"/>
      <c r="AJ44" s="384"/>
      <c r="AK44" s="384"/>
      <c r="AL44" s="384"/>
      <c r="AM44" s="369"/>
      <c r="AN44" s="384"/>
      <c r="AO44" s="369"/>
      <c r="AP44" s="384"/>
      <c r="AQ44" s="344"/>
      <c r="AR44" s="344"/>
      <c r="AS44" s="344"/>
    </row>
    <row r="45" spans="1:45" ht="13.5" customHeight="1">
      <c r="A45" s="344"/>
      <c r="B45" s="372"/>
      <c r="C45" s="373"/>
      <c r="D45" s="369"/>
      <c r="E45" s="369"/>
      <c r="F45" s="369"/>
      <c r="G45" s="369"/>
      <c r="H45" s="369"/>
      <c r="I45" s="390"/>
      <c r="J45" s="369"/>
      <c r="K45" s="369"/>
      <c r="L45" s="369"/>
      <c r="M45" s="369"/>
      <c r="N45" s="369"/>
      <c r="O45" s="369"/>
      <c r="P45" s="375"/>
      <c r="Q45" s="369"/>
      <c r="R45" s="369"/>
      <c r="S45" s="369"/>
      <c r="T45" s="369"/>
      <c r="U45" s="369"/>
      <c r="V45" s="369"/>
      <c r="W45" s="369"/>
      <c r="X45" s="369"/>
      <c r="Y45" s="369"/>
      <c r="Z45" s="384"/>
      <c r="AA45" s="384"/>
      <c r="AB45" s="384"/>
      <c r="AC45" s="384"/>
      <c r="AD45" s="369"/>
      <c r="AE45" s="369"/>
      <c r="AF45" s="369"/>
      <c r="AG45" s="369"/>
      <c r="AH45" s="384"/>
      <c r="AI45" s="384"/>
      <c r="AJ45" s="384"/>
      <c r="AK45" s="384"/>
      <c r="AL45" s="384"/>
      <c r="AM45" s="369"/>
      <c r="AN45" s="384"/>
      <c r="AO45" s="369"/>
      <c r="AP45" s="384"/>
      <c r="AQ45" s="344"/>
      <c r="AR45" s="344"/>
      <c r="AS45" s="344"/>
    </row>
    <row r="46" spans="1:45" ht="13.5" customHeight="1">
      <c r="A46" s="344"/>
      <c r="B46" s="372"/>
      <c r="C46" s="373"/>
      <c r="D46" s="369"/>
      <c r="E46" s="369"/>
      <c r="F46" s="369"/>
      <c r="G46" s="369"/>
      <c r="H46" s="369"/>
      <c r="I46" s="390"/>
      <c r="J46" s="369"/>
      <c r="K46" s="369"/>
      <c r="L46" s="369"/>
      <c r="M46" s="369"/>
      <c r="N46" s="369"/>
      <c r="O46" s="369"/>
      <c r="P46" s="375"/>
      <c r="Q46" s="369"/>
      <c r="R46" s="369"/>
      <c r="S46" s="369"/>
      <c r="T46" s="369"/>
      <c r="U46" s="369"/>
      <c r="V46" s="369"/>
      <c r="W46" s="369"/>
      <c r="X46" s="369"/>
      <c r="Y46" s="369"/>
      <c r="Z46" s="384"/>
      <c r="AA46" s="384"/>
      <c r="AB46" s="384"/>
      <c r="AC46" s="384"/>
      <c r="AD46" s="369"/>
      <c r="AE46" s="369"/>
      <c r="AF46" s="369"/>
      <c r="AG46" s="369"/>
      <c r="AH46" s="384"/>
      <c r="AI46" s="384"/>
      <c r="AJ46" s="384"/>
      <c r="AK46" s="384"/>
      <c r="AL46" s="384"/>
      <c r="AM46" s="369"/>
      <c r="AN46" s="384"/>
      <c r="AO46" s="369"/>
      <c r="AP46" s="384"/>
      <c r="AQ46" s="344"/>
      <c r="AR46" s="344"/>
      <c r="AS46" s="344"/>
    </row>
    <row r="47" spans="1:45" ht="13.5" customHeight="1">
      <c r="A47" s="344"/>
      <c r="B47" s="372"/>
      <c r="C47" s="373"/>
      <c r="D47" s="375"/>
      <c r="E47" s="369"/>
      <c r="F47" s="369"/>
      <c r="G47" s="369"/>
      <c r="H47" s="369"/>
      <c r="I47" s="390"/>
      <c r="J47" s="369"/>
      <c r="K47" s="369"/>
      <c r="L47" s="369"/>
      <c r="M47" s="369"/>
      <c r="N47" s="369"/>
      <c r="O47" s="369"/>
      <c r="P47" s="375"/>
      <c r="Q47" s="369"/>
      <c r="R47" s="369"/>
      <c r="S47" s="369"/>
      <c r="T47" s="369"/>
      <c r="U47" s="369"/>
      <c r="V47" s="369"/>
      <c r="W47" s="369"/>
      <c r="X47" s="369"/>
      <c r="Y47" s="369"/>
      <c r="Z47" s="384"/>
      <c r="AA47" s="384"/>
      <c r="AB47" s="384"/>
      <c r="AC47" s="384"/>
      <c r="AD47" s="369"/>
      <c r="AE47" s="369"/>
      <c r="AF47" s="369"/>
      <c r="AG47" s="369"/>
      <c r="AH47" s="384"/>
      <c r="AI47" s="384"/>
      <c r="AJ47" s="384"/>
      <c r="AK47" s="384"/>
      <c r="AL47" s="384"/>
      <c r="AM47" s="369"/>
      <c r="AN47" s="384"/>
      <c r="AO47" s="369"/>
      <c r="AP47" s="384"/>
      <c r="AQ47" s="344"/>
      <c r="AR47" s="344"/>
      <c r="AS47" s="344"/>
    </row>
    <row r="48" spans="1:45" ht="13.5" customHeight="1">
      <c r="A48" s="344"/>
      <c r="B48" s="372"/>
      <c r="C48" s="373"/>
      <c r="D48" s="375"/>
      <c r="E48" s="369"/>
      <c r="F48" s="369"/>
      <c r="G48" s="369"/>
      <c r="H48" s="369"/>
      <c r="I48" s="389"/>
      <c r="J48" s="369"/>
      <c r="K48" s="369"/>
      <c r="L48" s="369"/>
      <c r="M48" s="369"/>
      <c r="N48" s="369"/>
      <c r="O48" s="369"/>
      <c r="P48" s="375"/>
      <c r="Q48" s="369"/>
      <c r="R48" s="369"/>
      <c r="S48" s="369"/>
      <c r="T48" s="369"/>
      <c r="U48" s="369"/>
      <c r="V48" s="369"/>
      <c r="W48" s="369"/>
      <c r="X48" s="369"/>
      <c r="Y48" s="369"/>
      <c r="Z48" s="384"/>
      <c r="AA48" s="384"/>
      <c r="AB48" s="384"/>
      <c r="AC48" s="384"/>
      <c r="AD48" s="369"/>
      <c r="AE48" s="369"/>
      <c r="AF48" s="369"/>
      <c r="AG48" s="369"/>
      <c r="AH48" s="384"/>
      <c r="AI48" s="384"/>
      <c r="AJ48" s="384"/>
      <c r="AK48" s="384"/>
      <c r="AL48" s="384"/>
      <c r="AM48" s="369"/>
      <c r="AN48" s="384"/>
      <c r="AO48" s="369"/>
      <c r="AP48" s="384"/>
      <c r="AQ48" s="344"/>
      <c r="AR48" s="344"/>
      <c r="AS48" s="344"/>
    </row>
    <row r="49" spans="1:45" ht="13.5" customHeight="1">
      <c r="A49" s="344"/>
      <c r="B49" s="372"/>
      <c r="C49" s="373"/>
      <c r="D49" s="375"/>
      <c r="E49" s="369"/>
      <c r="F49" s="369"/>
      <c r="G49" s="369"/>
      <c r="H49" s="369"/>
      <c r="I49" s="390"/>
      <c r="J49" s="369"/>
      <c r="K49" s="369"/>
      <c r="L49" s="369"/>
      <c r="M49" s="369"/>
      <c r="N49" s="369"/>
      <c r="O49" s="369"/>
      <c r="P49" s="375"/>
      <c r="Q49" s="369"/>
      <c r="R49" s="369"/>
      <c r="S49" s="369"/>
      <c r="T49" s="369"/>
      <c r="U49" s="369"/>
      <c r="V49" s="375"/>
      <c r="W49" s="369"/>
      <c r="X49" s="369"/>
      <c r="Y49" s="369"/>
      <c r="Z49" s="384"/>
      <c r="AA49" s="384"/>
      <c r="AB49" s="384"/>
      <c r="AC49" s="384"/>
      <c r="AD49" s="369"/>
      <c r="AE49" s="369"/>
      <c r="AF49" s="369"/>
      <c r="AG49" s="369"/>
      <c r="AH49" s="384"/>
      <c r="AI49" s="384"/>
      <c r="AJ49" s="384"/>
      <c r="AK49" s="384"/>
      <c r="AL49" s="391"/>
      <c r="AM49" s="369"/>
      <c r="AN49" s="384"/>
      <c r="AO49" s="369"/>
      <c r="AP49" s="384"/>
      <c r="AQ49" s="344"/>
      <c r="AR49" s="344"/>
      <c r="AS49" s="344"/>
    </row>
    <row r="50" spans="1:45" ht="13.5" customHeight="1">
      <c r="A50" s="344"/>
      <c r="B50" s="372"/>
      <c r="C50" s="373"/>
      <c r="D50" s="375"/>
      <c r="E50" s="369"/>
      <c r="F50" s="369"/>
      <c r="G50" s="369"/>
      <c r="H50" s="369"/>
      <c r="I50" s="389"/>
      <c r="J50" s="369"/>
      <c r="K50" s="369"/>
      <c r="L50" s="369"/>
      <c r="M50" s="369"/>
      <c r="N50" s="369"/>
      <c r="O50" s="369"/>
      <c r="P50" s="375"/>
      <c r="Q50" s="369"/>
      <c r="R50" s="369"/>
      <c r="S50" s="369"/>
      <c r="T50" s="369"/>
      <c r="U50" s="369"/>
      <c r="V50" s="375"/>
      <c r="W50" s="369"/>
      <c r="X50" s="369"/>
      <c r="Y50" s="369"/>
      <c r="Z50" s="384"/>
      <c r="AA50" s="384"/>
      <c r="AB50" s="384"/>
      <c r="AC50" s="384"/>
      <c r="AD50" s="369"/>
      <c r="AE50" s="369"/>
      <c r="AF50" s="369"/>
      <c r="AG50" s="369"/>
      <c r="AH50" s="384"/>
      <c r="AI50" s="384"/>
      <c r="AJ50" s="384"/>
      <c r="AK50" s="384"/>
      <c r="AL50" s="384"/>
      <c r="AM50" s="369"/>
      <c r="AN50" s="384"/>
      <c r="AO50" s="369"/>
      <c r="AP50" s="384"/>
      <c r="AQ50" s="344"/>
      <c r="AR50" s="344"/>
      <c r="AS50" s="344"/>
    </row>
    <row r="51" spans="1:45">
      <c r="A51" s="344"/>
      <c r="B51" s="348"/>
      <c r="C51" s="368"/>
      <c r="D51" s="348"/>
      <c r="E51" s="348"/>
      <c r="F51" s="348"/>
      <c r="G51" s="392"/>
      <c r="H51" s="348"/>
      <c r="I51" s="348"/>
      <c r="J51" s="348"/>
      <c r="K51" s="348"/>
      <c r="L51" s="348"/>
      <c r="M51" s="348"/>
      <c r="N51" s="348"/>
      <c r="O51" s="348"/>
      <c r="P51" s="348"/>
      <c r="Q51" s="348"/>
      <c r="R51" s="348"/>
      <c r="S51" s="348"/>
      <c r="T51" s="376"/>
      <c r="U51" s="376"/>
      <c r="V51" s="381"/>
      <c r="W51" s="376"/>
      <c r="X51" s="376"/>
      <c r="Y51" s="376"/>
      <c r="Z51" s="350"/>
      <c r="AA51" s="350"/>
      <c r="AB51" s="350"/>
      <c r="AC51" s="350"/>
      <c r="AD51" s="350"/>
      <c r="AE51" s="350"/>
      <c r="AF51" s="350"/>
      <c r="AG51" s="350"/>
      <c r="AH51" s="350"/>
      <c r="AI51" s="350"/>
      <c r="AJ51" s="350"/>
      <c r="AK51" s="350"/>
      <c r="AL51" s="350"/>
      <c r="AM51" s="350"/>
      <c r="AN51" s="350"/>
      <c r="AO51" s="350"/>
      <c r="AP51" s="344"/>
      <c r="AQ51" s="344"/>
      <c r="AR51" s="344"/>
      <c r="AS51" s="344"/>
    </row>
    <row r="52" spans="1:45">
      <c r="B52" s="98"/>
      <c r="C52" s="106"/>
      <c r="D52" s="98"/>
      <c r="E52" s="98"/>
      <c r="F52" s="98"/>
      <c r="G52" s="109"/>
      <c r="H52" s="98"/>
      <c r="I52" s="98"/>
      <c r="J52" s="98"/>
      <c r="K52" s="98"/>
      <c r="L52" s="98"/>
      <c r="M52" s="98"/>
      <c r="N52" s="98"/>
      <c r="O52" s="98"/>
      <c r="P52" s="98"/>
      <c r="Q52" s="98"/>
      <c r="R52" s="98"/>
      <c r="S52" s="98"/>
      <c r="T52" s="108"/>
      <c r="U52" s="108"/>
      <c r="V52" s="108"/>
      <c r="W52" s="108"/>
      <c r="X52" s="108"/>
      <c r="Y52" s="108"/>
      <c r="Z52" s="100"/>
      <c r="AA52" s="100"/>
      <c r="AB52" s="100"/>
      <c r="AC52" s="100"/>
      <c r="AD52" s="100"/>
      <c r="AE52" s="100"/>
      <c r="AF52" s="100"/>
      <c r="AG52" s="100"/>
      <c r="AH52" s="100"/>
      <c r="AI52" s="100"/>
      <c r="AJ52" s="350"/>
      <c r="AK52" s="350"/>
      <c r="AL52" s="350"/>
      <c r="AM52" s="350"/>
      <c r="AN52" s="350"/>
      <c r="AO52" s="350"/>
      <c r="AP52" s="344"/>
      <c r="AQ52" s="344"/>
      <c r="AR52" s="344"/>
      <c r="AS52" s="344"/>
    </row>
    <row r="53" spans="1:45">
      <c r="B53" s="98"/>
      <c r="C53" s="106"/>
      <c r="D53" s="98"/>
      <c r="E53" s="98"/>
      <c r="F53" s="98"/>
      <c r="G53" s="109"/>
      <c r="H53" s="98"/>
      <c r="I53" s="98"/>
      <c r="J53" s="98"/>
      <c r="K53" s="98"/>
      <c r="L53" s="98"/>
      <c r="M53" s="98"/>
      <c r="N53" s="98"/>
      <c r="O53" s="98"/>
      <c r="P53" s="98"/>
      <c r="Q53" s="98"/>
      <c r="R53" s="98"/>
      <c r="S53" s="98"/>
      <c r="T53" s="108"/>
      <c r="U53" s="108"/>
      <c r="V53" s="108"/>
      <c r="W53" s="108"/>
      <c r="X53" s="108"/>
      <c r="Y53" s="108"/>
      <c r="Z53" s="100"/>
      <c r="AA53" s="100"/>
      <c r="AB53" s="100"/>
      <c r="AC53" s="100"/>
      <c r="AD53" s="100"/>
      <c r="AE53" s="100"/>
      <c r="AF53" s="100"/>
      <c r="AG53" s="100"/>
      <c r="AH53" s="100"/>
      <c r="AI53" s="100"/>
      <c r="AJ53" s="350"/>
      <c r="AK53" s="350"/>
      <c r="AL53" s="350"/>
      <c r="AM53" s="350"/>
      <c r="AN53" s="350"/>
      <c r="AO53" s="350"/>
      <c r="AP53" s="344"/>
      <c r="AQ53" s="344"/>
      <c r="AR53" s="344"/>
      <c r="AS53" s="344"/>
    </row>
    <row r="54" spans="1:45">
      <c r="B54" s="98"/>
      <c r="C54" s="106"/>
      <c r="D54" s="98"/>
      <c r="E54" s="98"/>
      <c r="F54" s="98"/>
      <c r="G54" s="98"/>
      <c r="H54" s="98"/>
      <c r="I54" s="98"/>
      <c r="J54" s="98"/>
      <c r="K54" s="98"/>
      <c r="L54" s="98"/>
      <c r="M54" s="98"/>
      <c r="N54" s="98"/>
      <c r="O54" s="98"/>
      <c r="P54" s="98"/>
      <c r="Q54" s="98"/>
      <c r="R54" s="98"/>
      <c r="S54" s="98"/>
      <c r="T54" s="108"/>
      <c r="U54" s="108"/>
      <c r="V54" s="108"/>
      <c r="W54" s="108"/>
      <c r="X54" s="108"/>
      <c r="Y54" s="108"/>
      <c r="Z54" s="100"/>
      <c r="AA54" s="100"/>
      <c r="AB54" s="100"/>
      <c r="AC54" s="100"/>
      <c r="AD54" s="100"/>
      <c r="AE54" s="100"/>
      <c r="AF54" s="100"/>
      <c r="AG54" s="100"/>
      <c r="AH54" s="100"/>
      <c r="AI54" s="100"/>
      <c r="AJ54" s="100"/>
      <c r="AK54" s="100"/>
      <c r="AL54" s="100"/>
      <c r="AM54" s="100"/>
      <c r="AN54" s="100"/>
      <c r="AO54" s="100"/>
    </row>
    <row r="55" spans="1:45">
      <c r="A55" s="344"/>
      <c r="B55" s="344"/>
      <c r="C55" s="344"/>
      <c r="D55" s="341"/>
      <c r="E55" s="341"/>
      <c r="F55" s="341"/>
      <c r="G55" s="341"/>
      <c r="H55" s="341"/>
      <c r="I55" s="341"/>
      <c r="J55" s="341"/>
      <c r="K55" s="344"/>
      <c r="L55" s="344"/>
      <c r="M55" s="344"/>
      <c r="N55" s="344"/>
      <c r="O55" s="344"/>
      <c r="P55" s="344"/>
      <c r="Q55" s="344"/>
      <c r="R55" s="344"/>
      <c r="S55" s="344"/>
      <c r="T55" s="344"/>
      <c r="U55" s="344"/>
      <c r="V55" s="344"/>
      <c r="W55" s="344"/>
      <c r="X55" s="344"/>
      <c r="Y55" s="344"/>
      <c r="Z55" s="344"/>
      <c r="AA55" s="344"/>
      <c r="AB55" s="344"/>
      <c r="AC55" s="344"/>
      <c r="AD55" s="344"/>
      <c r="AE55" s="344"/>
      <c r="AF55" s="344"/>
      <c r="AG55" s="344"/>
    </row>
    <row r="56" spans="1:45">
      <c r="A56" s="344"/>
      <c r="B56" s="348"/>
      <c r="C56" s="368"/>
      <c r="D56" s="348"/>
      <c r="E56" s="348"/>
      <c r="F56" s="348"/>
      <c r="G56" s="348"/>
      <c r="H56" s="348"/>
      <c r="I56" s="348"/>
      <c r="J56" s="348"/>
      <c r="K56" s="348"/>
      <c r="L56" s="348"/>
      <c r="M56" s="348"/>
      <c r="N56" s="348"/>
      <c r="O56" s="348"/>
      <c r="P56" s="348"/>
      <c r="Q56" s="348"/>
      <c r="R56" s="348"/>
      <c r="S56" s="348"/>
      <c r="T56" s="376"/>
      <c r="U56" s="376"/>
      <c r="V56" s="376"/>
      <c r="W56" s="376"/>
      <c r="X56" s="376"/>
      <c r="Y56" s="376"/>
      <c r="Z56" s="350"/>
      <c r="AA56" s="350"/>
      <c r="AB56" s="350"/>
      <c r="AC56" s="350"/>
      <c r="AD56" s="350"/>
      <c r="AE56" s="350"/>
      <c r="AF56" s="350"/>
      <c r="AG56" s="350"/>
      <c r="AH56" s="100"/>
      <c r="AI56" s="100"/>
      <c r="AJ56" s="100"/>
      <c r="AK56" s="100"/>
      <c r="AL56" s="100"/>
      <c r="AM56" s="100"/>
      <c r="AN56" s="100"/>
      <c r="AO56" s="100"/>
    </row>
    <row r="57" spans="1:45">
      <c r="A57" s="344"/>
      <c r="B57" s="348"/>
      <c r="C57" s="368"/>
      <c r="D57" s="348"/>
      <c r="E57" s="348"/>
      <c r="F57" s="348"/>
      <c r="G57" s="348"/>
      <c r="H57" s="348"/>
      <c r="I57" s="348"/>
      <c r="J57" s="348"/>
      <c r="K57" s="348"/>
      <c r="L57" s="348"/>
      <c r="M57" s="348"/>
      <c r="N57" s="348"/>
      <c r="O57" s="348"/>
      <c r="P57" s="348"/>
      <c r="Q57" s="348"/>
      <c r="R57" s="348"/>
      <c r="S57" s="348"/>
      <c r="T57" s="376"/>
      <c r="U57" s="376"/>
      <c r="V57" s="376"/>
      <c r="W57" s="376"/>
      <c r="X57" s="376"/>
      <c r="Y57" s="376"/>
      <c r="Z57" s="350"/>
      <c r="AA57" s="350"/>
      <c r="AB57" s="350"/>
      <c r="AC57" s="350"/>
      <c r="AD57" s="350"/>
      <c r="AE57" s="350"/>
      <c r="AF57" s="350"/>
      <c r="AG57" s="350"/>
      <c r="AH57" s="100"/>
      <c r="AI57" s="100"/>
      <c r="AJ57" s="100"/>
      <c r="AK57" s="100"/>
      <c r="AL57" s="100"/>
      <c r="AM57" s="100"/>
      <c r="AN57" s="100"/>
      <c r="AO57" s="100"/>
    </row>
    <row r="58" spans="1:45">
      <c r="A58" s="416"/>
      <c r="B58" s="417"/>
      <c r="C58" s="417"/>
      <c r="D58" s="417"/>
      <c r="E58" s="417"/>
      <c r="F58" s="348"/>
      <c r="G58" s="348"/>
      <c r="H58" s="348"/>
      <c r="I58" s="348"/>
      <c r="J58" s="348"/>
      <c r="K58" s="348"/>
      <c r="L58" s="348"/>
      <c r="M58" s="348"/>
      <c r="N58" s="348"/>
      <c r="O58" s="348"/>
      <c r="P58" s="348"/>
      <c r="Q58" s="348"/>
      <c r="R58" s="348"/>
      <c r="S58" s="348"/>
      <c r="T58" s="376"/>
      <c r="U58" s="376"/>
      <c r="V58" s="376"/>
      <c r="W58" s="376"/>
      <c r="X58" s="376"/>
      <c r="Y58" s="376"/>
      <c r="Z58" s="350"/>
      <c r="AA58" s="350"/>
      <c r="AB58" s="350"/>
      <c r="AC58" s="350"/>
      <c r="AD58" s="350"/>
      <c r="AE58" s="350"/>
      <c r="AF58" s="350"/>
      <c r="AG58" s="350"/>
      <c r="AH58" s="100"/>
      <c r="AI58" s="100"/>
      <c r="AJ58" s="100"/>
      <c r="AK58" s="100"/>
      <c r="AL58" s="100"/>
      <c r="AM58" s="100"/>
      <c r="AN58" s="100"/>
      <c r="AO58" s="100"/>
    </row>
    <row r="59" spans="1:45">
      <c r="A59" s="417"/>
      <c r="B59" s="417"/>
      <c r="C59" s="417"/>
      <c r="D59" s="417"/>
      <c r="E59" s="417"/>
      <c r="F59" s="348"/>
      <c r="G59" s="348"/>
      <c r="H59" s="348"/>
      <c r="I59" s="348"/>
      <c r="J59" s="348"/>
      <c r="K59" s="348"/>
      <c r="L59" s="348"/>
      <c r="M59" s="348"/>
      <c r="N59" s="348"/>
      <c r="O59" s="348"/>
      <c r="P59" s="348"/>
      <c r="Q59" s="348"/>
      <c r="R59" s="348"/>
      <c r="S59" s="348"/>
      <c r="T59" s="376"/>
      <c r="U59" s="376"/>
      <c r="V59" s="376"/>
      <c r="W59" s="376"/>
      <c r="X59" s="376"/>
      <c r="Y59" s="376"/>
      <c r="Z59" s="350"/>
      <c r="AA59" s="350"/>
      <c r="AB59" s="350"/>
      <c r="AC59" s="350"/>
      <c r="AD59" s="350"/>
      <c r="AE59" s="350"/>
      <c r="AF59" s="350"/>
      <c r="AG59" s="350"/>
      <c r="AH59" s="100"/>
      <c r="AI59" s="100"/>
      <c r="AJ59" s="100"/>
      <c r="AK59" s="100"/>
      <c r="AL59" s="100"/>
      <c r="AM59" s="100"/>
      <c r="AN59" s="100"/>
      <c r="AO59" s="100"/>
    </row>
    <row r="60" spans="1:45">
      <c r="A60" s="344"/>
      <c r="B60" s="348"/>
      <c r="C60" s="368"/>
      <c r="D60" s="348"/>
      <c r="E60" s="348"/>
      <c r="F60" s="348"/>
      <c r="G60" s="348"/>
      <c r="H60" s="348"/>
      <c r="I60" s="348"/>
      <c r="J60" s="348"/>
      <c r="K60" s="348"/>
      <c r="L60" s="348"/>
      <c r="M60" s="348"/>
      <c r="N60" s="348"/>
      <c r="O60" s="348"/>
      <c r="P60" s="348"/>
      <c r="Q60" s="348"/>
      <c r="R60" s="348"/>
      <c r="S60" s="348"/>
      <c r="T60" s="376"/>
      <c r="U60" s="376"/>
      <c r="V60" s="376"/>
      <c r="W60" s="376"/>
      <c r="X60" s="376"/>
      <c r="Y60" s="376"/>
      <c r="Z60" s="350"/>
      <c r="AA60" s="350"/>
      <c r="AB60" s="350"/>
      <c r="AC60" s="350"/>
      <c r="AD60" s="350"/>
      <c r="AE60" s="350"/>
      <c r="AF60" s="350"/>
      <c r="AG60" s="350"/>
      <c r="AH60" s="100"/>
      <c r="AI60" s="100"/>
      <c r="AJ60" s="100"/>
      <c r="AK60" s="100"/>
      <c r="AL60" s="100"/>
      <c r="AM60" s="100"/>
      <c r="AN60" s="100"/>
      <c r="AO60" s="100"/>
    </row>
    <row r="61" spans="1:45" ht="19.5" customHeight="1">
      <c r="A61" s="344"/>
      <c r="B61" s="348"/>
      <c r="C61" s="349"/>
      <c r="D61" s="412"/>
      <c r="E61" s="412"/>
      <c r="F61" s="412"/>
      <c r="G61" s="412"/>
      <c r="H61" s="412"/>
      <c r="I61" s="412"/>
      <c r="J61" s="412"/>
      <c r="K61" s="412"/>
      <c r="L61" s="412"/>
      <c r="M61" s="412"/>
      <c r="N61" s="412"/>
      <c r="O61" s="412"/>
      <c r="P61" s="412"/>
      <c r="Q61" s="412"/>
      <c r="R61" s="412"/>
      <c r="S61" s="412"/>
      <c r="T61" s="412"/>
      <c r="U61" s="412"/>
      <c r="V61" s="412"/>
      <c r="W61" s="412"/>
      <c r="X61" s="412"/>
      <c r="Y61" s="412"/>
      <c r="Z61" s="350"/>
      <c r="AA61" s="350"/>
      <c r="AB61" s="350"/>
      <c r="AC61" s="350"/>
      <c r="AD61" s="350"/>
      <c r="AE61" s="350"/>
      <c r="AF61" s="350"/>
      <c r="AG61" s="350"/>
      <c r="AH61" s="99"/>
      <c r="AI61" s="99"/>
      <c r="AJ61" s="99"/>
      <c r="AK61" s="99"/>
      <c r="AL61" s="99"/>
      <c r="AM61" s="100"/>
      <c r="AN61" s="100"/>
      <c r="AO61" s="100"/>
    </row>
    <row r="62" spans="1:45" s="102" customFormat="1" ht="16.5" customHeight="1">
      <c r="A62" s="413"/>
      <c r="B62" s="413"/>
      <c r="C62" s="413"/>
      <c r="D62" s="351"/>
      <c r="E62" s="351"/>
      <c r="F62" s="351"/>
      <c r="G62" s="351"/>
      <c r="H62" s="351"/>
      <c r="I62" s="351"/>
      <c r="J62" s="352"/>
      <c r="K62" s="352"/>
      <c r="L62" s="352"/>
      <c r="M62" s="352"/>
      <c r="N62" s="352"/>
      <c r="O62" s="352"/>
      <c r="P62" s="352"/>
      <c r="Q62" s="352"/>
      <c r="R62" s="352"/>
      <c r="S62" s="352"/>
      <c r="T62" s="352"/>
      <c r="U62" s="352"/>
      <c r="V62" s="351"/>
      <c r="W62" s="351"/>
      <c r="X62" s="351"/>
      <c r="Y62" s="351"/>
      <c r="Z62" s="353"/>
      <c r="AA62" s="353"/>
      <c r="AB62" s="353"/>
      <c r="AC62" s="353"/>
      <c r="AD62" s="353"/>
      <c r="AE62" s="353"/>
      <c r="AF62" s="353"/>
      <c r="AG62" s="353"/>
      <c r="AH62" s="101"/>
      <c r="AI62" s="101"/>
      <c r="AJ62" s="101"/>
      <c r="AK62" s="101"/>
      <c r="AL62" s="101"/>
    </row>
    <row r="63" spans="1:45" s="105" customFormat="1" ht="93.75" customHeight="1">
      <c r="A63" s="354"/>
      <c r="B63" s="355"/>
      <c r="C63" s="356"/>
      <c r="D63" s="357"/>
      <c r="E63" s="358"/>
      <c r="F63" s="359"/>
      <c r="G63" s="357"/>
      <c r="H63" s="358"/>
      <c r="I63" s="357"/>
      <c r="J63" s="359"/>
      <c r="K63" s="360"/>
      <c r="L63" s="358"/>
      <c r="M63" s="360"/>
      <c r="N63" s="361"/>
      <c r="O63" s="360"/>
      <c r="P63" s="359"/>
      <c r="Q63" s="357"/>
      <c r="R63" s="359"/>
      <c r="S63" s="362"/>
      <c r="T63" s="361"/>
      <c r="U63" s="361"/>
      <c r="V63" s="362"/>
      <c r="W63" s="363"/>
      <c r="X63" s="363"/>
      <c r="Y63" s="362"/>
      <c r="Z63" s="364"/>
      <c r="AA63" s="364"/>
      <c r="AB63" s="365"/>
      <c r="AC63" s="365"/>
      <c r="AD63" s="365"/>
      <c r="AE63" s="365"/>
      <c r="AF63" s="365"/>
      <c r="AG63" s="365"/>
      <c r="AH63" s="103"/>
      <c r="AI63" s="103"/>
      <c r="AJ63" s="103"/>
      <c r="AK63" s="103"/>
      <c r="AL63" s="103"/>
      <c r="AM63" s="104"/>
      <c r="AN63" s="104"/>
      <c r="AO63" s="104"/>
    </row>
    <row r="64" spans="1:45" s="100" customFormat="1" ht="13.5" customHeight="1">
      <c r="A64" s="366"/>
      <c r="B64" s="367"/>
      <c r="C64" s="368"/>
      <c r="D64" s="369"/>
      <c r="E64" s="370"/>
      <c r="F64" s="370"/>
      <c r="G64" s="370"/>
      <c r="H64" s="370"/>
      <c r="I64" s="370"/>
      <c r="J64" s="369"/>
      <c r="K64" s="370"/>
      <c r="L64" s="369"/>
      <c r="M64" s="369"/>
      <c r="N64" s="369"/>
      <c r="O64" s="370"/>
      <c r="P64" s="370"/>
      <c r="Q64" s="369"/>
      <c r="R64" s="369"/>
      <c r="S64" s="369"/>
      <c r="T64" s="370"/>
      <c r="U64" s="370"/>
      <c r="V64" s="370"/>
      <c r="W64" s="369"/>
      <c r="X64" s="369"/>
      <c r="Y64" s="369"/>
      <c r="Z64" s="369"/>
      <c r="AA64" s="350"/>
      <c r="AB64" s="350"/>
      <c r="AC64" s="350"/>
      <c r="AD64" s="350"/>
      <c r="AE64" s="350"/>
      <c r="AF64" s="350"/>
      <c r="AG64" s="350"/>
      <c r="AH64" s="99"/>
      <c r="AI64" s="99"/>
      <c r="AJ64" s="99"/>
      <c r="AK64" s="99"/>
      <c r="AL64" s="99"/>
    </row>
    <row r="65" spans="1:41" ht="13.5" customHeight="1">
      <c r="A65" s="377"/>
      <c r="B65" s="372"/>
      <c r="C65" s="373"/>
      <c r="D65" s="369"/>
      <c r="E65" s="369"/>
      <c r="F65" s="369"/>
      <c r="G65" s="369"/>
      <c r="H65" s="374"/>
      <c r="I65" s="369"/>
      <c r="J65" s="369"/>
      <c r="K65" s="369"/>
      <c r="L65" s="369"/>
      <c r="M65" s="369"/>
      <c r="N65" s="369"/>
      <c r="O65" s="369"/>
      <c r="P65" s="375"/>
      <c r="Q65" s="369"/>
      <c r="R65" s="369"/>
      <c r="S65" s="369"/>
      <c r="T65" s="369"/>
      <c r="U65" s="369"/>
      <c r="V65" s="369"/>
      <c r="W65" s="369"/>
      <c r="X65" s="369"/>
      <c r="Y65" s="369"/>
      <c r="Z65" s="369"/>
      <c r="AA65" s="369"/>
      <c r="AB65" s="350"/>
      <c r="AC65" s="376"/>
      <c r="AD65" s="350"/>
      <c r="AE65" s="376"/>
      <c r="AF65" s="350"/>
      <c r="AG65" s="350"/>
      <c r="AH65" s="95"/>
      <c r="AI65" s="107"/>
      <c r="AJ65" s="99"/>
      <c r="AK65" s="99"/>
      <c r="AL65" s="99"/>
      <c r="AM65" s="100"/>
      <c r="AN65" s="100"/>
      <c r="AO65" s="100"/>
    </row>
    <row r="66" spans="1:41" ht="13.5" customHeight="1">
      <c r="A66" s="377"/>
      <c r="B66" s="372"/>
      <c r="C66" s="373"/>
      <c r="D66" s="369"/>
      <c r="E66" s="369"/>
      <c r="F66" s="369"/>
      <c r="G66" s="369"/>
      <c r="H66" s="374"/>
      <c r="I66" s="369"/>
      <c r="J66" s="369"/>
      <c r="K66" s="369"/>
      <c r="L66" s="369"/>
      <c r="M66" s="369"/>
      <c r="N66" s="369"/>
      <c r="O66" s="369"/>
      <c r="P66" s="375"/>
      <c r="Q66" s="369"/>
      <c r="R66" s="369"/>
      <c r="S66" s="369"/>
      <c r="T66" s="369"/>
      <c r="U66" s="369"/>
      <c r="V66" s="369"/>
      <c r="W66" s="369"/>
      <c r="X66" s="369"/>
      <c r="Y66" s="369"/>
      <c r="Z66" s="369"/>
      <c r="AA66" s="369"/>
      <c r="AB66" s="350"/>
      <c r="AC66" s="376"/>
      <c r="AD66" s="350"/>
      <c r="AE66" s="376"/>
      <c r="AF66" s="350"/>
      <c r="AG66" s="350"/>
      <c r="AH66" s="95"/>
      <c r="AI66" s="107"/>
      <c r="AJ66" s="99"/>
      <c r="AK66" s="99"/>
      <c r="AL66" s="99"/>
      <c r="AM66" s="100"/>
      <c r="AN66" s="100"/>
      <c r="AO66" s="100"/>
    </row>
    <row r="67" spans="1:41" ht="13.5" customHeight="1">
      <c r="A67" s="377"/>
      <c r="B67" s="372"/>
      <c r="C67" s="373"/>
      <c r="D67" s="369"/>
      <c r="E67" s="369"/>
      <c r="F67" s="369"/>
      <c r="G67" s="369"/>
      <c r="H67" s="374"/>
      <c r="I67" s="369"/>
      <c r="J67" s="369"/>
      <c r="K67" s="369"/>
      <c r="L67" s="369"/>
      <c r="M67" s="369"/>
      <c r="N67" s="369"/>
      <c r="O67" s="369"/>
      <c r="P67" s="375"/>
      <c r="Q67" s="369"/>
      <c r="R67" s="369"/>
      <c r="S67" s="369"/>
      <c r="T67" s="369"/>
      <c r="U67" s="369"/>
      <c r="V67" s="369"/>
      <c r="W67" s="369"/>
      <c r="X67" s="369"/>
      <c r="Y67" s="369"/>
      <c r="Z67" s="369"/>
      <c r="AA67" s="369"/>
      <c r="AB67" s="350"/>
      <c r="AC67" s="376"/>
      <c r="AD67" s="350"/>
      <c r="AE67" s="376"/>
      <c r="AF67" s="350"/>
      <c r="AG67" s="350"/>
      <c r="AH67" s="99"/>
      <c r="AI67" s="107"/>
      <c r="AJ67" s="99"/>
      <c r="AK67" s="107"/>
      <c r="AL67" s="99"/>
      <c r="AM67" s="100"/>
      <c r="AN67" s="100"/>
      <c r="AO67" s="100"/>
    </row>
    <row r="68" spans="1:41">
      <c r="A68" s="344"/>
      <c r="B68" s="348"/>
      <c r="C68" s="368"/>
      <c r="D68" s="348"/>
      <c r="E68" s="348"/>
      <c r="F68" s="348"/>
      <c r="G68" s="348"/>
      <c r="H68" s="348"/>
      <c r="I68" s="348"/>
      <c r="J68" s="348"/>
      <c r="K68" s="348"/>
      <c r="L68" s="348"/>
      <c r="M68" s="348"/>
      <c r="N68" s="348"/>
      <c r="O68" s="348"/>
      <c r="P68" s="348"/>
      <c r="Q68" s="348"/>
      <c r="R68" s="348"/>
      <c r="S68" s="348"/>
      <c r="T68" s="376"/>
      <c r="U68" s="376"/>
      <c r="V68" s="376"/>
      <c r="W68" s="376"/>
      <c r="X68" s="376"/>
      <c r="Y68" s="376"/>
      <c r="Z68" s="350"/>
      <c r="AA68" s="350"/>
      <c r="AB68" s="350"/>
      <c r="AC68" s="350"/>
      <c r="AD68" s="350"/>
      <c r="AE68" s="350"/>
      <c r="AF68" s="350"/>
      <c r="AG68" s="350"/>
      <c r="AH68" s="100"/>
      <c r="AI68" s="100"/>
      <c r="AJ68" s="100"/>
      <c r="AK68" s="100"/>
      <c r="AL68" s="100"/>
      <c r="AM68" s="100"/>
      <c r="AN68" s="100"/>
      <c r="AO68" s="100"/>
    </row>
    <row r="69" spans="1:41">
      <c r="A69" s="344"/>
      <c r="B69" s="348"/>
      <c r="C69" s="368"/>
      <c r="D69" s="348"/>
      <c r="E69" s="348"/>
      <c r="F69" s="348"/>
      <c r="G69" s="348"/>
      <c r="H69" s="348"/>
      <c r="I69" s="348"/>
      <c r="J69" s="348"/>
      <c r="K69" s="348"/>
      <c r="L69" s="348"/>
      <c r="M69" s="348"/>
      <c r="N69" s="348"/>
      <c r="O69" s="348"/>
      <c r="P69" s="348"/>
      <c r="Q69" s="348"/>
      <c r="R69" s="348"/>
      <c r="S69" s="348"/>
      <c r="T69" s="376"/>
      <c r="U69" s="376"/>
      <c r="V69" s="376"/>
      <c r="W69" s="376"/>
      <c r="X69" s="376"/>
      <c r="Y69" s="376"/>
      <c r="Z69" s="350"/>
      <c r="AA69" s="350"/>
      <c r="AB69" s="350"/>
      <c r="AC69" s="350"/>
      <c r="AD69" s="350"/>
      <c r="AE69" s="350"/>
      <c r="AF69" s="350"/>
      <c r="AG69" s="350"/>
      <c r="AH69" s="100"/>
      <c r="AI69" s="100"/>
      <c r="AJ69" s="100"/>
      <c r="AK69" s="100"/>
      <c r="AL69" s="100"/>
      <c r="AM69" s="100"/>
      <c r="AN69" s="100"/>
      <c r="AO69" s="100"/>
    </row>
    <row r="70" spans="1:41">
      <c r="A70" s="344"/>
      <c r="B70" s="348"/>
      <c r="C70" s="368"/>
      <c r="D70" s="348"/>
      <c r="E70" s="348"/>
      <c r="F70" s="348"/>
      <c r="G70" s="348"/>
      <c r="H70" s="348"/>
      <c r="I70" s="348"/>
      <c r="J70" s="348"/>
      <c r="K70" s="348"/>
      <c r="L70" s="348"/>
      <c r="M70" s="348"/>
      <c r="N70" s="348"/>
      <c r="O70" s="348"/>
      <c r="P70" s="348"/>
      <c r="Q70" s="348"/>
      <c r="R70" s="348"/>
      <c r="S70" s="348"/>
      <c r="T70" s="376"/>
      <c r="U70" s="376"/>
      <c r="V70" s="376"/>
      <c r="W70" s="376"/>
      <c r="X70" s="376"/>
      <c r="Y70" s="376"/>
      <c r="Z70" s="350"/>
      <c r="AA70" s="350"/>
      <c r="AB70" s="350"/>
      <c r="AC70" s="350"/>
      <c r="AD70" s="350"/>
      <c r="AE70" s="350"/>
      <c r="AF70" s="350"/>
      <c r="AG70" s="350"/>
      <c r="AH70" s="100"/>
      <c r="AI70" s="100"/>
      <c r="AJ70" s="100"/>
      <c r="AK70" s="100"/>
      <c r="AL70" s="100"/>
      <c r="AM70" s="100"/>
      <c r="AN70" s="100"/>
      <c r="AO70" s="100"/>
    </row>
    <row r="71" spans="1:41">
      <c r="A71" s="344"/>
      <c r="B71" s="348"/>
      <c r="C71" s="368"/>
      <c r="D71" s="348"/>
      <c r="E71" s="348"/>
      <c r="F71" s="348"/>
      <c r="G71" s="348"/>
      <c r="H71" s="348"/>
      <c r="I71" s="348"/>
      <c r="J71" s="348"/>
      <c r="K71" s="348"/>
      <c r="L71" s="348"/>
      <c r="M71" s="348"/>
      <c r="N71" s="348"/>
      <c r="O71" s="348"/>
      <c r="P71" s="348"/>
      <c r="Q71" s="348"/>
      <c r="R71" s="348"/>
      <c r="S71" s="348"/>
      <c r="T71" s="376"/>
      <c r="U71" s="376"/>
      <c r="V71" s="376"/>
      <c r="W71" s="376"/>
      <c r="X71" s="376"/>
      <c r="Y71" s="376"/>
      <c r="Z71" s="350"/>
      <c r="AA71" s="350"/>
      <c r="AB71" s="350"/>
      <c r="AC71" s="350"/>
      <c r="AD71" s="350"/>
      <c r="AE71" s="350"/>
      <c r="AF71" s="350"/>
      <c r="AG71" s="350"/>
      <c r="AH71" s="100"/>
      <c r="AI71" s="100"/>
      <c r="AJ71" s="100"/>
      <c r="AK71" s="100"/>
      <c r="AL71" s="100"/>
      <c r="AM71" s="100"/>
      <c r="AN71" s="100"/>
      <c r="AO71" s="100"/>
    </row>
    <row r="72" spans="1:41">
      <c r="B72" s="98"/>
      <c r="C72" s="106"/>
      <c r="D72" s="98"/>
      <c r="E72" s="98"/>
      <c r="F72" s="98"/>
      <c r="G72" s="98"/>
      <c r="H72" s="98"/>
      <c r="I72" s="98"/>
      <c r="J72" s="98"/>
      <c r="K72" s="98"/>
      <c r="L72" s="98"/>
      <c r="M72" s="98"/>
      <c r="N72" s="98"/>
      <c r="O72" s="98"/>
      <c r="P72" s="98"/>
      <c r="Q72" s="98"/>
      <c r="R72" s="98"/>
      <c r="S72" s="98"/>
      <c r="T72" s="108"/>
      <c r="U72" s="108"/>
      <c r="V72" s="108"/>
      <c r="W72" s="108"/>
      <c r="X72" s="108"/>
      <c r="Y72" s="108"/>
      <c r="Z72" s="100"/>
      <c r="AA72" s="100"/>
      <c r="AB72" s="100"/>
      <c r="AC72" s="100"/>
      <c r="AD72" s="100"/>
      <c r="AE72" s="100"/>
      <c r="AF72" s="100"/>
      <c r="AG72" s="100"/>
      <c r="AH72" s="100"/>
      <c r="AI72" s="100"/>
      <c r="AJ72" s="100"/>
      <c r="AK72" s="100"/>
      <c r="AL72" s="100"/>
      <c r="AM72" s="100"/>
      <c r="AN72" s="100"/>
      <c r="AO72" s="100"/>
    </row>
  </sheetData>
  <mergeCells count="7">
    <mergeCell ref="D61:Y61"/>
    <mergeCell ref="A62:C62"/>
    <mergeCell ref="B2:K2"/>
    <mergeCell ref="D38:S38"/>
    <mergeCell ref="A39:C39"/>
    <mergeCell ref="A58:E59"/>
    <mergeCell ref="A10:K13"/>
  </mergeCells>
  <phoneticPr fontId="27" type="noConversion"/>
  <hyperlinks>
    <hyperlink ref="A1" location="TCS!A1" display="戻る" xr:uid="{1A881F22-1537-41F5-8DD8-CEAA91C71CC7}"/>
  </hyperlinks>
  <pageMargins left="0.75" right="0.75" top="1" bottom="1" header="0.51200000000000001" footer="0.51200000000000001"/>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79945-C4E5-45FD-83DC-8615F970A8F6}">
  <dimension ref="A1:Z324"/>
  <sheetViews>
    <sheetView showGridLines="0" workbookViewId="0">
      <pane ySplit="3" topLeftCell="A4" activePane="bottomLeft" state="frozen"/>
      <selection pane="bottomLeft"/>
    </sheetView>
  </sheetViews>
  <sheetFormatPr defaultColWidth="9" defaultRowHeight="15"/>
  <cols>
    <col min="1" max="1" width="9.7265625" style="35" customWidth="1"/>
    <col min="2" max="2" width="7.453125" style="35" customWidth="1"/>
    <col min="3" max="3" width="9" style="35"/>
    <col min="4" max="4" width="16.54296875" style="37" customWidth="1"/>
    <col min="5" max="5" width="22.54296875" style="37" customWidth="1"/>
    <col min="6" max="6" width="34.81640625" style="37" customWidth="1"/>
    <col min="7" max="7" width="11.7265625" style="37" customWidth="1"/>
    <col min="8" max="11" width="9" style="37"/>
    <col min="12" max="12" width="29.453125" style="37" customWidth="1"/>
    <col min="13" max="13" width="13.54296875" style="37" customWidth="1"/>
    <col min="14" max="16384" width="9" style="35"/>
  </cols>
  <sheetData>
    <row r="1" spans="1:13">
      <c r="A1" s="310" t="s">
        <v>85</v>
      </c>
    </row>
    <row r="2" spans="1:13" ht="33" thickBot="1">
      <c r="A2" s="38"/>
      <c r="B2" s="39" t="s">
        <v>86</v>
      </c>
      <c r="C2" s="40"/>
      <c r="D2" s="40"/>
      <c r="E2" s="40"/>
      <c r="F2" s="40"/>
      <c r="G2" s="40"/>
      <c r="H2" s="40"/>
      <c r="I2" s="40"/>
      <c r="J2" s="40"/>
      <c r="K2" s="40"/>
      <c r="L2" s="40"/>
      <c r="M2" s="40"/>
    </row>
    <row r="3" spans="1:13" ht="16" thickTop="1" thickBot="1">
      <c r="B3" s="41" t="s">
        <v>87</v>
      </c>
      <c r="C3" s="41" t="s">
        <v>88</v>
      </c>
      <c r="D3" s="41"/>
      <c r="E3" s="42"/>
    </row>
    <row r="4" spans="1:13">
      <c r="A4"/>
      <c r="B4" s="309" t="s">
        <v>347</v>
      </c>
      <c r="C4" s="44" t="s">
        <v>349</v>
      </c>
      <c r="D4" s="44"/>
      <c r="E4" s="44"/>
      <c r="F4" s="44"/>
      <c r="G4" s="44"/>
      <c r="H4" s="44"/>
      <c r="I4" s="44"/>
      <c r="J4" s="44"/>
      <c r="K4" s="44"/>
      <c r="L4" s="44"/>
      <c r="M4" s="45"/>
    </row>
    <row r="5" spans="1:13">
      <c r="B5" s="50"/>
      <c r="C5" s="51"/>
      <c r="D5" s="51"/>
      <c r="E5" s="51"/>
      <c r="F5" s="51"/>
      <c r="G5" s="51"/>
      <c r="H5" s="51"/>
      <c r="I5" s="51"/>
      <c r="J5" s="51"/>
      <c r="K5" s="51"/>
      <c r="L5" s="51"/>
      <c r="M5" s="52"/>
    </row>
    <row r="6" spans="1:13">
      <c r="B6" s="53"/>
      <c r="C6" s="54" t="s">
        <v>91</v>
      </c>
      <c r="D6" s="55" t="s">
        <v>351</v>
      </c>
      <c r="E6" s="56"/>
      <c r="F6" s="57"/>
      <c r="G6" s="57"/>
      <c r="H6" s="57"/>
      <c r="I6" s="57"/>
      <c r="J6" s="57"/>
      <c r="K6" s="57"/>
      <c r="L6" s="57"/>
      <c r="M6" s="58"/>
    </row>
    <row r="7" spans="1:13" s="59" customFormat="1" ht="13.5">
      <c r="B7" s="50"/>
      <c r="C7" s="311" t="s">
        <v>93</v>
      </c>
      <c r="D7" s="51"/>
      <c r="E7" s="51"/>
      <c r="F7" s="51"/>
      <c r="G7" s="51"/>
      <c r="H7" s="51"/>
      <c r="I7" s="51"/>
      <c r="J7" s="51"/>
      <c r="K7" s="51"/>
      <c r="L7" s="51"/>
      <c r="M7" s="52"/>
    </row>
    <row r="8" spans="1:13" s="59" customFormat="1" ht="13.5">
      <c r="B8" s="50"/>
      <c r="C8" s="311" t="s">
        <v>355</v>
      </c>
      <c r="D8" s="311"/>
      <c r="E8" s="311"/>
      <c r="F8" s="311"/>
      <c r="G8" s="311"/>
      <c r="H8" s="311"/>
      <c r="I8" s="311"/>
      <c r="J8" s="311"/>
      <c r="K8" s="311"/>
      <c r="L8" s="311"/>
      <c r="M8" s="52"/>
    </row>
    <row r="9" spans="1:13" s="59" customFormat="1" ht="13.5">
      <c r="B9" s="50"/>
      <c r="C9" s="311"/>
      <c r="D9" s="311"/>
      <c r="E9" s="311"/>
      <c r="F9" s="311"/>
      <c r="G9" s="311"/>
      <c r="H9" s="311"/>
      <c r="I9" s="311"/>
      <c r="J9" s="311"/>
      <c r="K9" s="311"/>
      <c r="L9" s="311"/>
      <c r="M9" s="52"/>
    </row>
    <row r="10" spans="1:13" s="59" customFormat="1" ht="13.5">
      <c r="B10" s="50"/>
      <c r="C10" s="311" t="s">
        <v>119</v>
      </c>
      <c r="D10" s="311"/>
      <c r="E10" s="311"/>
      <c r="F10" s="311"/>
      <c r="G10" s="311"/>
      <c r="H10" s="311"/>
      <c r="I10" s="311"/>
      <c r="J10" s="311"/>
      <c r="K10" s="311"/>
      <c r="L10" s="311"/>
      <c r="M10" s="52"/>
    </row>
    <row r="11" spans="1:13" s="59" customFormat="1" ht="13.5">
      <c r="B11" s="50"/>
      <c r="C11" s="311" t="s">
        <v>120</v>
      </c>
      <c r="D11" s="311" t="s">
        <v>121</v>
      </c>
      <c r="E11" s="311" t="s">
        <v>123</v>
      </c>
      <c r="F11" s="311" t="s">
        <v>125</v>
      </c>
      <c r="G11" s="311" t="s">
        <v>356</v>
      </c>
      <c r="H11" s="311"/>
      <c r="I11" s="311"/>
      <c r="J11" s="311"/>
      <c r="K11" s="311"/>
      <c r="L11" s="311"/>
      <c r="M11" s="52"/>
    </row>
    <row r="12" spans="1:13" s="59" customFormat="1" ht="13.5">
      <c r="B12" s="50"/>
      <c r="C12" s="311">
        <v>0</v>
      </c>
      <c r="D12" s="311"/>
      <c r="E12" s="311"/>
      <c r="F12" s="311"/>
      <c r="G12" s="311"/>
      <c r="H12" s="311"/>
      <c r="I12" s="311"/>
      <c r="J12" s="311"/>
      <c r="K12" s="311"/>
      <c r="L12" s="311"/>
      <c r="M12" s="52"/>
    </row>
    <row r="13" spans="1:13" s="59" customFormat="1" ht="13.5">
      <c r="B13" s="50"/>
      <c r="C13" s="311"/>
      <c r="D13" s="311"/>
      <c r="E13" s="311"/>
      <c r="F13" s="311"/>
      <c r="G13" s="311"/>
      <c r="H13" s="311"/>
      <c r="I13" s="311"/>
      <c r="J13" s="311"/>
      <c r="K13" s="311"/>
      <c r="L13" s="311"/>
      <c r="M13" s="52"/>
    </row>
    <row r="14" spans="1:13">
      <c r="B14" s="53"/>
      <c r="C14" s="54" t="s">
        <v>91</v>
      </c>
      <c r="D14" s="55" t="s">
        <v>353</v>
      </c>
      <c r="E14" s="56"/>
      <c r="F14" s="57"/>
      <c r="G14" s="57"/>
      <c r="H14" s="57"/>
      <c r="I14" s="57"/>
      <c r="J14" s="57"/>
      <c r="K14" s="57"/>
      <c r="L14" s="57"/>
      <c r="M14" s="58"/>
    </row>
    <row r="15" spans="1:13" s="59" customFormat="1" ht="13.5">
      <c r="B15" s="50"/>
      <c r="C15" s="60" t="s">
        <v>93</v>
      </c>
      <c r="D15" s="51"/>
      <c r="E15" s="51"/>
      <c r="F15" s="51"/>
      <c r="G15" s="51"/>
      <c r="H15" s="51"/>
      <c r="I15" s="51"/>
      <c r="J15" s="51"/>
      <c r="K15" s="51"/>
      <c r="L15" s="51"/>
      <c r="M15" s="52"/>
    </row>
    <row r="16" spans="1:13" s="59" customFormat="1" ht="13.5">
      <c r="B16" s="50"/>
      <c r="C16" s="311" t="s">
        <v>359</v>
      </c>
      <c r="D16" s="338"/>
      <c r="E16" s="339"/>
      <c r="F16" s="339"/>
      <c r="G16" s="338"/>
      <c r="H16" s="338"/>
      <c r="I16" s="338"/>
      <c r="J16" s="338"/>
      <c r="K16" s="338"/>
      <c r="L16" s="338"/>
      <c r="M16" s="52"/>
    </row>
    <row r="17" spans="1:13" s="59" customFormat="1" ht="13.5">
      <c r="B17" s="50"/>
      <c r="C17" s="337"/>
      <c r="D17" s="338"/>
      <c r="E17" s="339"/>
      <c r="F17" s="339"/>
      <c r="G17" s="338"/>
      <c r="H17" s="338"/>
      <c r="I17" s="338"/>
      <c r="J17" s="338"/>
      <c r="K17" s="338"/>
      <c r="L17" s="338"/>
      <c r="M17" s="52"/>
    </row>
    <row r="18" spans="1:13" s="59" customFormat="1" ht="13.5">
      <c r="B18" s="50"/>
      <c r="C18" s="311" t="s">
        <v>119</v>
      </c>
      <c r="D18" s="338"/>
      <c r="E18" s="339"/>
      <c r="F18" s="339"/>
      <c r="G18" s="338"/>
      <c r="H18" s="338"/>
      <c r="I18" s="338"/>
      <c r="J18" s="338"/>
      <c r="K18" s="338"/>
      <c r="L18" s="338"/>
      <c r="M18" s="52"/>
    </row>
    <row r="19" spans="1:13" s="59" customFormat="1" ht="13.5">
      <c r="B19" s="50"/>
      <c r="C19" s="311" t="s">
        <v>360</v>
      </c>
      <c r="D19" s="311" t="s">
        <v>361</v>
      </c>
      <c r="E19" s="311" t="s">
        <v>171</v>
      </c>
      <c r="F19" s="311" t="s">
        <v>362</v>
      </c>
      <c r="G19" s="311" t="s">
        <v>363</v>
      </c>
      <c r="H19" s="311"/>
      <c r="I19" s="311"/>
      <c r="J19" s="338"/>
      <c r="K19" s="338"/>
      <c r="L19" s="338"/>
      <c r="M19" s="52"/>
    </row>
    <row r="20" spans="1:13" s="59" customFormat="1" ht="13.5">
      <c r="B20" s="50"/>
      <c r="C20" s="311">
        <v>-2</v>
      </c>
      <c r="D20" s="311" t="s">
        <v>122</v>
      </c>
      <c r="E20" s="311" t="s">
        <v>481</v>
      </c>
      <c r="F20" s="311" t="s">
        <v>357</v>
      </c>
      <c r="G20" s="311" t="s">
        <v>358</v>
      </c>
      <c r="H20" s="311"/>
      <c r="I20" s="311"/>
      <c r="J20" s="338"/>
      <c r="K20" s="338"/>
      <c r="L20" s="338"/>
      <c r="M20" s="52"/>
    </row>
    <row r="21" spans="1:13" s="59" customFormat="1" ht="13.5">
      <c r="B21" s="50"/>
      <c r="C21" s="311"/>
      <c r="D21" s="311"/>
      <c r="E21" s="311"/>
      <c r="F21" s="311"/>
      <c r="G21" s="311"/>
      <c r="H21" s="311"/>
      <c r="I21" s="311"/>
      <c r="J21" s="338"/>
      <c r="K21" s="338"/>
      <c r="L21" s="338"/>
      <c r="M21" s="52"/>
    </row>
    <row r="22" spans="1:13" s="59" customFormat="1" ht="14" thickBot="1">
      <c r="B22" s="50"/>
      <c r="C22" s="311"/>
      <c r="D22" s="311"/>
      <c r="E22" s="311"/>
      <c r="F22" s="311"/>
      <c r="G22" s="311"/>
      <c r="H22" s="311"/>
      <c r="I22" s="311"/>
      <c r="J22" s="338"/>
      <c r="K22" s="338"/>
      <c r="L22" s="338"/>
      <c r="M22" s="52"/>
    </row>
    <row r="23" spans="1:13">
      <c r="A23"/>
      <c r="B23" s="309" t="s">
        <v>375</v>
      </c>
      <c r="C23" s="44" t="s">
        <v>366</v>
      </c>
      <c r="D23" s="44"/>
      <c r="E23" s="44"/>
      <c r="F23" s="44"/>
      <c r="G23" s="44"/>
      <c r="H23" s="44"/>
      <c r="I23" s="44"/>
      <c r="J23" s="44"/>
      <c r="K23" s="44"/>
      <c r="L23" s="44"/>
      <c r="M23" s="45"/>
    </row>
    <row r="24" spans="1:13" s="59" customFormat="1" ht="13.5">
      <c r="B24" s="50"/>
      <c r="C24" s="338"/>
      <c r="D24" s="338"/>
      <c r="E24" s="339"/>
      <c r="F24" s="339"/>
      <c r="G24" s="338"/>
      <c r="H24" s="338"/>
      <c r="I24" s="338"/>
      <c r="J24" s="338"/>
      <c r="K24" s="338"/>
      <c r="L24" s="338"/>
      <c r="M24" s="52"/>
    </row>
    <row r="25" spans="1:13" s="59" customFormat="1" ht="13.5">
      <c r="B25" s="50"/>
      <c r="C25" s="54" t="s">
        <v>91</v>
      </c>
      <c r="D25" s="55" t="s">
        <v>368</v>
      </c>
      <c r="E25" s="56"/>
      <c r="F25" s="57"/>
      <c r="G25" s="57"/>
      <c r="H25" s="57"/>
      <c r="I25" s="57"/>
      <c r="J25" s="57"/>
      <c r="K25" s="57"/>
      <c r="L25" s="57"/>
      <c r="M25" s="52"/>
    </row>
    <row r="26" spans="1:13" s="59" customFormat="1" ht="13.5">
      <c r="B26" s="50"/>
      <c r="C26" s="311" t="s">
        <v>93</v>
      </c>
      <c r="D26" s="311"/>
      <c r="E26" s="311"/>
      <c r="F26" s="311"/>
      <c r="G26" s="311"/>
      <c r="H26" s="311"/>
      <c r="I26" s="311"/>
      <c r="J26" s="311"/>
      <c r="K26" s="338"/>
      <c r="L26" s="338"/>
      <c r="M26" s="52"/>
    </row>
    <row r="27" spans="1:13" s="59" customFormat="1" ht="13.5">
      <c r="B27" s="50"/>
      <c r="C27" s="311" t="s">
        <v>355</v>
      </c>
      <c r="D27" s="311"/>
      <c r="E27" s="311"/>
      <c r="F27" s="311"/>
      <c r="G27" s="311"/>
      <c r="H27" s="311"/>
      <c r="I27" s="311"/>
      <c r="J27" s="311"/>
      <c r="K27" s="338"/>
      <c r="L27" s="338"/>
      <c r="M27" s="52"/>
    </row>
    <row r="28" spans="1:13" s="59" customFormat="1" ht="13.5">
      <c r="B28" s="50"/>
      <c r="C28" s="311"/>
      <c r="D28" s="311"/>
      <c r="E28" s="311"/>
      <c r="F28" s="311"/>
      <c r="G28" s="311"/>
      <c r="H28" s="311"/>
      <c r="I28" s="311"/>
      <c r="J28" s="311"/>
      <c r="K28" s="338"/>
      <c r="L28" s="338"/>
      <c r="M28" s="52"/>
    </row>
    <row r="29" spans="1:13" s="59" customFormat="1" ht="13.5">
      <c r="B29" s="50"/>
      <c r="C29" s="311" t="s">
        <v>119</v>
      </c>
      <c r="D29" s="311"/>
      <c r="E29" s="311"/>
      <c r="F29" s="311"/>
      <c r="G29" s="311"/>
      <c r="H29" s="311"/>
      <c r="I29" s="311"/>
      <c r="J29" s="311"/>
      <c r="K29" s="338"/>
      <c r="L29" s="338"/>
      <c r="M29" s="52"/>
    </row>
    <row r="30" spans="1:13">
      <c r="B30" s="66"/>
      <c r="C30" s="311" t="s">
        <v>120</v>
      </c>
      <c r="D30" s="311" t="s">
        <v>121</v>
      </c>
      <c r="E30" s="311" t="s">
        <v>123</v>
      </c>
      <c r="F30" s="311" t="s">
        <v>125</v>
      </c>
      <c r="G30" s="311" t="s">
        <v>356</v>
      </c>
      <c r="H30" s="311"/>
      <c r="I30" s="311"/>
      <c r="J30" s="311"/>
      <c r="K30" s="340"/>
      <c r="L30" s="340"/>
      <c r="M30" s="58"/>
    </row>
    <row r="31" spans="1:13">
      <c r="B31" s="66"/>
      <c r="C31" s="311">
        <v>0</v>
      </c>
      <c r="D31" s="311"/>
      <c r="E31" s="311"/>
      <c r="F31" s="311"/>
      <c r="G31" s="311"/>
      <c r="H31" s="311"/>
      <c r="I31" s="311"/>
      <c r="J31" s="311"/>
      <c r="K31" s="340"/>
      <c r="L31" s="340"/>
      <c r="M31" s="58"/>
    </row>
    <row r="32" spans="1:13">
      <c r="B32" s="66"/>
      <c r="C32" s="311"/>
      <c r="D32" s="311"/>
      <c r="E32" s="311"/>
      <c r="F32" s="311"/>
      <c r="G32" s="311"/>
      <c r="H32" s="311"/>
      <c r="I32" s="311"/>
      <c r="J32" s="311"/>
      <c r="K32" s="340"/>
      <c r="L32" s="340"/>
      <c r="M32" s="58"/>
    </row>
    <row r="33" spans="2:13">
      <c r="B33" s="66"/>
      <c r="C33" s="54" t="s">
        <v>91</v>
      </c>
      <c r="D33" s="55" t="s">
        <v>369</v>
      </c>
      <c r="E33" s="56"/>
      <c r="F33" s="57"/>
      <c r="G33" s="57"/>
      <c r="H33" s="57"/>
      <c r="I33" s="57"/>
      <c r="J33" s="57"/>
      <c r="K33" s="57"/>
      <c r="L33" s="57"/>
      <c r="M33" s="58"/>
    </row>
    <row r="34" spans="2:13">
      <c r="B34" s="66"/>
      <c r="C34" s="311" t="s">
        <v>93</v>
      </c>
      <c r="D34" s="311"/>
      <c r="E34" s="311"/>
      <c r="F34" s="311"/>
      <c r="G34" s="311"/>
      <c r="H34" s="311"/>
      <c r="I34" s="311"/>
      <c r="J34" s="311"/>
      <c r="K34" s="311"/>
      <c r="L34" s="311"/>
      <c r="M34" s="58"/>
    </row>
    <row r="35" spans="2:13">
      <c r="B35" s="66"/>
      <c r="C35" s="311" t="s">
        <v>372</v>
      </c>
      <c r="D35" s="311"/>
      <c r="E35" s="311"/>
      <c r="F35" s="311"/>
      <c r="G35" s="311"/>
      <c r="H35" s="311"/>
      <c r="I35" s="311"/>
      <c r="J35" s="311"/>
      <c r="K35" s="311"/>
      <c r="L35" s="311"/>
      <c r="M35" s="58"/>
    </row>
    <row r="36" spans="2:13">
      <c r="B36" s="66"/>
      <c r="C36" s="311"/>
      <c r="D36" s="311"/>
      <c r="E36" s="311"/>
      <c r="F36" s="311"/>
      <c r="G36" s="311"/>
      <c r="H36" s="311"/>
      <c r="I36" s="311"/>
      <c r="J36" s="311"/>
      <c r="K36" s="311"/>
      <c r="L36" s="311"/>
      <c r="M36" s="58"/>
    </row>
    <row r="37" spans="2:13">
      <c r="B37" s="53"/>
      <c r="C37" s="311" t="s">
        <v>119</v>
      </c>
      <c r="D37" s="311"/>
      <c r="E37" s="311"/>
      <c r="F37" s="311"/>
      <c r="G37" s="311"/>
      <c r="H37" s="311"/>
      <c r="I37" s="311"/>
      <c r="J37" s="311"/>
      <c r="K37" s="311"/>
      <c r="L37" s="311"/>
      <c r="M37" s="58"/>
    </row>
    <row r="38" spans="2:13" s="59" customFormat="1" ht="13.5">
      <c r="B38" s="50"/>
      <c r="C38" s="311" t="s">
        <v>360</v>
      </c>
      <c r="D38" s="311" t="s">
        <v>361</v>
      </c>
      <c r="E38" s="311" t="s">
        <v>171</v>
      </c>
      <c r="F38" s="311" t="s">
        <v>362</v>
      </c>
      <c r="G38" s="311" t="s">
        <v>363</v>
      </c>
      <c r="H38" s="311"/>
      <c r="I38" s="311"/>
      <c r="J38" s="311"/>
      <c r="K38" s="311"/>
      <c r="L38" s="311"/>
      <c r="M38" s="52"/>
    </row>
    <row r="39" spans="2:13" s="59" customFormat="1" ht="13.5">
      <c r="B39" s="50"/>
      <c r="C39" s="311">
        <v>-2</v>
      </c>
      <c r="D39" s="311" t="s">
        <v>364</v>
      </c>
      <c r="E39" s="311" t="s">
        <v>373</v>
      </c>
      <c r="F39" s="311" t="s">
        <v>374</v>
      </c>
      <c r="G39" s="311" t="s">
        <v>80</v>
      </c>
      <c r="H39" s="311"/>
      <c r="I39" s="311"/>
      <c r="J39" s="311"/>
      <c r="K39" s="311"/>
      <c r="L39" s="311"/>
      <c r="M39" s="52"/>
    </row>
    <row r="40" spans="2:13" s="59" customFormat="1" ht="13.5">
      <c r="B40" s="50"/>
      <c r="C40" s="311"/>
      <c r="D40" s="311"/>
      <c r="E40" s="311"/>
      <c r="F40" s="311"/>
      <c r="G40" s="311"/>
      <c r="H40" s="311"/>
      <c r="I40" s="311"/>
      <c r="J40" s="311"/>
      <c r="K40" s="311"/>
      <c r="L40" s="311"/>
      <c r="M40" s="52"/>
    </row>
    <row r="41" spans="2:13" s="59" customFormat="1" ht="13.5">
      <c r="B41" s="50"/>
      <c r="C41" s="54" t="s">
        <v>91</v>
      </c>
      <c r="D41" s="55" t="s">
        <v>376</v>
      </c>
      <c r="E41" s="56"/>
      <c r="F41" s="57"/>
      <c r="G41" s="57"/>
      <c r="H41" s="57"/>
      <c r="I41" s="57"/>
      <c r="J41" s="57"/>
      <c r="K41" s="57"/>
      <c r="L41" s="57"/>
      <c r="M41" s="52"/>
    </row>
    <row r="42" spans="2:13" s="59" customFormat="1" ht="13.5">
      <c r="B42" s="50"/>
      <c r="C42" s="311" t="s">
        <v>93</v>
      </c>
      <c r="D42" s="311"/>
      <c r="E42" s="311"/>
      <c r="F42" s="311"/>
      <c r="G42" s="311"/>
      <c r="H42" s="311"/>
      <c r="I42" s="311"/>
      <c r="J42" s="311"/>
      <c r="K42" s="311"/>
      <c r="L42" s="311"/>
      <c r="M42" s="52"/>
    </row>
    <row r="43" spans="2:13" s="59" customFormat="1" ht="13.5">
      <c r="B43" s="50"/>
      <c r="C43" s="311" t="s">
        <v>377</v>
      </c>
      <c r="D43" s="311"/>
      <c r="E43" s="311"/>
      <c r="F43" s="311"/>
      <c r="G43" s="311"/>
      <c r="H43" s="311"/>
      <c r="I43" s="311"/>
      <c r="J43" s="311"/>
      <c r="K43" s="311"/>
      <c r="L43" s="311"/>
      <c r="M43" s="52"/>
    </row>
    <row r="44" spans="2:13" s="59" customFormat="1" ht="13.5">
      <c r="B44" s="50"/>
      <c r="C44" s="311"/>
      <c r="D44" s="311"/>
      <c r="E44" s="311"/>
      <c r="F44" s="311"/>
      <c r="G44" s="311"/>
      <c r="H44" s="311"/>
      <c r="I44" s="311"/>
      <c r="J44" s="311"/>
      <c r="K44" s="311"/>
      <c r="L44" s="311"/>
      <c r="M44" s="52"/>
    </row>
    <row r="45" spans="2:13" s="59" customFormat="1" ht="13.5">
      <c r="B45" s="50"/>
      <c r="C45" s="311" t="s">
        <v>119</v>
      </c>
      <c r="D45" s="311"/>
      <c r="E45" s="311"/>
      <c r="F45" s="311"/>
      <c r="G45" s="311"/>
      <c r="H45" s="311"/>
      <c r="I45" s="311"/>
      <c r="J45" s="311"/>
      <c r="K45" s="311"/>
      <c r="L45" s="311"/>
      <c r="M45" s="52"/>
    </row>
    <row r="46" spans="2:13" s="59" customFormat="1" ht="13.5">
      <c r="B46" s="50"/>
      <c r="C46" s="311" t="s">
        <v>120</v>
      </c>
      <c r="D46" s="311" t="s">
        <v>121</v>
      </c>
      <c r="E46" s="311" t="s">
        <v>123</v>
      </c>
      <c r="F46" s="311" t="s">
        <v>125</v>
      </c>
      <c r="G46" s="311" t="s">
        <v>356</v>
      </c>
      <c r="H46" s="311"/>
      <c r="I46" s="311"/>
      <c r="J46" s="311"/>
      <c r="K46" s="311"/>
      <c r="L46" s="311"/>
      <c r="M46" s="52"/>
    </row>
    <row r="47" spans="2:13" s="59" customFormat="1" ht="13.5">
      <c r="B47" s="50"/>
      <c r="C47" s="311">
        <v>-2</v>
      </c>
      <c r="D47" s="311" t="s">
        <v>122</v>
      </c>
      <c r="E47" s="311" t="s">
        <v>370</v>
      </c>
      <c r="F47" s="311" t="s">
        <v>371</v>
      </c>
      <c r="G47" s="311" t="s">
        <v>358</v>
      </c>
      <c r="H47" s="311"/>
      <c r="I47" s="311"/>
      <c r="J47" s="311"/>
      <c r="K47" s="311"/>
      <c r="L47" s="311"/>
      <c r="M47" s="52"/>
    </row>
    <row r="48" spans="2:13" s="59" customFormat="1" ht="14" thickBot="1">
      <c r="B48" s="50"/>
      <c r="C48" s="311"/>
      <c r="D48" s="311"/>
      <c r="E48" s="311"/>
      <c r="F48" s="311"/>
      <c r="G48" s="311"/>
      <c r="H48" s="311"/>
      <c r="I48" s="311"/>
      <c r="J48" s="311"/>
      <c r="K48" s="311"/>
      <c r="L48" s="311"/>
      <c r="M48" s="52"/>
    </row>
    <row r="49" spans="2:13" s="59" customFormat="1" ht="13.5">
      <c r="B49" s="309" t="s">
        <v>378</v>
      </c>
      <c r="C49" s="44" t="s">
        <v>380</v>
      </c>
      <c r="D49" s="44"/>
      <c r="E49" s="44"/>
      <c r="F49" s="44"/>
      <c r="G49" s="44"/>
      <c r="H49" s="44"/>
      <c r="I49" s="44"/>
      <c r="J49" s="44"/>
      <c r="K49" s="44"/>
      <c r="L49" s="44"/>
      <c r="M49" s="45"/>
    </row>
    <row r="50" spans="2:13" s="59" customFormat="1" ht="13.5">
      <c r="B50" s="50"/>
      <c r="C50" s="311"/>
      <c r="D50" s="311"/>
      <c r="E50" s="311"/>
      <c r="F50" s="311"/>
      <c r="G50" s="311"/>
      <c r="H50" s="311"/>
      <c r="I50" s="311"/>
      <c r="J50" s="311"/>
      <c r="K50" s="311"/>
      <c r="L50" s="311"/>
      <c r="M50" s="52"/>
    </row>
    <row r="51" spans="2:13" s="59" customFormat="1" ht="13.5">
      <c r="B51" s="50"/>
      <c r="C51" s="54" t="s">
        <v>91</v>
      </c>
      <c r="D51" s="55" t="s">
        <v>381</v>
      </c>
      <c r="E51" s="56"/>
      <c r="F51" s="57"/>
      <c r="G51" s="57"/>
      <c r="H51" s="57"/>
      <c r="I51" s="57"/>
      <c r="J51" s="57"/>
      <c r="K51" s="57"/>
      <c r="L51" s="57"/>
      <c r="M51" s="52"/>
    </row>
    <row r="52" spans="2:13">
      <c r="B52" s="66"/>
      <c r="C52" s="311" t="s">
        <v>93</v>
      </c>
      <c r="D52" s="311"/>
      <c r="E52" s="311"/>
      <c r="F52" s="311"/>
      <c r="G52" s="311"/>
      <c r="H52" s="311"/>
      <c r="I52" s="311"/>
      <c r="J52" s="311"/>
      <c r="K52" s="311"/>
      <c r="L52" s="311"/>
      <c r="M52" s="58"/>
    </row>
    <row r="53" spans="2:13">
      <c r="B53" s="66"/>
      <c r="C53" s="311" t="s">
        <v>354</v>
      </c>
      <c r="D53" s="311"/>
      <c r="E53" s="311"/>
      <c r="F53" s="311"/>
      <c r="G53" s="311"/>
      <c r="H53" s="311"/>
      <c r="I53" s="311"/>
      <c r="J53" s="311"/>
      <c r="K53" s="311"/>
      <c r="L53" s="311"/>
      <c r="M53" s="58"/>
    </row>
    <row r="54" spans="2:13">
      <c r="B54" s="66"/>
      <c r="C54" s="311"/>
      <c r="D54" s="311"/>
      <c r="E54" s="311"/>
      <c r="F54" s="311"/>
      <c r="G54" s="311"/>
      <c r="H54" s="311"/>
      <c r="I54" s="311"/>
      <c r="J54" s="311"/>
      <c r="K54" s="311"/>
      <c r="L54" s="311"/>
      <c r="M54" s="58"/>
    </row>
    <row r="55" spans="2:13">
      <c r="B55" s="66"/>
      <c r="C55" s="311" t="s">
        <v>119</v>
      </c>
      <c r="D55" s="311"/>
      <c r="E55" s="311"/>
      <c r="F55" s="311"/>
      <c r="G55" s="311"/>
      <c r="H55" s="311"/>
      <c r="I55" s="311"/>
      <c r="J55" s="311"/>
      <c r="K55" s="311"/>
      <c r="L55" s="311"/>
      <c r="M55" s="58"/>
    </row>
    <row r="56" spans="2:13">
      <c r="B56" s="66"/>
      <c r="C56" s="311" t="s">
        <v>120</v>
      </c>
      <c r="D56" s="311" t="s">
        <v>121</v>
      </c>
      <c r="E56" s="311" t="s">
        <v>123</v>
      </c>
      <c r="F56" s="311" t="s">
        <v>125</v>
      </c>
      <c r="G56" s="311" t="s">
        <v>356</v>
      </c>
      <c r="H56" s="311"/>
      <c r="I56" s="311"/>
      <c r="J56" s="311"/>
      <c r="K56" s="311"/>
      <c r="L56" s="311"/>
      <c r="M56" s="58"/>
    </row>
    <row r="57" spans="2:13">
      <c r="B57" s="66"/>
      <c r="C57" s="311">
        <v>0</v>
      </c>
      <c r="D57" s="311"/>
      <c r="E57" s="311"/>
      <c r="F57" s="311"/>
      <c r="G57" s="311"/>
      <c r="H57" s="311"/>
      <c r="I57" s="311"/>
      <c r="J57" s="311"/>
      <c r="K57" s="311"/>
      <c r="L57" s="311"/>
      <c r="M57" s="58"/>
    </row>
    <row r="58" spans="2:13">
      <c r="B58" s="66"/>
      <c r="C58" s="311"/>
      <c r="D58" s="311"/>
      <c r="E58" s="311"/>
      <c r="F58" s="311"/>
      <c r="G58" s="311"/>
      <c r="H58" s="311"/>
      <c r="I58" s="311"/>
      <c r="J58" s="311"/>
      <c r="K58" s="311"/>
      <c r="L58" s="311"/>
      <c r="M58" s="58"/>
    </row>
    <row r="59" spans="2:13">
      <c r="B59" s="53"/>
      <c r="C59" s="54" t="s">
        <v>91</v>
      </c>
      <c r="D59" s="55" t="s">
        <v>382</v>
      </c>
      <c r="E59" s="56"/>
      <c r="F59" s="57"/>
      <c r="G59" s="57"/>
      <c r="H59" s="57"/>
      <c r="I59" s="57"/>
      <c r="J59" s="57"/>
      <c r="K59" s="57"/>
      <c r="L59" s="57"/>
      <c r="M59" s="58"/>
    </row>
    <row r="60" spans="2:13" s="59" customFormat="1" ht="13.5">
      <c r="B60" s="50"/>
      <c r="C60" s="311" t="s">
        <v>93</v>
      </c>
      <c r="D60" s="311"/>
      <c r="E60" s="311"/>
      <c r="F60" s="311"/>
      <c r="G60" s="311"/>
      <c r="H60" s="311"/>
      <c r="I60" s="311"/>
      <c r="J60" s="311"/>
      <c r="K60" s="311"/>
      <c r="L60" s="311"/>
      <c r="M60" s="52"/>
    </row>
    <row r="61" spans="2:13" s="59" customFormat="1" ht="13.5">
      <c r="B61" s="50"/>
      <c r="C61" s="311" t="s">
        <v>384</v>
      </c>
      <c r="D61" s="311"/>
      <c r="E61" s="311"/>
      <c r="F61" s="311"/>
      <c r="G61" s="311"/>
      <c r="H61" s="311"/>
      <c r="I61" s="311"/>
      <c r="J61" s="311"/>
      <c r="K61" s="311"/>
      <c r="L61" s="311"/>
      <c r="M61" s="52"/>
    </row>
    <row r="62" spans="2:13" s="59" customFormat="1" ht="13.5">
      <c r="B62" s="50"/>
      <c r="C62" s="311"/>
      <c r="D62" s="311"/>
      <c r="E62" s="311"/>
      <c r="F62" s="311"/>
      <c r="G62" s="311"/>
      <c r="H62" s="311"/>
      <c r="I62" s="311"/>
      <c r="J62" s="311"/>
      <c r="K62" s="311"/>
      <c r="L62" s="311"/>
      <c r="M62" s="52"/>
    </row>
    <row r="63" spans="2:13" s="59" customFormat="1" ht="13.5">
      <c r="B63" s="50"/>
      <c r="C63" s="311" t="s">
        <v>119</v>
      </c>
      <c r="D63" s="311"/>
      <c r="E63" s="311"/>
      <c r="F63" s="311"/>
      <c r="G63" s="311"/>
      <c r="H63" s="311"/>
      <c r="I63" s="311"/>
      <c r="J63" s="311"/>
      <c r="K63" s="311"/>
      <c r="L63" s="311"/>
      <c r="M63" s="52"/>
    </row>
    <row r="64" spans="2:13" s="59" customFormat="1" ht="13.5">
      <c r="B64" s="50"/>
      <c r="C64" s="311" t="s">
        <v>120</v>
      </c>
      <c r="D64" s="311" t="s">
        <v>121</v>
      </c>
      <c r="E64" s="311" t="s">
        <v>123</v>
      </c>
      <c r="F64" s="311" t="s">
        <v>125</v>
      </c>
      <c r="G64" s="311" t="s">
        <v>356</v>
      </c>
      <c r="H64" s="311"/>
      <c r="I64" s="311"/>
      <c r="J64" s="311"/>
      <c r="K64" s="311"/>
      <c r="L64" s="311"/>
      <c r="M64" s="52"/>
    </row>
    <row r="65" spans="2:13" s="59" customFormat="1" ht="13.5">
      <c r="B65" s="50"/>
      <c r="C65" s="311">
        <v>-2</v>
      </c>
      <c r="D65" s="311" t="s">
        <v>122</v>
      </c>
      <c r="E65" s="311" t="s">
        <v>484</v>
      </c>
      <c r="F65" s="311" t="s">
        <v>383</v>
      </c>
      <c r="G65" s="311" t="s">
        <v>358</v>
      </c>
      <c r="H65" s="311"/>
      <c r="I65" s="311"/>
      <c r="J65" s="311"/>
      <c r="K65" s="311"/>
      <c r="L65" s="311"/>
      <c r="M65" s="52"/>
    </row>
    <row r="66" spans="2:13" s="59" customFormat="1" ht="14" thickBot="1">
      <c r="B66" s="50"/>
      <c r="C66" s="311"/>
      <c r="D66" s="311"/>
      <c r="E66" s="311"/>
      <c r="F66" s="311"/>
      <c r="G66" s="311"/>
      <c r="H66" s="311"/>
      <c r="I66" s="311"/>
      <c r="J66" s="311"/>
      <c r="K66" s="311"/>
      <c r="L66" s="311"/>
      <c r="M66" s="52"/>
    </row>
    <row r="67" spans="2:13" s="59" customFormat="1" ht="13.5">
      <c r="B67" s="309" t="s">
        <v>387</v>
      </c>
      <c r="C67" s="44" t="s">
        <v>386</v>
      </c>
      <c r="D67" s="44"/>
      <c r="E67" s="44"/>
      <c r="F67" s="44"/>
      <c r="G67" s="44"/>
      <c r="H67" s="44"/>
      <c r="I67" s="44"/>
      <c r="J67" s="44"/>
      <c r="K67" s="44"/>
      <c r="L67" s="44"/>
      <c r="M67" s="45"/>
    </row>
    <row r="68" spans="2:13" s="59" customFormat="1" ht="13.5">
      <c r="B68" s="50"/>
      <c r="C68" s="311"/>
      <c r="D68" s="311"/>
      <c r="E68" s="311"/>
      <c r="F68" s="311"/>
      <c r="G68" s="311"/>
      <c r="H68" s="311"/>
      <c r="I68" s="311"/>
      <c r="J68" s="311"/>
      <c r="K68" s="311"/>
      <c r="L68" s="311"/>
      <c r="M68" s="52"/>
    </row>
    <row r="69" spans="2:13" s="59" customFormat="1" ht="13.5">
      <c r="B69" s="50"/>
      <c r="C69" s="54" t="s">
        <v>91</v>
      </c>
      <c r="D69" s="55" t="s">
        <v>388</v>
      </c>
      <c r="E69" s="56"/>
      <c r="F69" s="57"/>
      <c r="G69" s="57"/>
      <c r="H69" s="57"/>
      <c r="I69" s="57"/>
      <c r="J69" s="57"/>
      <c r="K69" s="57"/>
      <c r="L69" s="57"/>
      <c r="M69" s="52"/>
    </row>
    <row r="70" spans="2:13" s="59" customFormat="1" ht="13.5">
      <c r="B70" s="50"/>
      <c r="C70" s="311" t="s">
        <v>93</v>
      </c>
      <c r="D70" s="311"/>
      <c r="E70" s="311"/>
      <c r="F70" s="311"/>
      <c r="G70" s="311"/>
      <c r="H70" s="311"/>
      <c r="I70" s="311"/>
      <c r="J70" s="311"/>
      <c r="K70" s="311"/>
      <c r="L70" s="311"/>
      <c r="M70" s="52"/>
    </row>
    <row r="71" spans="2:13" s="59" customFormat="1" ht="13.5">
      <c r="B71" s="50"/>
      <c r="C71" s="311" t="s">
        <v>354</v>
      </c>
      <c r="D71" s="311"/>
      <c r="E71" s="311"/>
      <c r="F71" s="311"/>
      <c r="G71" s="311"/>
      <c r="H71" s="311"/>
      <c r="I71" s="311"/>
      <c r="J71" s="311"/>
      <c r="K71" s="311"/>
      <c r="L71" s="311"/>
      <c r="M71" s="52"/>
    </row>
    <row r="72" spans="2:13" s="59" customFormat="1" ht="13.5">
      <c r="B72" s="50"/>
      <c r="C72" s="311"/>
      <c r="D72" s="311"/>
      <c r="E72" s="311"/>
      <c r="F72" s="311"/>
      <c r="G72" s="311"/>
      <c r="H72" s="311"/>
      <c r="I72" s="311"/>
      <c r="J72" s="311"/>
      <c r="K72" s="311"/>
      <c r="L72" s="311"/>
      <c r="M72" s="52"/>
    </row>
    <row r="73" spans="2:13" s="59" customFormat="1" ht="13.5">
      <c r="B73" s="50"/>
      <c r="C73" s="311" t="s">
        <v>119</v>
      </c>
      <c r="D73" s="311"/>
      <c r="E73" s="311"/>
      <c r="F73" s="311"/>
      <c r="G73" s="311"/>
      <c r="H73" s="311"/>
      <c r="I73" s="311"/>
      <c r="J73" s="311"/>
      <c r="K73" s="311"/>
      <c r="L73" s="311"/>
      <c r="M73" s="52"/>
    </row>
    <row r="74" spans="2:13" s="59" customFormat="1" ht="13.5">
      <c r="B74" s="50"/>
      <c r="C74" s="311" t="s">
        <v>120</v>
      </c>
      <c r="D74" s="311" t="s">
        <v>121</v>
      </c>
      <c r="E74" s="311" t="s">
        <v>123</v>
      </c>
      <c r="F74" s="311" t="s">
        <v>125</v>
      </c>
      <c r="G74" s="311" t="s">
        <v>356</v>
      </c>
      <c r="H74" s="311"/>
      <c r="I74" s="311"/>
      <c r="J74" s="311"/>
      <c r="K74" s="311"/>
      <c r="L74" s="311"/>
      <c r="M74" s="52"/>
    </row>
    <row r="75" spans="2:13">
      <c r="B75" s="66"/>
      <c r="C75" s="311">
        <v>0</v>
      </c>
      <c r="D75" s="311"/>
      <c r="E75" s="311"/>
      <c r="F75" s="311"/>
      <c r="G75" s="311"/>
      <c r="H75" s="311"/>
      <c r="I75" s="311"/>
      <c r="J75" s="311"/>
      <c r="K75" s="311"/>
      <c r="L75" s="311"/>
      <c r="M75" s="58"/>
    </row>
    <row r="76" spans="2:13">
      <c r="B76" s="53"/>
      <c r="C76" s="311"/>
      <c r="D76" s="311"/>
      <c r="E76" s="311"/>
      <c r="F76" s="311"/>
      <c r="G76" s="311"/>
      <c r="H76" s="311"/>
      <c r="I76" s="311"/>
      <c r="J76" s="311"/>
      <c r="K76" s="311"/>
      <c r="L76" s="311"/>
      <c r="M76" s="58"/>
    </row>
    <row r="77" spans="2:13" s="59" customFormat="1" ht="13.5">
      <c r="B77" s="50"/>
      <c r="C77" s="54" t="s">
        <v>91</v>
      </c>
      <c r="D77" s="55" t="s">
        <v>389</v>
      </c>
      <c r="E77" s="56"/>
      <c r="F77" s="57"/>
      <c r="G77" s="57"/>
      <c r="H77" s="57"/>
      <c r="I77" s="57"/>
      <c r="J77" s="57"/>
      <c r="K77" s="57"/>
      <c r="L77" s="57"/>
      <c r="M77" s="52"/>
    </row>
    <row r="78" spans="2:13" s="59" customFormat="1" ht="13.5">
      <c r="B78" s="50"/>
      <c r="C78" s="311" t="s">
        <v>93</v>
      </c>
      <c r="D78" s="311"/>
      <c r="E78" s="311"/>
      <c r="F78" s="311"/>
      <c r="G78" s="311"/>
      <c r="H78" s="311"/>
      <c r="I78" s="311"/>
      <c r="J78" s="311"/>
      <c r="K78" s="311"/>
      <c r="L78" s="311"/>
      <c r="M78" s="52"/>
    </row>
    <row r="79" spans="2:13" s="59" customFormat="1" ht="13.5">
      <c r="B79" s="50"/>
      <c r="C79" s="311" t="s">
        <v>391</v>
      </c>
      <c r="D79" s="311"/>
      <c r="E79" s="311"/>
      <c r="F79" s="311"/>
      <c r="G79" s="311"/>
      <c r="H79" s="311"/>
      <c r="I79" s="311"/>
      <c r="J79" s="311"/>
      <c r="K79" s="311"/>
      <c r="L79" s="311"/>
      <c r="M79" s="52"/>
    </row>
    <row r="80" spans="2:13" s="59" customFormat="1" ht="13.5">
      <c r="B80" s="50"/>
      <c r="C80" s="311"/>
      <c r="D80" s="311"/>
      <c r="E80" s="311"/>
      <c r="F80" s="311"/>
      <c r="G80" s="311"/>
      <c r="H80" s="311"/>
      <c r="I80" s="311"/>
      <c r="J80" s="311"/>
      <c r="K80" s="311"/>
      <c r="L80" s="311"/>
      <c r="M80" s="52"/>
    </row>
    <row r="81" spans="2:13" s="59" customFormat="1" ht="13.5">
      <c r="B81" s="50"/>
      <c r="C81" s="311" t="s">
        <v>119</v>
      </c>
      <c r="D81" s="311"/>
      <c r="E81" s="311"/>
      <c r="F81" s="311"/>
      <c r="G81" s="311"/>
      <c r="H81" s="311"/>
      <c r="I81" s="311"/>
      <c r="J81" s="311"/>
      <c r="K81" s="311"/>
      <c r="L81" s="311"/>
      <c r="M81" s="52"/>
    </row>
    <row r="82" spans="2:13" s="59" customFormat="1" ht="13.5">
      <c r="B82" s="50"/>
      <c r="C82" s="311" t="s">
        <v>120</v>
      </c>
      <c r="D82" s="311" t="s">
        <v>121</v>
      </c>
      <c r="E82" s="311" t="s">
        <v>123</v>
      </c>
      <c r="F82" s="311" t="s">
        <v>125</v>
      </c>
      <c r="G82" s="311" t="s">
        <v>356</v>
      </c>
      <c r="H82" s="311"/>
      <c r="I82" s="311"/>
      <c r="J82" s="311"/>
      <c r="K82" s="311"/>
      <c r="L82" s="311"/>
      <c r="M82" s="52"/>
    </row>
    <row r="83" spans="2:13" s="59" customFormat="1" ht="13.5">
      <c r="B83" s="50"/>
      <c r="C83" s="311">
        <v>-2</v>
      </c>
      <c r="D83" s="311" t="s">
        <v>122</v>
      </c>
      <c r="E83" s="311" t="s">
        <v>485</v>
      </c>
      <c r="F83" s="311" t="s">
        <v>390</v>
      </c>
      <c r="G83" s="311" t="s">
        <v>358</v>
      </c>
      <c r="H83" s="311"/>
      <c r="I83" s="311"/>
      <c r="J83" s="311"/>
      <c r="K83" s="311"/>
      <c r="L83" s="311"/>
      <c r="M83" s="52"/>
    </row>
    <row r="84" spans="2:13" s="59" customFormat="1" ht="14" thickBot="1">
      <c r="B84" s="50"/>
      <c r="C84" s="311"/>
      <c r="D84" s="311"/>
      <c r="E84" s="311"/>
      <c r="F84" s="311"/>
      <c r="G84" s="311"/>
      <c r="H84" s="311"/>
      <c r="I84" s="311"/>
      <c r="J84" s="311"/>
      <c r="K84" s="311"/>
      <c r="L84" s="311"/>
      <c r="M84" s="52"/>
    </row>
    <row r="85" spans="2:13" s="59" customFormat="1" ht="13.5">
      <c r="B85" s="309" t="s">
        <v>392</v>
      </c>
      <c r="C85" s="44" t="s">
        <v>394</v>
      </c>
      <c r="D85" s="44"/>
      <c r="E85" s="44"/>
      <c r="F85" s="44"/>
      <c r="G85" s="44"/>
      <c r="H85" s="44"/>
      <c r="I85" s="44"/>
      <c r="J85" s="44"/>
      <c r="K85" s="44"/>
      <c r="L85" s="44"/>
      <c r="M85" s="45"/>
    </row>
    <row r="86" spans="2:13" s="59" customFormat="1" ht="13.5">
      <c r="B86" s="50"/>
      <c r="C86" s="311"/>
      <c r="D86" s="311"/>
      <c r="E86" s="311"/>
      <c r="F86" s="311"/>
      <c r="G86" s="311"/>
      <c r="H86" s="311"/>
      <c r="I86" s="311"/>
      <c r="J86" s="311"/>
      <c r="K86" s="311"/>
      <c r="L86" s="311"/>
      <c r="M86" s="52"/>
    </row>
    <row r="87" spans="2:13" s="59" customFormat="1" ht="13.5">
      <c r="B87" s="50"/>
      <c r="C87" s="54" t="s">
        <v>91</v>
      </c>
      <c r="D87" s="55" t="s">
        <v>395</v>
      </c>
      <c r="E87" s="56"/>
      <c r="F87" s="57"/>
      <c r="G87" s="57"/>
      <c r="H87" s="57"/>
      <c r="I87" s="57"/>
      <c r="J87" s="57"/>
      <c r="K87" s="57"/>
      <c r="L87" s="57"/>
      <c r="M87" s="52"/>
    </row>
    <row r="88" spans="2:13" s="59" customFormat="1" ht="13.5">
      <c r="B88" s="50"/>
      <c r="C88" s="311" t="s">
        <v>93</v>
      </c>
      <c r="D88" s="311"/>
      <c r="E88" s="311"/>
      <c r="F88" s="311"/>
      <c r="G88" s="311"/>
      <c r="H88" s="311"/>
      <c r="I88" s="311"/>
      <c r="J88" s="311"/>
      <c r="K88" s="311"/>
      <c r="L88" s="311"/>
      <c r="M88" s="52"/>
    </row>
    <row r="89" spans="2:13" s="59" customFormat="1" ht="13.5">
      <c r="B89" s="50"/>
      <c r="C89" s="311" t="s">
        <v>354</v>
      </c>
      <c r="D89" s="311"/>
      <c r="E89" s="311"/>
      <c r="F89" s="311"/>
      <c r="G89" s="311"/>
      <c r="H89" s="311"/>
      <c r="I89" s="311"/>
      <c r="J89" s="311"/>
      <c r="K89" s="311"/>
      <c r="L89" s="311"/>
      <c r="M89" s="52"/>
    </row>
    <row r="90" spans="2:13" s="59" customFormat="1" ht="13.5">
      <c r="B90" s="50"/>
      <c r="C90" s="311"/>
      <c r="D90" s="311"/>
      <c r="E90" s="311"/>
      <c r="F90" s="311"/>
      <c r="G90" s="311"/>
      <c r="H90" s="311"/>
      <c r="I90" s="311"/>
      <c r="J90" s="311"/>
      <c r="K90" s="311"/>
      <c r="L90" s="311"/>
      <c r="M90" s="52"/>
    </row>
    <row r="91" spans="2:13" s="59" customFormat="1" ht="13.5">
      <c r="B91" s="50"/>
      <c r="C91" s="311" t="s">
        <v>119</v>
      </c>
      <c r="D91" s="311"/>
      <c r="E91" s="311"/>
      <c r="F91" s="311"/>
      <c r="G91" s="311"/>
      <c r="H91" s="311"/>
      <c r="I91" s="311"/>
      <c r="J91" s="311"/>
      <c r="K91" s="311"/>
      <c r="L91" s="311"/>
      <c r="M91" s="52"/>
    </row>
    <row r="92" spans="2:13">
      <c r="B92" s="66"/>
      <c r="C92" s="311" t="s">
        <v>120</v>
      </c>
      <c r="D92" s="311" t="s">
        <v>121</v>
      </c>
      <c r="E92" s="311" t="s">
        <v>123</v>
      </c>
      <c r="F92" s="311" t="s">
        <v>125</v>
      </c>
      <c r="G92" s="311" t="s">
        <v>356</v>
      </c>
      <c r="H92" s="311"/>
      <c r="I92" s="311"/>
      <c r="J92" s="311"/>
      <c r="K92" s="311"/>
      <c r="L92" s="311"/>
      <c r="M92" s="58"/>
    </row>
    <row r="93" spans="2:13">
      <c r="B93" s="66"/>
      <c r="C93" s="311">
        <v>0</v>
      </c>
      <c r="D93" s="311"/>
      <c r="E93" s="311"/>
      <c r="F93" s="311"/>
      <c r="G93" s="311"/>
      <c r="H93" s="311"/>
      <c r="I93" s="311"/>
      <c r="J93" s="311"/>
      <c r="K93" s="311"/>
      <c r="L93" s="311"/>
      <c r="M93" s="58"/>
    </row>
    <row r="94" spans="2:13">
      <c r="B94" s="66"/>
      <c r="C94" s="311"/>
      <c r="D94" s="311"/>
      <c r="E94" s="311"/>
      <c r="F94" s="311"/>
      <c r="G94" s="311"/>
      <c r="H94" s="311"/>
      <c r="I94" s="311"/>
      <c r="J94" s="311"/>
      <c r="K94" s="311"/>
      <c r="L94" s="311"/>
      <c r="M94" s="58"/>
    </row>
    <row r="95" spans="2:13">
      <c r="B95" s="66"/>
      <c r="C95" s="54" t="s">
        <v>91</v>
      </c>
      <c r="D95" s="55" t="s">
        <v>396</v>
      </c>
      <c r="E95" s="56"/>
      <c r="F95" s="57"/>
      <c r="G95" s="57"/>
      <c r="H95" s="57"/>
      <c r="I95" s="57"/>
      <c r="J95" s="57"/>
      <c r="K95" s="57"/>
      <c r="L95" s="57"/>
      <c r="M95" s="58"/>
    </row>
    <row r="96" spans="2:13">
      <c r="B96" s="66"/>
      <c r="C96" s="311" t="s">
        <v>93</v>
      </c>
      <c r="D96" s="311"/>
      <c r="E96" s="311"/>
      <c r="F96" s="311"/>
      <c r="G96" s="311"/>
      <c r="H96" s="311"/>
      <c r="I96" s="311"/>
      <c r="J96" s="311"/>
      <c r="K96" s="311"/>
      <c r="L96" s="311"/>
      <c r="M96" s="58"/>
    </row>
    <row r="97" spans="2:13">
      <c r="B97" s="53"/>
      <c r="C97" s="311" t="s">
        <v>400</v>
      </c>
      <c r="D97" s="311"/>
      <c r="E97" s="311"/>
      <c r="F97" s="311"/>
      <c r="G97" s="311"/>
      <c r="H97" s="311"/>
      <c r="I97" s="311"/>
      <c r="J97" s="311"/>
      <c r="K97" s="311"/>
      <c r="L97" s="311"/>
      <c r="M97" s="58"/>
    </row>
    <row r="98" spans="2:13" s="59" customFormat="1" ht="13.5">
      <c r="B98" s="50"/>
      <c r="C98" s="311"/>
      <c r="D98" s="311"/>
      <c r="E98" s="311"/>
      <c r="F98" s="311"/>
      <c r="G98" s="311"/>
      <c r="H98" s="311"/>
      <c r="I98" s="311"/>
      <c r="J98" s="311"/>
      <c r="K98" s="311"/>
      <c r="L98" s="311"/>
      <c r="M98" s="52"/>
    </row>
    <row r="99" spans="2:13" s="59" customFormat="1" ht="13.5">
      <c r="B99" s="50"/>
      <c r="C99" s="311"/>
      <c r="D99" s="311"/>
      <c r="E99" s="311"/>
      <c r="F99" s="311"/>
      <c r="G99" s="311"/>
      <c r="H99" s="311"/>
      <c r="I99" s="311"/>
      <c r="J99" s="311"/>
      <c r="K99" s="311"/>
      <c r="L99" s="311"/>
      <c r="M99" s="52"/>
    </row>
    <row r="100" spans="2:13" s="59" customFormat="1" ht="13.5">
      <c r="B100" s="50"/>
      <c r="C100" s="311" t="s">
        <v>119</v>
      </c>
      <c r="D100" s="311"/>
      <c r="E100" s="311"/>
      <c r="F100" s="311"/>
      <c r="G100" s="311"/>
      <c r="H100" s="311"/>
      <c r="I100" s="311"/>
      <c r="J100" s="311"/>
      <c r="K100" s="311"/>
      <c r="L100" s="311"/>
      <c r="M100" s="52"/>
    </row>
    <row r="101" spans="2:13" s="59" customFormat="1" ht="13.5">
      <c r="B101" s="50"/>
      <c r="C101" s="311" t="s">
        <v>120</v>
      </c>
      <c r="D101" s="311" t="s">
        <v>121</v>
      </c>
      <c r="E101" s="311" t="s">
        <v>123</v>
      </c>
      <c r="F101" s="311" t="s">
        <v>125</v>
      </c>
      <c r="G101" s="311" t="s">
        <v>356</v>
      </c>
      <c r="H101" s="311"/>
      <c r="I101" s="311"/>
      <c r="J101" s="311"/>
      <c r="K101" s="311"/>
      <c r="L101" s="311"/>
      <c r="M101" s="52"/>
    </row>
    <row r="102" spans="2:13" s="59" customFormat="1" ht="13.5">
      <c r="B102" s="50"/>
      <c r="C102" s="311">
        <v>-2</v>
      </c>
      <c r="D102" s="311" t="s">
        <v>122</v>
      </c>
      <c r="E102" s="311" t="s">
        <v>488</v>
      </c>
      <c r="F102" s="311" t="s">
        <v>399</v>
      </c>
      <c r="G102" s="311" t="s">
        <v>358</v>
      </c>
      <c r="H102" s="311"/>
      <c r="I102" s="311"/>
      <c r="J102" s="311"/>
      <c r="K102" s="311"/>
      <c r="L102" s="311"/>
      <c r="M102" s="52"/>
    </row>
    <row r="103" spans="2:13" s="59" customFormat="1" ht="13.5">
      <c r="B103" s="50"/>
      <c r="C103" s="311"/>
      <c r="D103" s="311"/>
      <c r="E103" s="311"/>
      <c r="F103" s="311"/>
      <c r="G103" s="311"/>
      <c r="H103" s="311"/>
      <c r="I103" s="311"/>
      <c r="J103" s="311"/>
      <c r="K103" s="311"/>
      <c r="L103" s="311"/>
      <c r="M103" s="52"/>
    </row>
    <row r="104" spans="2:13" s="59" customFormat="1" ht="13.5">
      <c r="B104" s="50"/>
      <c r="C104" s="54" t="s">
        <v>91</v>
      </c>
      <c r="D104" s="55" t="s">
        <v>397</v>
      </c>
      <c r="E104" s="56"/>
      <c r="F104" s="57"/>
      <c r="G104" s="57"/>
      <c r="H104" s="57"/>
      <c r="I104" s="57"/>
      <c r="J104" s="57"/>
      <c r="K104" s="57"/>
      <c r="L104" s="57"/>
      <c r="M104" s="52"/>
    </row>
    <row r="105" spans="2:13" s="59" customFormat="1" ht="13.5">
      <c r="B105" s="50"/>
      <c r="C105" s="311" t="s">
        <v>93</v>
      </c>
      <c r="D105" s="311"/>
      <c r="E105" s="311"/>
      <c r="F105" s="311"/>
      <c r="G105" s="311"/>
      <c r="H105" s="311"/>
      <c r="I105" s="311"/>
      <c r="J105" s="311"/>
      <c r="K105" s="311"/>
      <c r="L105" s="311"/>
      <c r="M105" s="52"/>
    </row>
    <row r="106" spans="2:13" s="59" customFormat="1" ht="13.5">
      <c r="B106" s="50"/>
      <c r="C106" s="311" t="s">
        <v>401</v>
      </c>
      <c r="D106" s="311"/>
      <c r="E106" s="311"/>
      <c r="F106" s="311"/>
      <c r="G106" s="311"/>
      <c r="H106" s="311"/>
      <c r="I106" s="311"/>
      <c r="J106" s="311"/>
      <c r="K106" s="311"/>
      <c r="L106" s="311"/>
      <c r="M106" s="52"/>
    </row>
    <row r="107" spans="2:13" s="59" customFormat="1" ht="13.5">
      <c r="B107" s="50"/>
      <c r="C107" s="311"/>
      <c r="D107" s="311"/>
      <c r="E107" s="311"/>
      <c r="F107" s="311"/>
      <c r="G107" s="311"/>
      <c r="H107" s="311"/>
      <c r="I107" s="311"/>
      <c r="J107" s="311"/>
      <c r="K107" s="311"/>
      <c r="L107" s="311"/>
      <c r="M107" s="52"/>
    </row>
    <row r="108" spans="2:13" s="59" customFormat="1" ht="13.5">
      <c r="B108" s="50"/>
      <c r="C108" s="311" t="s">
        <v>119</v>
      </c>
      <c r="D108" s="311"/>
      <c r="E108" s="311"/>
      <c r="F108" s="311"/>
      <c r="G108" s="311"/>
      <c r="H108" s="311"/>
      <c r="I108" s="311"/>
      <c r="J108" s="311"/>
      <c r="K108" s="311"/>
      <c r="L108" s="311"/>
      <c r="M108" s="52"/>
    </row>
    <row r="109" spans="2:13" s="59" customFormat="1" ht="13.5">
      <c r="B109" s="50"/>
      <c r="C109" s="311" t="s">
        <v>120</v>
      </c>
      <c r="D109" s="311" t="s">
        <v>121</v>
      </c>
      <c r="E109" s="311" t="s">
        <v>123</v>
      </c>
      <c r="F109" s="311" t="s">
        <v>125</v>
      </c>
      <c r="G109" s="311" t="s">
        <v>356</v>
      </c>
      <c r="H109" s="311"/>
      <c r="I109" s="311"/>
      <c r="J109" s="311"/>
      <c r="K109" s="311"/>
      <c r="L109" s="311"/>
      <c r="M109" s="52"/>
    </row>
    <row r="110" spans="2:13" s="59" customFormat="1" ht="13.5">
      <c r="B110" s="50"/>
      <c r="C110" s="311">
        <v>-2</v>
      </c>
      <c r="D110" s="311" t="s">
        <v>122</v>
      </c>
      <c r="E110" s="311" t="s">
        <v>398</v>
      </c>
      <c r="F110" s="311" t="s">
        <v>399</v>
      </c>
      <c r="G110" s="311" t="s">
        <v>358</v>
      </c>
      <c r="H110" s="311"/>
      <c r="I110" s="311"/>
      <c r="J110" s="311"/>
      <c r="K110" s="311"/>
      <c r="L110" s="311"/>
      <c r="M110" s="52"/>
    </row>
    <row r="111" spans="2:13" s="59" customFormat="1" ht="14" thickBot="1">
      <c r="B111" s="50"/>
      <c r="C111" s="311"/>
      <c r="D111" s="311"/>
      <c r="E111" s="311"/>
      <c r="F111" s="311"/>
      <c r="G111" s="311"/>
      <c r="H111" s="311"/>
      <c r="I111" s="311"/>
      <c r="J111" s="311"/>
      <c r="K111" s="311"/>
      <c r="L111" s="311"/>
      <c r="M111" s="52"/>
    </row>
    <row r="112" spans="2:13" s="59" customFormat="1" ht="13.5">
      <c r="B112" s="309" t="s">
        <v>402</v>
      </c>
      <c r="C112" s="44" t="s">
        <v>404</v>
      </c>
      <c r="D112" s="44"/>
      <c r="E112" s="44"/>
      <c r="F112" s="44"/>
      <c r="G112" s="44"/>
      <c r="H112" s="44"/>
      <c r="I112" s="44"/>
      <c r="J112" s="44"/>
      <c r="K112" s="44"/>
      <c r="L112" s="44"/>
      <c r="M112" s="45"/>
    </row>
    <row r="113" spans="2:13">
      <c r="B113" s="66"/>
      <c r="C113" s="311"/>
      <c r="D113" s="311"/>
      <c r="E113" s="311"/>
      <c r="F113" s="311"/>
      <c r="G113" s="311"/>
      <c r="H113" s="311"/>
      <c r="I113" s="311"/>
      <c r="J113" s="311"/>
      <c r="K113" s="311"/>
      <c r="L113" s="311"/>
      <c r="M113" s="58"/>
    </row>
    <row r="114" spans="2:13">
      <c r="B114" s="66"/>
      <c r="C114" s="54" t="s">
        <v>91</v>
      </c>
      <c r="D114" s="55" t="s">
        <v>405</v>
      </c>
      <c r="E114" s="56"/>
      <c r="F114" s="57"/>
      <c r="G114" s="57"/>
      <c r="H114" s="57"/>
      <c r="I114" s="57"/>
      <c r="J114" s="57"/>
      <c r="K114" s="57"/>
      <c r="L114" s="57"/>
      <c r="M114" s="58"/>
    </row>
    <row r="115" spans="2:13">
      <c r="B115" s="66"/>
      <c r="C115" s="311" t="s">
        <v>93</v>
      </c>
      <c r="D115" s="311"/>
      <c r="E115" s="311"/>
      <c r="F115" s="311"/>
      <c r="G115" s="311"/>
      <c r="H115" s="311"/>
      <c r="I115" s="311"/>
      <c r="J115" s="311"/>
      <c r="K115" s="311"/>
      <c r="L115" s="311"/>
      <c r="M115" s="58"/>
    </row>
    <row r="116" spans="2:13">
      <c r="B116" s="66"/>
      <c r="C116" s="311" t="s">
        <v>354</v>
      </c>
      <c r="D116" s="311"/>
      <c r="E116" s="311"/>
      <c r="F116" s="311"/>
      <c r="G116" s="311"/>
      <c r="H116" s="311"/>
      <c r="I116" s="311"/>
      <c r="J116" s="311"/>
      <c r="K116" s="311"/>
      <c r="L116" s="311"/>
      <c r="M116" s="58"/>
    </row>
    <row r="117" spans="2:13">
      <c r="B117" s="66"/>
      <c r="C117" s="311"/>
      <c r="D117" s="311"/>
      <c r="E117" s="311"/>
      <c r="F117" s="311"/>
      <c r="G117" s="311"/>
      <c r="H117" s="311"/>
      <c r="I117" s="311"/>
      <c r="J117" s="311"/>
      <c r="K117" s="311"/>
      <c r="L117" s="311"/>
      <c r="M117" s="58"/>
    </row>
    <row r="118" spans="2:13">
      <c r="B118" s="66"/>
      <c r="C118" s="311" t="s">
        <v>119</v>
      </c>
      <c r="D118" s="311"/>
      <c r="E118" s="311"/>
      <c r="F118" s="311"/>
      <c r="G118" s="311"/>
      <c r="H118" s="311"/>
      <c r="I118" s="311"/>
      <c r="J118" s="311"/>
      <c r="K118" s="311"/>
      <c r="L118" s="311"/>
      <c r="M118" s="58"/>
    </row>
    <row r="119" spans="2:13">
      <c r="B119" s="66"/>
      <c r="C119" s="311" t="s">
        <v>120</v>
      </c>
      <c r="D119" s="311" t="s">
        <v>121</v>
      </c>
      <c r="E119" s="311" t="s">
        <v>123</v>
      </c>
      <c r="F119" s="311" t="s">
        <v>125</v>
      </c>
      <c r="G119" s="311" t="s">
        <v>356</v>
      </c>
      <c r="H119" s="311"/>
      <c r="I119" s="311"/>
      <c r="J119" s="311"/>
      <c r="K119" s="311"/>
      <c r="L119" s="311"/>
      <c r="M119" s="58"/>
    </row>
    <row r="120" spans="2:13">
      <c r="B120" s="53"/>
      <c r="C120" s="311">
        <v>0</v>
      </c>
      <c r="D120" s="311"/>
      <c r="E120" s="311"/>
      <c r="F120" s="311"/>
      <c r="G120" s="311"/>
      <c r="H120" s="311"/>
      <c r="I120" s="311"/>
      <c r="J120" s="311"/>
      <c r="K120" s="311"/>
      <c r="L120" s="311"/>
      <c r="M120" s="58"/>
    </row>
    <row r="121" spans="2:13">
      <c r="B121" s="53"/>
      <c r="C121" s="311"/>
      <c r="D121" s="311"/>
      <c r="E121" s="311"/>
      <c r="F121" s="311"/>
      <c r="G121" s="311"/>
      <c r="H121" s="311"/>
      <c r="I121" s="311"/>
      <c r="J121" s="311"/>
      <c r="K121" s="311"/>
      <c r="L121" s="311"/>
      <c r="M121" s="58"/>
    </row>
    <row r="122" spans="2:13" s="59" customFormat="1" ht="13.5">
      <c r="B122" s="50"/>
      <c r="C122" s="54" t="s">
        <v>91</v>
      </c>
      <c r="D122" s="55" t="s">
        <v>406</v>
      </c>
      <c r="E122" s="56"/>
      <c r="F122" s="57"/>
      <c r="G122" s="57"/>
      <c r="H122" s="57"/>
      <c r="I122" s="57"/>
      <c r="J122" s="57"/>
      <c r="K122" s="57"/>
      <c r="L122" s="57"/>
      <c r="M122" s="52"/>
    </row>
    <row r="123" spans="2:13" s="59" customFormat="1" ht="13.5">
      <c r="B123" s="50"/>
      <c r="C123" s="311" t="s">
        <v>93</v>
      </c>
      <c r="D123" s="311"/>
      <c r="E123" s="311"/>
      <c r="F123" s="311"/>
      <c r="G123" s="311"/>
      <c r="H123" s="311"/>
      <c r="I123" s="311"/>
      <c r="J123" s="311"/>
      <c r="K123" s="311"/>
      <c r="L123" s="311"/>
      <c r="M123" s="52"/>
    </row>
    <row r="124" spans="2:13" s="59" customFormat="1" ht="13.5">
      <c r="B124" s="50"/>
      <c r="C124" s="311" t="s">
        <v>411</v>
      </c>
      <c r="D124" s="311"/>
      <c r="E124" s="311"/>
      <c r="F124" s="311"/>
      <c r="G124" s="311"/>
      <c r="H124" s="311"/>
      <c r="I124" s="311"/>
      <c r="J124" s="311"/>
      <c r="K124" s="311"/>
      <c r="L124" s="311"/>
      <c r="M124" s="52"/>
    </row>
    <row r="125" spans="2:13" s="59" customFormat="1" ht="13.5">
      <c r="B125" s="50"/>
      <c r="C125" s="311"/>
      <c r="D125" s="311"/>
      <c r="E125" s="311"/>
      <c r="F125" s="311"/>
      <c r="G125" s="311"/>
      <c r="H125" s="311"/>
      <c r="I125" s="311"/>
      <c r="J125" s="311"/>
      <c r="K125" s="311"/>
      <c r="L125" s="311"/>
      <c r="M125" s="52"/>
    </row>
    <row r="126" spans="2:13" s="59" customFormat="1" ht="13.5">
      <c r="B126" s="50"/>
      <c r="C126" s="311" t="s">
        <v>119</v>
      </c>
      <c r="D126" s="311"/>
      <c r="E126" s="311"/>
      <c r="F126" s="311"/>
      <c r="G126" s="311"/>
      <c r="H126" s="311"/>
      <c r="I126" s="311"/>
      <c r="J126" s="311"/>
      <c r="K126" s="311"/>
      <c r="L126" s="311"/>
      <c r="M126" s="52"/>
    </row>
    <row r="127" spans="2:13" s="59" customFormat="1" ht="13.5">
      <c r="B127" s="50"/>
      <c r="C127" s="311" t="s">
        <v>120</v>
      </c>
      <c r="D127" s="311" t="s">
        <v>121</v>
      </c>
      <c r="E127" s="311" t="s">
        <v>123</v>
      </c>
      <c r="F127" s="311" t="s">
        <v>125</v>
      </c>
      <c r="G127" s="311" t="s">
        <v>356</v>
      </c>
      <c r="H127" s="311"/>
      <c r="I127" s="311"/>
      <c r="J127" s="311"/>
      <c r="K127" s="311"/>
      <c r="L127" s="311"/>
      <c r="M127" s="52"/>
    </row>
    <row r="128" spans="2:13" s="59" customFormat="1" ht="13.5">
      <c r="B128" s="50"/>
      <c r="C128" s="311">
        <v>-2</v>
      </c>
      <c r="D128" s="311" t="s">
        <v>122</v>
      </c>
      <c r="E128" s="311" t="s">
        <v>490</v>
      </c>
      <c r="F128" s="311" t="s">
        <v>409</v>
      </c>
      <c r="G128" s="311" t="s">
        <v>358</v>
      </c>
      <c r="H128" s="311"/>
      <c r="I128" s="311"/>
      <c r="J128" s="311"/>
      <c r="K128" s="311"/>
      <c r="L128" s="311"/>
      <c r="M128" s="52"/>
    </row>
    <row r="129" spans="2:13" s="59" customFormat="1" ht="13.5">
      <c r="B129" s="50"/>
      <c r="C129" s="311"/>
      <c r="D129" s="311"/>
      <c r="E129" s="311"/>
      <c r="F129" s="311"/>
      <c r="G129" s="311"/>
      <c r="H129" s="311"/>
      <c r="I129" s="311"/>
      <c r="J129" s="311"/>
      <c r="K129" s="311"/>
      <c r="L129" s="311"/>
      <c r="M129" s="52"/>
    </row>
    <row r="130" spans="2:13" s="59" customFormat="1" ht="13.5">
      <c r="B130" s="50"/>
      <c r="C130" s="54" t="s">
        <v>91</v>
      </c>
      <c r="D130" s="55" t="s">
        <v>407</v>
      </c>
      <c r="E130" s="56"/>
      <c r="F130" s="57"/>
      <c r="G130" s="57"/>
      <c r="H130" s="57"/>
      <c r="I130" s="57"/>
      <c r="J130" s="57"/>
      <c r="K130" s="57"/>
      <c r="L130" s="57"/>
      <c r="M130" s="52"/>
    </row>
    <row r="131" spans="2:13" s="59" customFormat="1" ht="13.5">
      <c r="B131" s="50"/>
      <c r="C131" s="311" t="s">
        <v>93</v>
      </c>
      <c r="D131" s="311"/>
      <c r="E131" s="311"/>
      <c r="F131" s="311"/>
      <c r="G131" s="311"/>
      <c r="H131" s="311"/>
      <c r="I131" s="311"/>
      <c r="J131" s="311"/>
      <c r="K131" s="311"/>
      <c r="L131" s="311"/>
      <c r="M131" s="52"/>
    </row>
    <row r="132" spans="2:13" s="59" customFormat="1" ht="13.5">
      <c r="B132" s="50"/>
      <c r="C132" s="311" t="s">
        <v>410</v>
      </c>
      <c r="D132" s="311"/>
      <c r="E132" s="311"/>
      <c r="F132" s="311"/>
      <c r="G132" s="311"/>
      <c r="H132" s="311"/>
      <c r="I132" s="311"/>
      <c r="J132" s="311"/>
      <c r="K132" s="311"/>
      <c r="L132" s="311"/>
      <c r="M132" s="52"/>
    </row>
    <row r="133" spans="2:13" s="59" customFormat="1" ht="13.5">
      <c r="B133" s="50"/>
      <c r="C133" s="311"/>
      <c r="D133" s="311"/>
      <c r="E133" s="311"/>
      <c r="F133" s="311"/>
      <c r="G133" s="311"/>
      <c r="H133" s="311"/>
      <c r="I133" s="311"/>
      <c r="J133" s="311"/>
      <c r="K133" s="311"/>
      <c r="L133" s="311"/>
      <c r="M133" s="52"/>
    </row>
    <row r="134" spans="2:13" s="59" customFormat="1" ht="13.5">
      <c r="B134" s="50"/>
      <c r="C134" s="311" t="s">
        <v>119</v>
      </c>
      <c r="D134" s="311"/>
      <c r="E134" s="311"/>
      <c r="F134" s="311"/>
      <c r="G134" s="311"/>
      <c r="H134" s="311"/>
      <c r="I134" s="311"/>
      <c r="J134" s="311"/>
      <c r="K134" s="311"/>
      <c r="L134" s="311"/>
      <c r="M134" s="52"/>
    </row>
    <row r="135" spans="2:13" s="59" customFormat="1" ht="13.5">
      <c r="B135" s="50"/>
      <c r="C135" s="311" t="s">
        <v>120</v>
      </c>
      <c r="D135" s="311" t="s">
        <v>121</v>
      </c>
      <c r="E135" s="311" t="s">
        <v>123</v>
      </c>
      <c r="F135" s="311" t="s">
        <v>125</v>
      </c>
      <c r="G135" s="311" t="s">
        <v>356</v>
      </c>
      <c r="H135" s="311"/>
      <c r="I135" s="311"/>
      <c r="J135" s="311"/>
      <c r="K135" s="311"/>
      <c r="L135" s="311"/>
      <c r="M135" s="52"/>
    </row>
    <row r="136" spans="2:13" s="59" customFormat="1" ht="13.5">
      <c r="B136" s="50"/>
      <c r="C136" s="311">
        <v>-2</v>
      </c>
      <c r="D136" s="311" t="s">
        <v>122</v>
      </c>
      <c r="E136" s="311" t="s">
        <v>408</v>
      </c>
      <c r="F136" s="311" t="s">
        <v>409</v>
      </c>
      <c r="G136" s="311" t="s">
        <v>358</v>
      </c>
      <c r="H136" s="311"/>
      <c r="I136" s="311"/>
      <c r="J136" s="311"/>
      <c r="K136" s="311"/>
      <c r="L136" s="311"/>
      <c r="M136" s="52"/>
    </row>
    <row r="137" spans="2:13" ht="15.5" thickBot="1">
      <c r="B137" s="66"/>
      <c r="C137" s="311"/>
      <c r="D137" s="311"/>
      <c r="E137" s="311"/>
      <c r="F137" s="311"/>
      <c r="G137" s="311"/>
      <c r="H137" s="311"/>
      <c r="I137" s="311"/>
      <c r="J137" s="311"/>
      <c r="K137" s="311"/>
      <c r="L137" s="311"/>
      <c r="M137" s="58"/>
    </row>
    <row r="138" spans="2:13" s="59" customFormat="1" ht="13.5">
      <c r="B138" s="309" t="s">
        <v>413</v>
      </c>
      <c r="C138" s="44" t="s">
        <v>414</v>
      </c>
      <c r="D138" s="44"/>
      <c r="E138" s="44"/>
      <c r="F138" s="44"/>
      <c r="G138" s="44"/>
      <c r="H138" s="44"/>
      <c r="I138" s="44"/>
      <c r="J138" s="44"/>
      <c r="K138" s="44"/>
      <c r="L138" s="44"/>
      <c r="M138" s="45"/>
    </row>
    <row r="139" spans="2:13">
      <c r="B139" s="66"/>
      <c r="C139" s="311"/>
      <c r="D139" s="311"/>
      <c r="E139" s="311"/>
      <c r="F139" s="311"/>
      <c r="G139" s="311"/>
      <c r="H139" s="311"/>
      <c r="I139" s="311"/>
      <c r="J139" s="311"/>
      <c r="K139" s="311"/>
      <c r="L139" s="311"/>
      <c r="M139" s="58"/>
    </row>
    <row r="140" spans="2:13">
      <c r="B140" s="66"/>
      <c r="C140" s="54" t="s">
        <v>91</v>
      </c>
      <c r="D140" s="55" t="s">
        <v>415</v>
      </c>
      <c r="E140" s="56"/>
      <c r="F140" s="57"/>
      <c r="G140" s="57"/>
      <c r="H140" s="57"/>
      <c r="I140" s="57"/>
      <c r="J140" s="57"/>
      <c r="K140" s="57"/>
      <c r="L140" s="57"/>
      <c r="M140" s="58"/>
    </row>
    <row r="141" spans="2:13">
      <c r="B141" s="66"/>
      <c r="C141" s="311" t="s">
        <v>93</v>
      </c>
      <c r="D141" s="311"/>
      <c r="E141" s="311"/>
      <c r="F141" s="311"/>
      <c r="G141" s="311"/>
      <c r="H141" s="311"/>
      <c r="I141" s="311"/>
      <c r="J141" s="311"/>
      <c r="K141" s="311"/>
      <c r="L141" s="311"/>
      <c r="M141" s="58"/>
    </row>
    <row r="142" spans="2:13">
      <c r="B142" s="66"/>
      <c r="C142" s="311" t="s">
        <v>354</v>
      </c>
      <c r="D142" s="311"/>
      <c r="E142" s="311"/>
      <c r="F142" s="311"/>
      <c r="G142" s="311"/>
      <c r="H142" s="311"/>
      <c r="I142" s="311"/>
      <c r="J142" s="311"/>
      <c r="K142" s="311"/>
      <c r="L142" s="311"/>
      <c r="M142" s="58"/>
    </row>
    <row r="143" spans="2:13">
      <c r="B143" s="66"/>
      <c r="C143" s="311"/>
      <c r="D143" s="311"/>
      <c r="E143" s="311"/>
      <c r="F143" s="311"/>
      <c r="G143" s="311"/>
      <c r="H143" s="311"/>
      <c r="I143" s="311"/>
      <c r="J143" s="311"/>
      <c r="K143" s="311"/>
      <c r="L143" s="311"/>
      <c r="M143" s="58"/>
    </row>
    <row r="144" spans="2:13">
      <c r="B144" s="53"/>
      <c r="C144" s="311" t="s">
        <v>119</v>
      </c>
      <c r="D144" s="311"/>
      <c r="E144" s="311"/>
      <c r="F144" s="311"/>
      <c r="G144" s="311"/>
      <c r="H144" s="311"/>
      <c r="I144" s="311"/>
      <c r="J144" s="311"/>
      <c r="K144" s="311"/>
      <c r="L144" s="311"/>
      <c r="M144" s="58"/>
    </row>
    <row r="145" spans="2:13" s="59" customFormat="1" ht="13.5">
      <c r="B145" s="50"/>
      <c r="C145" s="311" t="s">
        <v>120</v>
      </c>
      <c r="D145" s="311" t="s">
        <v>121</v>
      </c>
      <c r="E145" s="311" t="s">
        <v>123</v>
      </c>
      <c r="F145" s="311" t="s">
        <v>125</v>
      </c>
      <c r="G145" s="311" t="s">
        <v>356</v>
      </c>
      <c r="H145" s="311"/>
      <c r="I145" s="311"/>
      <c r="J145" s="311"/>
      <c r="K145" s="311"/>
      <c r="L145" s="311"/>
      <c r="M145" s="52"/>
    </row>
    <row r="146" spans="2:13" s="59" customFormat="1" ht="13.5">
      <c r="B146" s="50"/>
      <c r="C146" s="311">
        <v>0</v>
      </c>
      <c r="D146" s="311"/>
      <c r="E146" s="311"/>
      <c r="F146" s="311"/>
      <c r="G146" s="311"/>
      <c r="H146" s="311"/>
      <c r="I146" s="311"/>
      <c r="J146" s="311"/>
      <c r="K146" s="311"/>
      <c r="L146" s="311"/>
      <c r="M146" s="52"/>
    </row>
    <row r="147" spans="2:13" s="59" customFormat="1" ht="13.5">
      <c r="B147" s="50"/>
      <c r="C147" s="311"/>
      <c r="D147" s="311"/>
      <c r="E147" s="311"/>
      <c r="F147" s="311"/>
      <c r="G147" s="311"/>
      <c r="H147" s="311"/>
      <c r="I147" s="311"/>
      <c r="J147" s="311"/>
      <c r="K147" s="311"/>
      <c r="L147" s="311"/>
      <c r="M147" s="52"/>
    </row>
    <row r="148" spans="2:13" s="59" customFormat="1" ht="13.5">
      <c r="B148" s="50"/>
      <c r="C148" s="54" t="s">
        <v>91</v>
      </c>
      <c r="D148" s="55" t="s">
        <v>416</v>
      </c>
      <c r="E148" s="56"/>
      <c r="F148" s="57"/>
      <c r="G148" s="57"/>
      <c r="H148" s="57"/>
      <c r="I148" s="57"/>
      <c r="J148" s="57"/>
      <c r="K148" s="57"/>
      <c r="L148" s="57"/>
      <c r="M148" s="52"/>
    </row>
    <row r="149" spans="2:13" s="59" customFormat="1" ht="13.5">
      <c r="B149" s="50"/>
      <c r="C149" s="311" t="s">
        <v>93</v>
      </c>
      <c r="D149" s="311"/>
      <c r="E149" s="311"/>
      <c r="F149" s="311"/>
      <c r="G149" s="311"/>
      <c r="H149" s="311"/>
      <c r="I149" s="311"/>
      <c r="J149" s="311"/>
      <c r="K149" s="311"/>
      <c r="L149" s="311"/>
      <c r="M149" s="52"/>
    </row>
    <row r="150" spans="2:13" s="59" customFormat="1" ht="13.5">
      <c r="B150" s="50"/>
      <c r="C150" s="311" t="s">
        <v>420</v>
      </c>
      <c r="D150" s="311"/>
      <c r="E150" s="311"/>
      <c r="F150" s="311"/>
      <c r="G150" s="311"/>
      <c r="H150" s="311"/>
      <c r="I150" s="311"/>
      <c r="J150" s="311"/>
      <c r="K150" s="311"/>
      <c r="L150" s="311"/>
      <c r="M150" s="52"/>
    </row>
    <row r="151" spans="2:13" s="59" customFormat="1" ht="13.5">
      <c r="B151" s="50"/>
      <c r="C151" s="311"/>
      <c r="D151" s="311"/>
      <c r="E151" s="311"/>
      <c r="F151" s="311"/>
      <c r="G151" s="311"/>
      <c r="H151" s="311"/>
      <c r="I151" s="311"/>
      <c r="J151" s="311"/>
      <c r="K151" s="311"/>
      <c r="L151" s="311"/>
      <c r="M151" s="52"/>
    </row>
    <row r="152" spans="2:13" s="59" customFormat="1" ht="13.5">
      <c r="B152" s="50"/>
      <c r="C152" s="311" t="s">
        <v>119</v>
      </c>
      <c r="D152" s="311"/>
      <c r="E152" s="311"/>
      <c r="F152" s="311"/>
      <c r="G152" s="311"/>
      <c r="H152" s="311"/>
      <c r="I152" s="311"/>
      <c r="J152" s="311"/>
      <c r="K152" s="311"/>
      <c r="L152" s="311"/>
      <c r="M152" s="52"/>
    </row>
    <row r="153" spans="2:13" s="59" customFormat="1" ht="13.5">
      <c r="B153" s="50"/>
      <c r="C153" s="311" t="s">
        <v>360</v>
      </c>
      <c r="D153" s="311" t="s">
        <v>361</v>
      </c>
      <c r="E153" s="311" t="s">
        <v>171</v>
      </c>
      <c r="F153" s="311" t="s">
        <v>362</v>
      </c>
      <c r="G153" s="311" t="s">
        <v>363</v>
      </c>
      <c r="H153" s="311"/>
      <c r="I153" s="311"/>
      <c r="J153" s="311"/>
      <c r="K153" s="311"/>
      <c r="L153" s="311"/>
      <c r="M153" s="52"/>
    </row>
    <row r="154" spans="2:13" s="59" customFormat="1" ht="13.5">
      <c r="B154" s="50"/>
      <c r="C154" s="311">
        <v>-2</v>
      </c>
      <c r="D154" s="311" t="s">
        <v>364</v>
      </c>
      <c r="E154" s="311" t="s">
        <v>421</v>
      </c>
      <c r="F154" s="311" t="s">
        <v>422</v>
      </c>
      <c r="G154" s="311" t="s">
        <v>80</v>
      </c>
      <c r="H154" s="311"/>
      <c r="I154" s="311"/>
      <c r="J154" s="311"/>
      <c r="K154" s="311"/>
      <c r="L154" s="311"/>
      <c r="M154" s="52"/>
    </row>
    <row r="155" spans="2:13" s="59" customFormat="1" ht="13.5">
      <c r="B155" s="50"/>
      <c r="C155" s="311"/>
      <c r="D155" s="311"/>
      <c r="E155" s="311"/>
      <c r="F155" s="311"/>
      <c r="G155" s="311"/>
      <c r="H155" s="311"/>
      <c r="I155" s="311"/>
      <c r="J155" s="311"/>
      <c r="K155" s="311"/>
      <c r="L155" s="311"/>
      <c r="M155" s="52"/>
    </row>
    <row r="156" spans="2:13" s="59" customFormat="1" ht="13.5">
      <c r="B156" s="50"/>
      <c r="C156" s="54" t="s">
        <v>91</v>
      </c>
      <c r="D156" s="55" t="s">
        <v>73</v>
      </c>
      <c r="E156" s="56"/>
      <c r="F156" s="57"/>
      <c r="G156" s="57"/>
      <c r="H156" s="57"/>
      <c r="I156" s="57"/>
      <c r="J156" s="57"/>
      <c r="K156" s="57"/>
      <c r="L156" s="57"/>
      <c r="M156" s="52"/>
    </row>
    <row r="157" spans="2:13" s="59" customFormat="1" ht="13.5">
      <c r="B157" s="50"/>
      <c r="C157" s="311" t="s">
        <v>93</v>
      </c>
      <c r="D157" s="311"/>
      <c r="E157" s="311"/>
      <c r="F157" s="311"/>
      <c r="G157" s="311"/>
      <c r="H157" s="311"/>
      <c r="I157" s="311"/>
      <c r="J157" s="311"/>
      <c r="K157" s="311"/>
      <c r="L157" s="311"/>
      <c r="M157" s="52"/>
    </row>
    <row r="158" spans="2:13" s="59" customFormat="1" ht="13.5">
      <c r="B158" s="50"/>
      <c r="C158" s="311" t="s">
        <v>423</v>
      </c>
      <c r="D158" s="311"/>
      <c r="E158" s="311"/>
      <c r="F158" s="311"/>
      <c r="G158" s="311"/>
      <c r="H158" s="311"/>
      <c r="I158" s="311"/>
      <c r="J158" s="311"/>
      <c r="K158" s="311"/>
      <c r="L158" s="311"/>
      <c r="M158" s="52"/>
    </row>
    <row r="159" spans="2:13" s="59" customFormat="1" ht="13.5">
      <c r="B159" s="50"/>
      <c r="C159" s="311"/>
      <c r="D159" s="311"/>
      <c r="E159" s="311"/>
      <c r="F159" s="311"/>
      <c r="G159" s="311"/>
      <c r="H159" s="311"/>
      <c r="I159" s="311"/>
      <c r="J159" s="311"/>
      <c r="K159" s="311"/>
      <c r="L159" s="311"/>
      <c r="M159" s="52"/>
    </row>
    <row r="160" spans="2:13" s="59" customFormat="1" ht="13.5">
      <c r="B160" s="50"/>
      <c r="C160" s="311" t="s">
        <v>119</v>
      </c>
      <c r="D160" s="311"/>
      <c r="E160" s="311"/>
      <c r="F160" s="311"/>
      <c r="G160" s="311"/>
      <c r="H160" s="311"/>
      <c r="I160" s="311"/>
      <c r="J160" s="311"/>
      <c r="K160" s="311"/>
      <c r="L160" s="311"/>
      <c r="M160" s="52"/>
    </row>
    <row r="161" spans="2:13">
      <c r="B161" s="66"/>
      <c r="C161" s="311" t="s">
        <v>120</v>
      </c>
      <c r="D161" s="311" t="s">
        <v>121</v>
      </c>
      <c r="E161" s="311" t="s">
        <v>123</v>
      </c>
      <c r="F161" s="311" t="s">
        <v>125</v>
      </c>
      <c r="G161" s="311" t="s">
        <v>356</v>
      </c>
      <c r="H161" s="311"/>
      <c r="I161" s="311"/>
      <c r="J161" s="311"/>
      <c r="K161" s="311"/>
      <c r="L161" s="311"/>
      <c r="M161" s="58"/>
    </row>
    <row r="162" spans="2:13">
      <c r="B162" s="66"/>
      <c r="C162" s="311">
        <v>-2</v>
      </c>
      <c r="D162" s="311" t="s">
        <v>122</v>
      </c>
      <c r="E162" s="311" t="s">
        <v>418</v>
      </c>
      <c r="F162" s="311" t="s">
        <v>419</v>
      </c>
      <c r="G162" s="311" t="s">
        <v>358</v>
      </c>
      <c r="H162" s="311"/>
      <c r="I162" s="311"/>
      <c r="J162" s="311"/>
      <c r="K162" s="311"/>
      <c r="L162" s="311"/>
      <c r="M162" s="58"/>
    </row>
    <row r="163" spans="2:13" ht="15.5" thickBot="1">
      <c r="B163" s="66"/>
      <c r="C163" s="311"/>
      <c r="D163" s="311"/>
      <c r="E163" s="311"/>
      <c r="F163" s="311"/>
      <c r="G163" s="311"/>
      <c r="H163" s="311"/>
      <c r="I163" s="311"/>
      <c r="J163" s="311"/>
      <c r="K163" s="311"/>
      <c r="L163" s="311"/>
      <c r="M163" s="58"/>
    </row>
    <row r="164" spans="2:13" s="59" customFormat="1" ht="13.5">
      <c r="B164" s="309" t="s">
        <v>426</v>
      </c>
      <c r="C164" s="44" t="s">
        <v>425</v>
      </c>
      <c r="D164" s="44"/>
      <c r="E164" s="44"/>
      <c r="F164" s="44"/>
      <c r="G164" s="44"/>
      <c r="H164" s="44"/>
      <c r="I164" s="44"/>
      <c r="J164" s="44"/>
      <c r="K164" s="44"/>
      <c r="L164" s="44"/>
      <c r="M164" s="45"/>
    </row>
    <row r="165" spans="2:13">
      <c r="B165" s="66"/>
      <c r="C165" s="311"/>
      <c r="D165" s="311"/>
      <c r="E165" s="311"/>
      <c r="F165" s="311"/>
      <c r="G165" s="311"/>
      <c r="H165" s="311"/>
      <c r="I165" s="311"/>
      <c r="J165" s="311"/>
      <c r="K165" s="311"/>
      <c r="L165" s="311"/>
      <c r="M165" s="58"/>
    </row>
    <row r="166" spans="2:13">
      <c r="B166" s="66"/>
      <c r="C166" s="54" t="s">
        <v>91</v>
      </c>
      <c r="D166" s="55" t="s">
        <v>427</v>
      </c>
      <c r="E166" s="56"/>
      <c r="F166" s="57"/>
      <c r="G166" s="57"/>
      <c r="H166" s="57"/>
      <c r="I166" s="57"/>
      <c r="J166" s="57"/>
      <c r="K166" s="57"/>
      <c r="L166" s="57"/>
      <c r="M166" s="58"/>
    </row>
    <row r="167" spans="2:13">
      <c r="B167" s="66"/>
      <c r="C167" s="311" t="s">
        <v>93</v>
      </c>
      <c r="D167" s="311"/>
      <c r="E167" s="311"/>
      <c r="F167" s="311"/>
      <c r="G167" s="311"/>
      <c r="H167" s="311"/>
      <c r="I167" s="311"/>
      <c r="J167" s="311"/>
      <c r="K167" s="311"/>
      <c r="L167" s="311"/>
      <c r="M167" s="58"/>
    </row>
    <row r="168" spans="2:13">
      <c r="B168" s="53"/>
      <c r="C168" s="311" t="s">
        <v>354</v>
      </c>
      <c r="D168" s="311"/>
      <c r="E168" s="311"/>
      <c r="F168" s="311"/>
      <c r="G168" s="311"/>
      <c r="H168" s="311"/>
      <c r="I168" s="311"/>
      <c r="J168" s="311"/>
      <c r="K168" s="311"/>
      <c r="L168" s="311"/>
      <c r="M168" s="58"/>
    </row>
    <row r="169" spans="2:13">
      <c r="B169" s="53"/>
      <c r="C169" s="311"/>
      <c r="D169" s="311"/>
      <c r="E169" s="311"/>
      <c r="F169" s="311"/>
      <c r="G169" s="311"/>
      <c r="H169" s="311"/>
      <c r="I169" s="311"/>
      <c r="J169" s="311"/>
      <c r="K169" s="311"/>
      <c r="L169" s="311"/>
      <c r="M169" s="58"/>
    </row>
    <row r="170" spans="2:13" s="59" customFormat="1" ht="13.5">
      <c r="B170" s="50"/>
      <c r="C170" s="311" t="s">
        <v>119</v>
      </c>
      <c r="D170" s="311"/>
      <c r="E170" s="311"/>
      <c r="F170" s="311"/>
      <c r="G170" s="311"/>
      <c r="H170" s="311"/>
      <c r="I170" s="311"/>
      <c r="J170" s="311"/>
      <c r="K170" s="311"/>
      <c r="L170" s="311"/>
      <c r="M170" s="52"/>
    </row>
    <row r="171" spans="2:13" s="59" customFormat="1" ht="13.5">
      <c r="B171" s="50"/>
      <c r="C171" s="311" t="s">
        <v>120</v>
      </c>
      <c r="D171" s="311" t="s">
        <v>121</v>
      </c>
      <c r="E171" s="311" t="s">
        <v>123</v>
      </c>
      <c r="F171" s="311" t="s">
        <v>125</v>
      </c>
      <c r="G171" s="311" t="s">
        <v>356</v>
      </c>
      <c r="H171" s="311"/>
      <c r="I171" s="311"/>
      <c r="J171" s="311"/>
      <c r="K171" s="311"/>
      <c r="L171" s="311"/>
      <c r="M171" s="52"/>
    </row>
    <row r="172" spans="2:13" s="59" customFormat="1" ht="13.5">
      <c r="B172" s="50"/>
      <c r="C172" s="311">
        <v>0</v>
      </c>
      <c r="D172" s="311"/>
      <c r="E172" s="311"/>
      <c r="F172" s="311"/>
      <c r="G172" s="311"/>
      <c r="H172" s="311"/>
      <c r="I172" s="311"/>
      <c r="J172" s="311"/>
      <c r="K172" s="311"/>
      <c r="L172" s="311"/>
      <c r="M172" s="52"/>
    </row>
    <row r="173" spans="2:13" s="59" customFormat="1" ht="13.5">
      <c r="B173" s="50"/>
      <c r="C173" s="311"/>
      <c r="D173" s="311"/>
      <c r="E173" s="311"/>
      <c r="F173" s="311"/>
      <c r="G173" s="311"/>
      <c r="H173" s="311"/>
      <c r="I173" s="311"/>
      <c r="J173" s="311"/>
      <c r="K173" s="311"/>
      <c r="L173" s="311"/>
      <c r="M173" s="52"/>
    </row>
    <row r="174" spans="2:13" s="59" customFormat="1" ht="13.5">
      <c r="B174" s="50"/>
      <c r="C174" s="54" t="s">
        <v>91</v>
      </c>
      <c r="D174" s="55" t="s">
        <v>428</v>
      </c>
      <c r="E174" s="56"/>
      <c r="F174" s="57"/>
      <c r="G174" s="57"/>
      <c r="H174" s="57"/>
      <c r="I174" s="57"/>
      <c r="J174" s="57"/>
      <c r="K174" s="57"/>
      <c r="L174" s="57"/>
      <c r="M174" s="52"/>
    </row>
    <row r="175" spans="2:13" s="59" customFormat="1" ht="13.5">
      <c r="B175" s="50"/>
      <c r="C175" s="311" t="s">
        <v>93</v>
      </c>
      <c r="D175" s="311"/>
      <c r="E175" s="311"/>
      <c r="F175" s="311"/>
      <c r="G175" s="311"/>
      <c r="H175" s="311"/>
      <c r="I175" s="311"/>
      <c r="J175" s="311"/>
      <c r="K175" s="311"/>
      <c r="L175" s="311"/>
      <c r="M175" s="52"/>
    </row>
    <row r="176" spans="2:13" s="59" customFormat="1" ht="13.5">
      <c r="B176" s="50"/>
      <c r="C176" s="311" t="s">
        <v>434</v>
      </c>
      <c r="D176" s="311"/>
      <c r="E176" s="311"/>
      <c r="F176" s="311"/>
      <c r="G176" s="311"/>
      <c r="H176" s="311"/>
      <c r="I176" s="311"/>
      <c r="J176" s="311"/>
      <c r="K176" s="311"/>
      <c r="L176" s="311"/>
      <c r="M176" s="52"/>
    </row>
    <row r="177" spans="2:13" s="59" customFormat="1" ht="13.5">
      <c r="B177" s="50"/>
      <c r="C177" s="311"/>
      <c r="D177" s="311"/>
      <c r="E177" s="311"/>
      <c r="F177" s="311"/>
      <c r="G177" s="311"/>
      <c r="H177" s="311"/>
      <c r="I177" s="311"/>
      <c r="J177" s="311"/>
      <c r="K177" s="311"/>
      <c r="L177" s="311"/>
      <c r="M177" s="52"/>
    </row>
    <row r="178" spans="2:13" s="59" customFormat="1" ht="13.5">
      <c r="B178" s="50"/>
      <c r="C178" s="311" t="s">
        <v>119</v>
      </c>
      <c r="D178" s="311"/>
      <c r="E178" s="311"/>
      <c r="F178" s="311"/>
      <c r="G178" s="311"/>
      <c r="H178" s="311"/>
      <c r="I178" s="311"/>
      <c r="J178" s="311"/>
      <c r="K178" s="311"/>
      <c r="L178" s="311"/>
      <c r="M178" s="52"/>
    </row>
    <row r="179" spans="2:13" s="59" customFormat="1" ht="13.5">
      <c r="B179" s="50"/>
      <c r="C179" s="311" t="s">
        <v>120</v>
      </c>
      <c r="D179" s="311" t="s">
        <v>121</v>
      </c>
      <c r="E179" s="311" t="s">
        <v>123</v>
      </c>
      <c r="F179" s="311" t="s">
        <v>125</v>
      </c>
      <c r="G179" s="311" t="s">
        <v>356</v>
      </c>
      <c r="H179" s="311"/>
      <c r="I179" s="311"/>
      <c r="J179" s="311"/>
      <c r="K179" s="311"/>
      <c r="L179" s="311"/>
      <c r="M179" s="52"/>
    </row>
    <row r="180" spans="2:13" s="59" customFormat="1" ht="13.5">
      <c r="B180" s="50"/>
      <c r="C180" s="311">
        <v>-2</v>
      </c>
      <c r="D180" s="311" t="s">
        <v>122</v>
      </c>
      <c r="E180" s="311" t="s">
        <v>493</v>
      </c>
      <c r="F180" s="311" t="s">
        <v>433</v>
      </c>
      <c r="G180" s="311" t="s">
        <v>358</v>
      </c>
      <c r="H180" s="311"/>
      <c r="I180" s="311"/>
      <c r="J180" s="311"/>
      <c r="K180" s="311"/>
      <c r="L180" s="311"/>
      <c r="M180" s="52"/>
    </row>
    <row r="181" spans="2:13" s="59" customFormat="1" ht="13.5">
      <c r="B181" s="50"/>
      <c r="C181" s="311"/>
      <c r="D181" s="311"/>
      <c r="E181" s="311"/>
      <c r="F181" s="311"/>
      <c r="G181" s="311"/>
      <c r="H181" s="311"/>
      <c r="I181" s="311"/>
      <c r="J181" s="311"/>
      <c r="K181" s="311"/>
      <c r="L181" s="311"/>
      <c r="M181" s="52"/>
    </row>
    <row r="182" spans="2:13" s="59" customFormat="1" ht="13.5">
      <c r="B182" s="50"/>
      <c r="C182" s="54" t="s">
        <v>91</v>
      </c>
      <c r="D182" s="55" t="s">
        <v>429</v>
      </c>
      <c r="E182" s="56"/>
      <c r="F182" s="57"/>
      <c r="G182" s="57"/>
      <c r="H182" s="57"/>
      <c r="I182" s="57"/>
      <c r="J182" s="57"/>
      <c r="K182" s="57"/>
      <c r="L182" s="57"/>
      <c r="M182" s="52"/>
    </row>
    <row r="183" spans="2:13" s="59" customFormat="1" ht="13.5">
      <c r="B183" s="50"/>
      <c r="C183" s="311" t="s">
        <v>93</v>
      </c>
      <c r="D183" s="311"/>
      <c r="E183" s="311"/>
      <c r="F183" s="311"/>
      <c r="G183" s="311"/>
      <c r="H183" s="311"/>
      <c r="I183" s="311"/>
      <c r="J183" s="311"/>
      <c r="K183" s="311"/>
      <c r="L183" s="311"/>
      <c r="M183" s="52"/>
    </row>
    <row r="184" spans="2:13" s="59" customFormat="1" ht="13.5">
      <c r="B184" s="50"/>
      <c r="C184" s="311" t="s">
        <v>435</v>
      </c>
      <c r="D184" s="311"/>
      <c r="E184" s="311"/>
      <c r="F184" s="311"/>
      <c r="G184" s="311"/>
      <c r="H184" s="311"/>
      <c r="I184" s="311"/>
      <c r="J184" s="311"/>
      <c r="K184" s="311"/>
      <c r="L184" s="311"/>
      <c r="M184" s="52"/>
    </row>
    <row r="185" spans="2:13">
      <c r="B185" s="66"/>
      <c r="C185" s="311"/>
      <c r="D185" s="311"/>
      <c r="E185" s="311"/>
      <c r="F185" s="311"/>
      <c r="G185" s="311"/>
      <c r="H185" s="311"/>
      <c r="I185" s="311"/>
      <c r="J185" s="311"/>
      <c r="K185" s="311"/>
      <c r="L185" s="311"/>
      <c r="M185" s="58"/>
    </row>
    <row r="186" spans="2:13">
      <c r="B186" s="66"/>
      <c r="C186" s="311" t="s">
        <v>119</v>
      </c>
      <c r="D186" s="311"/>
      <c r="E186" s="311"/>
      <c r="F186" s="311"/>
      <c r="G186" s="311"/>
      <c r="H186" s="311"/>
      <c r="I186" s="311"/>
      <c r="J186" s="311"/>
      <c r="K186" s="311"/>
      <c r="L186" s="311"/>
      <c r="M186" s="58"/>
    </row>
    <row r="187" spans="2:13">
      <c r="B187" s="66"/>
      <c r="C187" s="311" t="s">
        <v>120</v>
      </c>
      <c r="D187" s="311" t="s">
        <v>121</v>
      </c>
      <c r="E187" s="311" t="s">
        <v>123</v>
      </c>
      <c r="F187" s="311" t="s">
        <v>125</v>
      </c>
      <c r="G187" s="311" t="s">
        <v>356</v>
      </c>
      <c r="H187" s="311"/>
      <c r="I187" s="311"/>
      <c r="J187" s="311"/>
      <c r="K187" s="311"/>
      <c r="L187" s="311"/>
      <c r="M187" s="58"/>
    </row>
    <row r="188" spans="2:13">
      <c r="B188" s="66"/>
      <c r="C188" s="311">
        <v>-2</v>
      </c>
      <c r="D188" s="311" t="s">
        <v>122</v>
      </c>
      <c r="E188" s="311" t="s">
        <v>432</v>
      </c>
      <c r="F188" s="311" t="s">
        <v>433</v>
      </c>
      <c r="G188" s="311" t="s">
        <v>358</v>
      </c>
      <c r="H188" s="311"/>
      <c r="I188" s="311"/>
      <c r="J188" s="311"/>
      <c r="K188" s="311"/>
      <c r="L188" s="311"/>
      <c r="M188" s="58"/>
    </row>
    <row r="189" spans="2:13">
      <c r="B189" s="66"/>
      <c r="C189" s="311"/>
      <c r="D189" s="311"/>
      <c r="E189" s="311"/>
      <c r="F189" s="311"/>
      <c r="G189" s="311"/>
      <c r="H189" s="311"/>
      <c r="I189" s="311"/>
      <c r="J189" s="311"/>
      <c r="K189" s="311"/>
      <c r="L189" s="311"/>
      <c r="M189" s="58"/>
    </row>
    <row r="190" spans="2:13">
      <c r="B190" s="66"/>
      <c r="C190" s="54" t="s">
        <v>91</v>
      </c>
      <c r="D190" s="55" t="s">
        <v>430</v>
      </c>
      <c r="E190" s="56"/>
      <c r="F190" s="57"/>
      <c r="G190" s="57"/>
      <c r="H190" s="57"/>
      <c r="I190" s="57"/>
      <c r="J190" s="57"/>
      <c r="K190" s="57"/>
      <c r="L190" s="57"/>
      <c r="M190" s="58"/>
    </row>
    <row r="191" spans="2:13">
      <c r="B191" s="66"/>
      <c r="C191" s="311" t="s">
        <v>93</v>
      </c>
      <c r="D191" s="311"/>
      <c r="E191" s="311"/>
      <c r="F191" s="311"/>
      <c r="G191" s="311"/>
      <c r="H191" s="311"/>
      <c r="I191" s="311"/>
      <c r="J191" s="311"/>
      <c r="K191" s="311"/>
      <c r="L191" s="311"/>
      <c r="M191" s="58"/>
    </row>
    <row r="192" spans="2:13">
      <c r="B192" s="66"/>
      <c r="C192" s="311" t="s">
        <v>354</v>
      </c>
      <c r="D192" s="311"/>
      <c r="E192" s="311"/>
      <c r="F192" s="311"/>
      <c r="G192" s="311"/>
      <c r="H192" s="311"/>
      <c r="I192" s="311"/>
      <c r="J192" s="311"/>
      <c r="K192" s="311"/>
      <c r="L192" s="311"/>
      <c r="M192" s="58"/>
    </row>
    <row r="193" spans="2:13">
      <c r="B193" s="53"/>
      <c r="C193" s="311"/>
      <c r="D193" s="311"/>
      <c r="E193" s="311"/>
      <c r="F193" s="311"/>
      <c r="G193" s="311"/>
      <c r="H193" s="311"/>
      <c r="I193" s="311"/>
      <c r="J193" s="311"/>
      <c r="K193" s="311"/>
      <c r="L193" s="311"/>
      <c r="M193" s="58"/>
    </row>
    <row r="194" spans="2:13" s="59" customFormat="1" ht="13.5">
      <c r="B194" s="50"/>
      <c r="C194" s="311" t="s">
        <v>119</v>
      </c>
      <c r="D194" s="311"/>
      <c r="E194" s="311"/>
      <c r="F194" s="311"/>
      <c r="G194" s="311"/>
      <c r="H194" s="311"/>
      <c r="I194" s="311"/>
      <c r="J194" s="311"/>
      <c r="K194" s="311"/>
      <c r="L194" s="311"/>
      <c r="M194" s="52"/>
    </row>
    <row r="195" spans="2:13" s="59" customFormat="1" ht="13.5">
      <c r="B195" s="50"/>
      <c r="C195" s="311" t="s">
        <v>120</v>
      </c>
      <c r="D195" s="311" t="s">
        <v>121</v>
      </c>
      <c r="E195" s="311" t="s">
        <v>123</v>
      </c>
      <c r="F195" s="311" t="s">
        <v>125</v>
      </c>
      <c r="G195" s="311" t="s">
        <v>356</v>
      </c>
      <c r="H195" s="311"/>
      <c r="I195" s="311"/>
      <c r="J195" s="311"/>
      <c r="K195" s="311"/>
      <c r="L195" s="311"/>
      <c r="M195" s="52"/>
    </row>
    <row r="196" spans="2:13" s="59" customFormat="1" ht="13.5">
      <c r="B196" s="50"/>
      <c r="C196" s="311">
        <v>0</v>
      </c>
      <c r="D196" s="311"/>
      <c r="E196" s="311"/>
      <c r="F196" s="311"/>
      <c r="G196" s="311"/>
      <c r="H196" s="311"/>
      <c r="I196" s="311"/>
      <c r="J196" s="311"/>
      <c r="K196" s="311"/>
      <c r="L196" s="311"/>
      <c r="M196" s="52"/>
    </row>
    <row r="197" spans="2:13" s="59" customFormat="1" ht="13.5">
      <c r="B197" s="50"/>
      <c r="C197" s="311"/>
      <c r="D197" s="311"/>
      <c r="E197" s="311"/>
      <c r="F197" s="311"/>
      <c r="G197" s="311"/>
      <c r="H197" s="311"/>
      <c r="I197" s="311"/>
      <c r="J197" s="311"/>
      <c r="K197" s="311"/>
      <c r="L197" s="311"/>
      <c r="M197" s="52"/>
    </row>
    <row r="198" spans="2:13" s="59" customFormat="1" ht="13.5">
      <c r="B198" s="50"/>
      <c r="C198" s="54" t="s">
        <v>91</v>
      </c>
      <c r="D198" s="55" t="s">
        <v>74</v>
      </c>
      <c r="E198" s="56"/>
      <c r="F198" s="57"/>
      <c r="G198" s="57"/>
      <c r="H198" s="57"/>
      <c r="I198" s="57"/>
      <c r="J198" s="57"/>
      <c r="K198" s="57"/>
      <c r="L198" s="57"/>
      <c r="M198" s="52"/>
    </row>
    <row r="199" spans="2:13" s="59" customFormat="1" ht="13.5">
      <c r="B199" s="50"/>
      <c r="C199" s="311" t="s">
        <v>93</v>
      </c>
      <c r="D199" s="311"/>
      <c r="E199" s="311"/>
      <c r="F199" s="311"/>
      <c r="G199" s="311"/>
      <c r="H199" s="311"/>
      <c r="I199" s="311"/>
      <c r="J199" s="311"/>
      <c r="K199" s="311"/>
      <c r="L199" s="311"/>
      <c r="M199" s="52"/>
    </row>
    <row r="200" spans="2:13" s="59" customFormat="1" ht="13.5">
      <c r="B200" s="50"/>
      <c r="C200" s="311" t="s">
        <v>437</v>
      </c>
      <c r="D200" s="311"/>
      <c r="E200" s="311"/>
      <c r="F200" s="311"/>
      <c r="G200" s="311"/>
      <c r="H200" s="311"/>
      <c r="I200" s="311"/>
      <c r="J200" s="311"/>
      <c r="K200" s="311"/>
      <c r="L200" s="311"/>
      <c r="M200" s="52"/>
    </row>
    <row r="201" spans="2:13" s="59" customFormat="1" ht="13.5">
      <c r="B201" s="50"/>
      <c r="C201" s="311"/>
      <c r="D201" s="311"/>
      <c r="E201" s="311"/>
      <c r="F201" s="311"/>
      <c r="G201" s="311"/>
      <c r="H201" s="311"/>
      <c r="I201" s="311"/>
      <c r="J201" s="311"/>
      <c r="K201" s="311"/>
      <c r="L201" s="311"/>
      <c r="M201" s="52"/>
    </row>
    <row r="202" spans="2:13" s="59" customFormat="1" ht="13.5">
      <c r="B202" s="50"/>
      <c r="C202" s="311" t="s">
        <v>119</v>
      </c>
      <c r="D202" s="311"/>
      <c r="E202" s="311"/>
      <c r="F202" s="311"/>
      <c r="G202" s="311"/>
      <c r="H202" s="311"/>
      <c r="I202" s="311"/>
      <c r="J202" s="311"/>
      <c r="K202" s="311"/>
      <c r="L202" s="311"/>
      <c r="M202" s="52"/>
    </row>
    <row r="203" spans="2:13" s="59" customFormat="1" ht="13.5">
      <c r="B203" s="50"/>
      <c r="C203" s="311" t="s">
        <v>120</v>
      </c>
      <c r="D203" s="311" t="s">
        <v>121</v>
      </c>
      <c r="E203" s="311" t="s">
        <v>123</v>
      </c>
      <c r="F203" s="311" t="s">
        <v>125</v>
      </c>
      <c r="G203" s="311" t="s">
        <v>356</v>
      </c>
      <c r="H203" s="311"/>
      <c r="I203" s="311"/>
      <c r="J203" s="311"/>
      <c r="K203" s="311"/>
      <c r="L203" s="311"/>
      <c r="M203" s="52"/>
    </row>
    <row r="204" spans="2:13" s="59" customFormat="1" ht="13.5">
      <c r="B204" s="50"/>
      <c r="C204" s="311">
        <v>-2</v>
      </c>
      <c r="D204" s="311" t="s">
        <v>122</v>
      </c>
      <c r="E204" s="311" t="s">
        <v>497</v>
      </c>
      <c r="F204" s="311" t="s">
        <v>436</v>
      </c>
      <c r="G204" s="311" t="s">
        <v>358</v>
      </c>
      <c r="H204" s="311"/>
      <c r="I204" s="311"/>
      <c r="J204" s="311"/>
      <c r="K204" s="311"/>
      <c r="L204" s="311"/>
      <c r="M204" s="52"/>
    </row>
    <row r="205" spans="2:13" s="59" customFormat="1" ht="14" thickBot="1">
      <c r="B205" s="50"/>
      <c r="C205" s="311"/>
      <c r="D205" s="311"/>
      <c r="E205" s="311"/>
      <c r="F205" s="311"/>
      <c r="G205" s="311"/>
      <c r="H205" s="311"/>
      <c r="I205" s="311"/>
      <c r="J205" s="311"/>
      <c r="K205" s="311"/>
      <c r="L205" s="311"/>
      <c r="M205" s="52"/>
    </row>
    <row r="206" spans="2:13" s="59" customFormat="1" ht="13.5">
      <c r="B206" s="309" t="s">
        <v>438</v>
      </c>
      <c r="C206" s="44" t="s">
        <v>440</v>
      </c>
      <c r="D206" s="44"/>
      <c r="E206" s="44"/>
      <c r="F206" s="44"/>
      <c r="G206" s="44"/>
      <c r="H206" s="44"/>
      <c r="I206" s="44"/>
      <c r="J206" s="44"/>
      <c r="K206" s="44"/>
      <c r="L206" s="44"/>
      <c r="M206" s="45"/>
    </row>
    <row r="207" spans="2:13" s="59" customFormat="1" ht="13.5">
      <c r="B207" s="50"/>
      <c r="C207" s="311"/>
      <c r="D207" s="311"/>
      <c r="E207" s="311"/>
      <c r="F207" s="311"/>
      <c r="G207" s="311"/>
      <c r="H207" s="311"/>
      <c r="I207" s="311"/>
      <c r="J207" s="311"/>
      <c r="K207" s="311"/>
      <c r="L207" s="311"/>
      <c r="M207" s="52"/>
    </row>
    <row r="208" spans="2:13" s="59" customFormat="1" ht="13.5">
      <c r="B208" s="50"/>
      <c r="C208" s="54" t="s">
        <v>91</v>
      </c>
      <c r="D208" s="55" t="s">
        <v>441</v>
      </c>
      <c r="E208" s="56"/>
      <c r="F208" s="57"/>
      <c r="G208" s="57"/>
      <c r="H208" s="57"/>
      <c r="I208" s="57"/>
      <c r="J208" s="57"/>
      <c r="K208" s="57"/>
      <c r="L208" s="57"/>
      <c r="M208" s="52"/>
    </row>
    <row r="209" spans="2:13" s="59" customFormat="1" ht="13.5">
      <c r="B209" s="50"/>
      <c r="C209" s="311" t="s">
        <v>93</v>
      </c>
      <c r="D209" s="311"/>
      <c r="E209" s="311"/>
      <c r="F209" s="311"/>
      <c r="G209" s="311"/>
      <c r="H209" s="311"/>
      <c r="I209" s="311"/>
      <c r="J209" s="311"/>
      <c r="K209" s="311"/>
      <c r="L209" s="311"/>
      <c r="M209" s="52"/>
    </row>
    <row r="210" spans="2:13" s="59" customFormat="1" ht="13.5">
      <c r="B210" s="50"/>
      <c r="C210" s="311" t="s">
        <v>354</v>
      </c>
      <c r="D210" s="311"/>
      <c r="E210" s="311"/>
      <c r="F210" s="311"/>
      <c r="G210" s="311"/>
      <c r="H210" s="311"/>
      <c r="I210" s="311"/>
      <c r="J210" s="311"/>
      <c r="K210" s="311"/>
      <c r="L210" s="311"/>
      <c r="M210" s="52"/>
    </row>
    <row r="211" spans="2:13">
      <c r="B211" s="66"/>
      <c r="C211" s="311"/>
      <c r="D211" s="311"/>
      <c r="E211" s="311"/>
      <c r="F211" s="311"/>
      <c r="G211" s="311"/>
      <c r="H211" s="311"/>
      <c r="I211" s="311"/>
      <c r="J211" s="311"/>
      <c r="K211" s="311"/>
      <c r="L211" s="311"/>
      <c r="M211" s="58"/>
    </row>
    <row r="212" spans="2:13">
      <c r="B212" s="66"/>
      <c r="C212" s="311" t="s">
        <v>119</v>
      </c>
      <c r="D212" s="311"/>
      <c r="E212" s="311"/>
      <c r="F212" s="311"/>
      <c r="G212" s="311"/>
      <c r="H212" s="311"/>
      <c r="I212" s="311"/>
      <c r="J212" s="311"/>
      <c r="K212" s="311"/>
      <c r="L212" s="311"/>
      <c r="M212" s="58"/>
    </row>
    <row r="213" spans="2:13">
      <c r="B213" s="66"/>
      <c r="C213" s="311" t="s">
        <v>120</v>
      </c>
      <c r="D213" s="311" t="s">
        <v>121</v>
      </c>
      <c r="E213" s="311" t="s">
        <v>123</v>
      </c>
      <c r="F213" s="311" t="s">
        <v>125</v>
      </c>
      <c r="G213" s="311" t="s">
        <v>356</v>
      </c>
      <c r="H213" s="311"/>
      <c r="I213" s="311"/>
      <c r="J213" s="311"/>
      <c r="K213" s="311"/>
      <c r="L213" s="311"/>
      <c r="M213" s="58"/>
    </row>
    <row r="214" spans="2:13">
      <c r="B214" s="66"/>
      <c r="C214" s="311">
        <v>0</v>
      </c>
      <c r="D214" s="311"/>
      <c r="E214" s="311"/>
      <c r="F214" s="311"/>
      <c r="G214" s="311"/>
      <c r="H214" s="311"/>
      <c r="I214" s="311"/>
      <c r="J214" s="311"/>
      <c r="K214" s="311"/>
      <c r="L214" s="311"/>
      <c r="M214" s="58"/>
    </row>
    <row r="215" spans="2:13">
      <c r="B215" s="66"/>
      <c r="C215" s="311"/>
      <c r="D215" s="311"/>
      <c r="E215" s="311"/>
      <c r="F215" s="311"/>
      <c r="G215" s="311"/>
      <c r="H215" s="311"/>
      <c r="I215" s="311"/>
      <c r="J215" s="311"/>
      <c r="K215" s="311"/>
      <c r="L215" s="311"/>
      <c r="M215" s="58"/>
    </row>
    <row r="216" spans="2:13">
      <c r="B216" s="66"/>
      <c r="C216" s="54" t="s">
        <v>91</v>
      </c>
      <c r="D216" s="55" t="s">
        <v>442</v>
      </c>
      <c r="E216" s="56"/>
      <c r="F216" s="57"/>
      <c r="G216" s="57"/>
      <c r="H216" s="57"/>
      <c r="I216" s="57"/>
      <c r="J216" s="57"/>
      <c r="K216" s="57"/>
      <c r="L216" s="57"/>
      <c r="M216" s="58"/>
    </row>
    <row r="217" spans="2:13">
      <c r="B217" s="66"/>
      <c r="C217" s="311" t="s">
        <v>93</v>
      </c>
      <c r="D217" s="311"/>
      <c r="E217" s="311"/>
      <c r="F217" s="311"/>
      <c r="G217" s="311"/>
      <c r="H217" s="311"/>
      <c r="I217" s="311"/>
      <c r="J217" s="311"/>
      <c r="K217" s="311"/>
      <c r="L217" s="311"/>
      <c r="M217" s="58"/>
    </row>
    <row r="218" spans="2:13">
      <c r="B218" s="66"/>
      <c r="C218" s="311" t="s">
        <v>445</v>
      </c>
      <c r="D218" s="311"/>
      <c r="E218" s="311"/>
      <c r="F218" s="311"/>
      <c r="G218" s="311"/>
      <c r="H218" s="311"/>
      <c r="I218" s="311"/>
      <c r="J218" s="311"/>
      <c r="K218" s="311"/>
      <c r="L218" s="311"/>
      <c r="M218" s="58"/>
    </row>
    <row r="219" spans="2:13">
      <c r="B219" s="66"/>
      <c r="C219" s="311"/>
      <c r="D219" s="311"/>
      <c r="E219" s="311"/>
      <c r="F219" s="311"/>
      <c r="G219" s="311"/>
      <c r="H219" s="311"/>
      <c r="I219" s="311"/>
      <c r="J219" s="311"/>
      <c r="K219" s="311"/>
      <c r="L219" s="311"/>
      <c r="M219" s="58"/>
    </row>
    <row r="220" spans="2:13">
      <c r="B220" s="66"/>
      <c r="C220" s="311" t="s">
        <v>119</v>
      </c>
      <c r="D220" s="311"/>
      <c r="E220" s="311"/>
      <c r="F220" s="311"/>
      <c r="G220" s="311"/>
      <c r="H220" s="311"/>
      <c r="I220" s="311"/>
      <c r="J220" s="311"/>
      <c r="K220" s="311"/>
      <c r="L220" s="311"/>
      <c r="M220" s="58"/>
    </row>
    <row r="221" spans="2:13">
      <c r="B221" s="66"/>
      <c r="C221" s="311" t="s">
        <v>120</v>
      </c>
      <c r="D221" s="311" t="s">
        <v>121</v>
      </c>
      <c r="E221" s="311" t="s">
        <v>123</v>
      </c>
      <c r="F221" s="311" t="s">
        <v>125</v>
      </c>
      <c r="G221" s="311" t="s">
        <v>356</v>
      </c>
      <c r="H221" s="311"/>
      <c r="I221" s="311"/>
      <c r="J221" s="311"/>
      <c r="K221" s="311"/>
      <c r="L221" s="311"/>
      <c r="M221" s="58"/>
    </row>
    <row r="222" spans="2:13">
      <c r="B222" s="66"/>
      <c r="C222" s="311">
        <v>-2</v>
      </c>
      <c r="D222" s="311" t="s">
        <v>122</v>
      </c>
      <c r="E222" s="311" t="s">
        <v>495</v>
      </c>
      <c r="F222" s="311" t="s">
        <v>446</v>
      </c>
      <c r="G222" s="311" t="s">
        <v>358</v>
      </c>
      <c r="H222" s="311"/>
      <c r="I222" s="311"/>
      <c r="J222" s="311"/>
      <c r="K222" s="311"/>
      <c r="L222" s="311"/>
      <c r="M222" s="58"/>
    </row>
    <row r="223" spans="2:13">
      <c r="B223" s="66"/>
      <c r="C223" s="311"/>
      <c r="D223" s="311"/>
      <c r="E223" s="311"/>
      <c r="F223" s="311"/>
      <c r="G223" s="311"/>
      <c r="H223" s="311"/>
      <c r="I223" s="311"/>
      <c r="J223" s="311"/>
      <c r="K223" s="311"/>
      <c r="L223" s="311"/>
      <c r="M223" s="58"/>
    </row>
    <row r="224" spans="2:13">
      <c r="B224" s="66"/>
      <c r="C224" s="54" t="s">
        <v>91</v>
      </c>
      <c r="D224" s="55" t="s">
        <v>443</v>
      </c>
      <c r="E224" s="56"/>
      <c r="F224" s="57"/>
      <c r="G224" s="57"/>
      <c r="H224" s="57"/>
      <c r="I224" s="57"/>
      <c r="J224" s="57"/>
      <c r="K224" s="57"/>
      <c r="L224" s="57"/>
      <c r="M224" s="58"/>
    </row>
    <row r="225" spans="2:13">
      <c r="B225" s="66"/>
      <c r="C225" s="311" t="s">
        <v>93</v>
      </c>
      <c r="D225" s="311"/>
      <c r="E225" s="311"/>
      <c r="F225" s="311"/>
      <c r="G225" s="311"/>
      <c r="H225" s="311"/>
      <c r="I225" s="311"/>
      <c r="J225" s="311"/>
      <c r="K225" s="311"/>
      <c r="L225" s="311"/>
      <c r="M225" s="58"/>
    </row>
    <row r="226" spans="2:13">
      <c r="B226" s="66"/>
      <c r="C226" s="311" t="s">
        <v>447</v>
      </c>
      <c r="D226" s="311"/>
      <c r="E226" s="311"/>
      <c r="F226" s="311"/>
      <c r="G226" s="311"/>
      <c r="H226" s="311"/>
      <c r="I226" s="311"/>
      <c r="J226" s="311"/>
      <c r="K226" s="311"/>
      <c r="L226" s="311"/>
      <c r="M226" s="58"/>
    </row>
    <row r="227" spans="2:13">
      <c r="B227" s="66"/>
      <c r="C227" s="311"/>
      <c r="D227" s="311"/>
      <c r="E227" s="311"/>
      <c r="F227" s="311"/>
      <c r="G227" s="311"/>
      <c r="H227" s="311"/>
      <c r="I227" s="311"/>
      <c r="J227" s="311"/>
      <c r="K227" s="311"/>
      <c r="L227" s="311"/>
      <c r="M227" s="58"/>
    </row>
    <row r="228" spans="2:13" s="59" customFormat="1" ht="13.5">
      <c r="B228" s="50"/>
      <c r="C228" s="311" t="s">
        <v>119</v>
      </c>
      <c r="D228" s="311"/>
      <c r="E228" s="311"/>
      <c r="F228" s="311"/>
      <c r="G228" s="311"/>
      <c r="H228" s="311"/>
      <c r="I228" s="311"/>
      <c r="J228" s="311"/>
      <c r="K228" s="311"/>
      <c r="L228" s="311"/>
      <c r="M228" s="52"/>
    </row>
    <row r="229" spans="2:13" s="59" customFormat="1" ht="13.5">
      <c r="B229" s="50"/>
      <c r="C229" s="311" t="s">
        <v>120</v>
      </c>
      <c r="D229" s="311" t="s">
        <v>121</v>
      </c>
      <c r="E229" s="311" t="s">
        <v>123</v>
      </c>
      <c r="F229" s="311" t="s">
        <v>125</v>
      </c>
      <c r="G229" s="311" t="s">
        <v>356</v>
      </c>
      <c r="H229" s="311"/>
      <c r="I229" s="311"/>
      <c r="J229" s="311"/>
      <c r="K229" s="311"/>
      <c r="L229" s="311"/>
      <c r="M229" s="52"/>
    </row>
    <row r="230" spans="2:13" s="59" customFormat="1" ht="13.5">
      <c r="B230" s="50"/>
      <c r="C230" s="311">
        <v>-2</v>
      </c>
      <c r="D230" s="311" t="s">
        <v>122</v>
      </c>
      <c r="E230" s="311" t="s">
        <v>499</v>
      </c>
      <c r="F230" s="311" t="s">
        <v>449</v>
      </c>
      <c r="G230" s="311" t="s">
        <v>358</v>
      </c>
      <c r="H230" s="311"/>
      <c r="I230" s="311"/>
      <c r="J230" s="311"/>
      <c r="K230" s="311"/>
      <c r="L230" s="311"/>
      <c r="M230" s="52"/>
    </row>
    <row r="231" spans="2:13" s="59" customFormat="1" ht="13.5">
      <c r="B231" s="50"/>
      <c r="C231" s="311"/>
      <c r="D231" s="311"/>
      <c r="E231" s="311"/>
      <c r="F231" s="311"/>
      <c r="G231" s="311"/>
      <c r="H231" s="311"/>
      <c r="I231" s="311"/>
      <c r="J231" s="311"/>
      <c r="K231" s="311"/>
      <c r="L231" s="311"/>
      <c r="M231" s="52"/>
    </row>
    <row r="232" spans="2:13" s="59" customFormat="1" ht="13.5">
      <c r="B232" s="50"/>
      <c r="C232" s="311"/>
      <c r="D232" s="311"/>
      <c r="E232" s="311"/>
      <c r="F232" s="311"/>
      <c r="G232" s="311"/>
      <c r="H232" s="311"/>
      <c r="I232" s="311"/>
      <c r="J232" s="311"/>
      <c r="K232" s="311"/>
      <c r="L232" s="311"/>
      <c r="M232" s="52"/>
    </row>
    <row r="233" spans="2:13" s="59" customFormat="1" ht="13.5">
      <c r="B233" s="50"/>
      <c r="C233" s="54" t="s">
        <v>91</v>
      </c>
      <c r="D233" s="55" t="s">
        <v>444</v>
      </c>
      <c r="E233" s="56"/>
      <c r="F233" s="57"/>
      <c r="G233" s="57"/>
      <c r="H233" s="57"/>
      <c r="I233" s="57"/>
      <c r="J233" s="57"/>
      <c r="K233" s="57"/>
      <c r="L233" s="57"/>
      <c r="M233" s="52"/>
    </row>
    <row r="234" spans="2:13" s="59" customFormat="1" ht="13.5">
      <c r="B234" s="50"/>
      <c r="C234" s="311" t="s">
        <v>93</v>
      </c>
      <c r="D234" s="311"/>
      <c r="E234" s="311"/>
      <c r="F234" s="311"/>
      <c r="G234" s="311"/>
      <c r="H234" s="311"/>
      <c r="I234" s="311"/>
      <c r="J234" s="311"/>
      <c r="K234" s="311"/>
      <c r="L234" s="311"/>
      <c r="M234" s="52"/>
    </row>
    <row r="235" spans="2:13" s="59" customFormat="1" ht="13.5">
      <c r="B235" s="50"/>
      <c r="C235" s="311" t="s">
        <v>450</v>
      </c>
      <c r="D235" s="311"/>
      <c r="E235" s="311"/>
      <c r="F235" s="311"/>
      <c r="G235" s="311"/>
      <c r="H235" s="311"/>
      <c r="I235" s="311"/>
      <c r="J235" s="311"/>
      <c r="K235" s="311"/>
      <c r="L235" s="311"/>
      <c r="M235" s="52"/>
    </row>
    <row r="236" spans="2:13" s="59" customFormat="1" ht="13.5">
      <c r="B236" s="50"/>
      <c r="C236" s="311"/>
      <c r="D236" s="311"/>
      <c r="E236" s="311"/>
      <c r="F236" s="311"/>
      <c r="G236" s="311"/>
      <c r="H236" s="311"/>
      <c r="I236" s="311"/>
      <c r="J236" s="311"/>
      <c r="K236" s="311"/>
      <c r="L236" s="311"/>
      <c r="M236" s="52"/>
    </row>
    <row r="237" spans="2:13" s="59" customFormat="1" ht="13.5">
      <c r="B237" s="50"/>
      <c r="C237" s="311" t="s">
        <v>119</v>
      </c>
      <c r="D237" s="311"/>
      <c r="E237" s="311"/>
      <c r="F237" s="311"/>
      <c r="G237" s="311"/>
      <c r="H237" s="311"/>
      <c r="I237" s="311"/>
      <c r="J237" s="311"/>
      <c r="K237" s="311"/>
      <c r="L237" s="311"/>
      <c r="M237" s="52"/>
    </row>
    <row r="238" spans="2:13" s="59" customFormat="1" ht="13.5">
      <c r="B238" s="50"/>
      <c r="C238" s="311" t="s">
        <v>120</v>
      </c>
      <c r="D238" s="311" t="s">
        <v>121</v>
      </c>
      <c r="E238" s="311" t="s">
        <v>123</v>
      </c>
      <c r="F238" s="311" t="s">
        <v>125</v>
      </c>
      <c r="G238" s="311" t="s">
        <v>356</v>
      </c>
      <c r="H238" s="311"/>
      <c r="I238" s="311"/>
      <c r="J238" s="311"/>
      <c r="K238" s="311"/>
      <c r="L238" s="311"/>
      <c r="M238" s="52"/>
    </row>
    <row r="239" spans="2:13" s="59" customFormat="1" ht="13.5">
      <c r="B239" s="50"/>
      <c r="C239" s="311">
        <v>-2</v>
      </c>
      <c r="D239" s="311" t="s">
        <v>122</v>
      </c>
      <c r="E239" s="311" t="s">
        <v>448</v>
      </c>
      <c r="F239" s="311" t="s">
        <v>449</v>
      </c>
      <c r="G239" s="311" t="s">
        <v>358</v>
      </c>
      <c r="H239" s="311"/>
      <c r="I239" s="311"/>
      <c r="J239" s="311"/>
      <c r="K239" s="311"/>
      <c r="L239" s="311"/>
      <c r="M239" s="52"/>
    </row>
    <row r="240" spans="2:13" s="59" customFormat="1" ht="14" thickBot="1">
      <c r="B240" s="50"/>
      <c r="C240" s="311"/>
      <c r="D240" s="311"/>
      <c r="E240" s="311"/>
      <c r="F240" s="311"/>
      <c r="G240" s="311"/>
      <c r="H240" s="311"/>
      <c r="I240" s="311"/>
      <c r="J240" s="311"/>
      <c r="K240" s="311"/>
      <c r="L240" s="311"/>
      <c r="M240" s="52"/>
    </row>
    <row r="241" spans="2:13" s="59" customFormat="1" ht="13.5">
      <c r="B241" s="309" t="s">
        <v>453</v>
      </c>
      <c r="C241" s="44" t="s">
        <v>452</v>
      </c>
      <c r="D241" s="44"/>
      <c r="E241" s="44"/>
      <c r="F241" s="44"/>
      <c r="G241" s="44"/>
      <c r="H241" s="44"/>
      <c r="I241" s="44"/>
      <c r="J241" s="44"/>
      <c r="K241" s="44"/>
      <c r="L241" s="44"/>
      <c r="M241" s="45"/>
    </row>
    <row r="242" spans="2:13" s="59" customFormat="1" ht="13.5">
      <c r="B242" s="50"/>
      <c r="C242" s="311"/>
      <c r="D242" s="311"/>
      <c r="E242" s="311"/>
      <c r="F242" s="311"/>
      <c r="G242" s="311"/>
      <c r="H242" s="311"/>
      <c r="I242" s="311"/>
      <c r="J242" s="311"/>
      <c r="K242" s="311"/>
      <c r="L242" s="311"/>
      <c r="M242" s="52"/>
    </row>
    <row r="243" spans="2:13">
      <c r="B243" s="66"/>
      <c r="C243" s="54" t="s">
        <v>91</v>
      </c>
      <c r="D243" s="55" t="s">
        <v>454</v>
      </c>
      <c r="E243" s="56"/>
      <c r="F243" s="57"/>
      <c r="G243" s="57"/>
      <c r="H243" s="57"/>
      <c r="I243" s="57"/>
      <c r="J243" s="57"/>
      <c r="K243" s="57"/>
      <c r="L243" s="57"/>
      <c r="M243" s="58"/>
    </row>
    <row r="244" spans="2:13">
      <c r="B244" s="66"/>
      <c r="C244" s="311" t="s">
        <v>93</v>
      </c>
      <c r="D244" s="311"/>
      <c r="E244" s="311"/>
      <c r="F244" s="311"/>
      <c r="G244" s="311"/>
      <c r="H244" s="311"/>
      <c r="I244" s="311"/>
      <c r="J244" s="311"/>
      <c r="K244" s="311"/>
      <c r="L244" s="311"/>
      <c r="M244" s="58"/>
    </row>
    <row r="245" spans="2:13">
      <c r="B245" s="66"/>
      <c r="C245" s="311" t="s">
        <v>354</v>
      </c>
      <c r="D245" s="311"/>
      <c r="E245" s="311"/>
      <c r="F245" s="311"/>
      <c r="G245" s="311"/>
      <c r="H245" s="311"/>
      <c r="I245" s="311"/>
      <c r="J245" s="311"/>
      <c r="K245" s="311"/>
      <c r="L245" s="311"/>
      <c r="M245" s="58"/>
    </row>
    <row r="246" spans="2:13">
      <c r="B246" s="66"/>
      <c r="C246" s="311"/>
      <c r="D246" s="311"/>
      <c r="E246" s="311"/>
      <c r="F246" s="311"/>
      <c r="G246" s="311"/>
      <c r="H246" s="311"/>
      <c r="I246" s="311"/>
      <c r="J246" s="311"/>
      <c r="K246" s="311"/>
      <c r="L246" s="311"/>
      <c r="M246" s="58"/>
    </row>
    <row r="247" spans="2:13">
      <c r="B247" s="66"/>
      <c r="C247" s="311" t="s">
        <v>119</v>
      </c>
      <c r="D247" s="311"/>
      <c r="E247" s="311"/>
      <c r="F247" s="311"/>
      <c r="G247" s="311"/>
      <c r="H247" s="311"/>
      <c r="I247" s="311"/>
      <c r="J247" s="311"/>
      <c r="K247" s="311"/>
      <c r="L247" s="311"/>
      <c r="M247" s="58"/>
    </row>
    <row r="248" spans="2:13">
      <c r="B248" s="66"/>
      <c r="C248" s="311" t="s">
        <v>120</v>
      </c>
      <c r="D248" s="311" t="s">
        <v>121</v>
      </c>
      <c r="E248" s="311" t="s">
        <v>123</v>
      </c>
      <c r="F248" s="311" t="s">
        <v>125</v>
      </c>
      <c r="G248" s="311" t="s">
        <v>356</v>
      </c>
      <c r="H248" s="311"/>
      <c r="I248" s="311"/>
      <c r="J248" s="311"/>
      <c r="K248" s="311"/>
      <c r="L248" s="311"/>
      <c r="M248" s="58"/>
    </row>
    <row r="249" spans="2:13">
      <c r="B249" s="66"/>
      <c r="C249" s="311">
        <v>0</v>
      </c>
      <c r="D249" s="311"/>
      <c r="E249" s="311"/>
      <c r="F249" s="311"/>
      <c r="G249" s="311"/>
      <c r="H249" s="311"/>
      <c r="I249" s="311"/>
      <c r="J249" s="311"/>
      <c r="K249" s="311"/>
      <c r="L249" s="311"/>
      <c r="M249" s="58"/>
    </row>
    <row r="250" spans="2:13">
      <c r="B250" s="66"/>
      <c r="C250" s="311"/>
      <c r="D250" s="311"/>
      <c r="E250" s="311"/>
      <c r="F250" s="311"/>
      <c r="G250" s="311"/>
      <c r="H250" s="311"/>
      <c r="I250" s="311"/>
      <c r="J250" s="311"/>
      <c r="K250" s="311"/>
      <c r="L250" s="311"/>
      <c r="M250" s="58"/>
    </row>
    <row r="251" spans="2:13">
      <c r="B251" s="53"/>
      <c r="C251" s="54" t="s">
        <v>91</v>
      </c>
      <c r="D251" s="55" t="s">
        <v>455</v>
      </c>
      <c r="E251" s="56"/>
      <c r="F251" s="57"/>
      <c r="G251" s="57"/>
      <c r="H251" s="57"/>
      <c r="I251" s="57"/>
      <c r="J251" s="57"/>
      <c r="K251" s="57"/>
      <c r="L251" s="57"/>
      <c r="M251" s="58"/>
    </row>
    <row r="252" spans="2:13" s="59" customFormat="1" ht="13.5">
      <c r="B252" s="50"/>
      <c r="C252" s="311" t="s">
        <v>93</v>
      </c>
      <c r="D252" s="311"/>
      <c r="E252" s="311"/>
      <c r="F252" s="311"/>
      <c r="G252" s="311"/>
      <c r="H252" s="311"/>
      <c r="I252" s="311"/>
      <c r="J252" s="311"/>
      <c r="K252" s="311"/>
      <c r="L252" s="311"/>
      <c r="M252" s="52"/>
    </row>
    <row r="253" spans="2:13" s="59" customFormat="1" ht="13.5">
      <c r="B253" s="50"/>
      <c r="C253" s="311" t="s">
        <v>457</v>
      </c>
      <c r="D253" s="311"/>
      <c r="E253" s="311"/>
      <c r="F253" s="311"/>
      <c r="G253" s="311"/>
      <c r="H253" s="311"/>
      <c r="I253" s="311"/>
      <c r="J253" s="311"/>
      <c r="K253" s="311"/>
      <c r="L253" s="311"/>
      <c r="M253" s="52"/>
    </row>
    <row r="254" spans="2:13" s="59" customFormat="1" ht="13.5">
      <c r="B254" s="50"/>
      <c r="C254" s="311"/>
      <c r="D254" s="311"/>
      <c r="E254" s="311"/>
      <c r="F254" s="311"/>
      <c r="G254" s="311"/>
      <c r="H254" s="311"/>
      <c r="I254" s="311"/>
      <c r="J254" s="311"/>
      <c r="K254" s="311"/>
      <c r="L254" s="311"/>
      <c r="M254" s="52"/>
    </row>
    <row r="255" spans="2:13" s="59" customFormat="1" ht="13.5">
      <c r="B255" s="50"/>
      <c r="C255" s="311" t="s">
        <v>119</v>
      </c>
      <c r="D255" s="311"/>
      <c r="E255" s="311"/>
      <c r="F255" s="311"/>
      <c r="G255" s="311"/>
      <c r="H255" s="311"/>
      <c r="I255" s="311"/>
      <c r="J255" s="311"/>
      <c r="K255" s="311"/>
      <c r="L255" s="311"/>
      <c r="M255" s="52"/>
    </row>
    <row r="256" spans="2:13" s="59" customFormat="1" ht="13.5">
      <c r="B256" s="50"/>
      <c r="C256" s="311" t="s">
        <v>120</v>
      </c>
      <c r="D256" s="311" t="s">
        <v>121</v>
      </c>
      <c r="E256" s="311" t="s">
        <v>123</v>
      </c>
      <c r="F256" s="311" t="s">
        <v>125</v>
      </c>
      <c r="G256" s="311" t="s">
        <v>356</v>
      </c>
      <c r="H256" s="311"/>
      <c r="I256" s="311"/>
      <c r="J256" s="311"/>
      <c r="K256" s="311"/>
      <c r="L256" s="311"/>
      <c r="M256" s="52"/>
    </row>
    <row r="257" spans="2:13" s="59" customFormat="1" ht="13.5">
      <c r="B257" s="50"/>
      <c r="C257" s="311">
        <v>-2</v>
      </c>
      <c r="D257" s="311" t="s">
        <v>122</v>
      </c>
      <c r="E257" s="311" t="s">
        <v>458</v>
      </c>
      <c r="F257" s="311" t="s">
        <v>459</v>
      </c>
      <c r="G257" s="311" t="s">
        <v>358</v>
      </c>
      <c r="H257" s="311"/>
      <c r="I257" s="311"/>
      <c r="J257" s="311"/>
      <c r="K257" s="311"/>
      <c r="L257" s="311"/>
      <c r="M257" s="52"/>
    </row>
    <row r="258" spans="2:13" s="59" customFormat="1" ht="13.5">
      <c r="B258" s="50"/>
      <c r="C258" s="311"/>
      <c r="D258" s="311"/>
      <c r="E258" s="311"/>
      <c r="F258" s="311"/>
      <c r="G258" s="311"/>
      <c r="H258" s="311"/>
      <c r="I258" s="311"/>
      <c r="J258" s="311"/>
      <c r="K258" s="311"/>
      <c r="L258" s="311"/>
      <c r="M258" s="52"/>
    </row>
    <row r="259" spans="2:13" s="59" customFormat="1" ht="13.5">
      <c r="B259" s="50"/>
      <c r="C259" s="54" t="s">
        <v>91</v>
      </c>
      <c r="D259" s="55" t="s">
        <v>456</v>
      </c>
      <c r="E259" s="56"/>
      <c r="F259" s="57"/>
      <c r="G259" s="57"/>
      <c r="H259" s="57"/>
      <c r="I259" s="57"/>
      <c r="J259" s="57"/>
      <c r="K259" s="57"/>
      <c r="L259" s="57"/>
      <c r="M259" s="52"/>
    </row>
    <row r="260" spans="2:13" s="59" customFormat="1" ht="13.5">
      <c r="B260" s="50"/>
      <c r="C260" s="311" t="s">
        <v>93</v>
      </c>
      <c r="D260" s="311"/>
      <c r="E260" s="311"/>
      <c r="F260" s="311"/>
      <c r="G260" s="311"/>
      <c r="H260" s="311"/>
      <c r="I260" s="311"/>
      <c r="J260" s="311"/>
      <c r="K260" s="311"/>
      <c r="L260" s="311"/>
      <c r="M260" s="52"/>
    </row>
    <row r="261" spans="2:13" s="59" customFormat="1" ht="13.5">
      <c r="B261" s="50"/>
      <c r="C261" s="311" t="s">
        <v>460</v>
      </c>
      <c r="D261" s="311"/>
      <c r="E261" s="311"/>
      <c r="F261" s="311"/>
      <c r="G261" s="311"/>
      <c r="H261" s="311"/>
      <c r="I261" s="311"/>
      <c r="J261" s="311"/>
      <c r="K261" s="311"/>
      <c r="L261" s="311"/>
      <c r="M261" s="52"/>
    </row>
    <row r="262" spans="2:13" s="59" customFormat="1" ht="13.5">
      <c r="B262" s="50"/>
      <c r="C262" s="311"/>
      <c r="D262" s="311"/>
      <c r="E262" s="311"/>
      <c r="F262" s="311"/>
      <c r="G262" s="311"/>
      <c r="H262" s="311"/>
      <c r="I262" s="311"/>
      <c r="J262" s="311"/>
      <c r="K262" s="311"/>
      <c r="L262" s="311"/>
      <c r="M262" s="52"/>
    </row>
    <row r="263" spans="2:13" s="59" customFormat="1" ht="13.5">
      <c r="B263" s="50"/>
      <c r="C263" s="311" t="s">
        <v>119</v>
      </c>
      <c r="D263" s="311"/>
      <c r="E263" s="311"/>
      <c r="F263" s="311"/>
      <c r="G263" s="311"/>
      <c r="H263" s="311"/>
      <c r="I263" s="311"/>
      <c r="J263" s="311"/>
      <c r="K263" s="311"/>
      <c r="L263" s="311"/>
      <c r="M263" s="52"/>
    </row>
    <row r="264" spans="2:13" s="59" customFormat="1" ht="13.5">
      <c r="B264" s="50"/>
      <c r="C264" s="311" t="s">
        <v>120</v>
      </c>
      <c r="D264" s="311" t="s">
        <v>121</v>
      </c>
      <c r="E264" s="311" t="s">
        <v>123</v>
      </c>
      <c r="F264" s="311" t="s">
        <v>125</v>
      </c>
      <c r="G264" s="311" t="s">
        <v>356</v>
      </c>
      <c r="H264" s="311"/>
      <c r="I264" s="311"/>
      <c r="J264" s="311"/>
      <c r="K264" s="311"/>
      <c r="L264" s="311"/>
      <c r="M264" s="52"/>
    </row>
    <row r="265" spans="2:13" s="59" customFormat="1" ht="13.5">
      <c r="B265" s="50"/>
      <c r="C265" s="311">
        <v>-2</v>
      </c>
      <c r="D265" s="311" t="s">
        <v>122</v>
      </c>
      <c r="E265" s="311" t="s">
        <v>458</v>
      </c>
      <c r="F265" s="311" t="s">
        <v>459</v>
      </c>
      <c r="G265" s="311" t="s">
        <v>358</v>
      </c>
      <c r="H265" s="311"/>
      <c r="I265" s="311"/>
      <c r="J265" s="311"/>
      <c r="K265" s="311"/>
      <c r="L265" s="311"/>
      <c r="M265" s="52"/>
    </row>
    <row r="266" spans="2:13" s="59" customFormat="1" ht="14" thickBot="1">
      <c r="B266" s="50"/>
      <c r="C266" s="311"/>
      <c r="D266" s="311"/>
      <c r="E266" s="311"/>
      <c r="F266" s="311"/>
      <c r="G266" s="311"/>
      <c r="H266" s="311"/>
      <c r="I266" s="311"/>
      <c r="J266" s="311"/>
      <c r="K266" s="311"/>
      <c r="L266" s="311"/>
      <c r="M266" s="52"/>
    </row>
    <row r="267" spans="2:13" s="59" customFormat="1" ht="13.5">
      <c r="B267" s="309" t="s">
        <v>461</v>
      </c>
      <c r="C267" s="44" t="s">
        <v>463</v>
      </c>
      <c r="D267" s="44"/>
      <c r="E267" s="44"/>
      <c r="F267" s="44"/>
      <c r="G267" s="44"/>
      <c r="H267" s="44"/>
      <c r="I267" s="44"/>
      <c r="J267" s="44"/>
      <c r="K267" s="44"/>
      <c r="L267" s="44"/>
      <c r="M267" s="45"/>
    </row>
    <row r="268" spans="2:13">
      <c r="B268" s="66"/>
      <c r="C268" s="311"/>
      <c r="D268" s="311"/>
      <c r="E268" s="311"/>
      <c r="F268" s="311"/>
      <c r="G268" s="311"/>
      <c r="H268" s="311"/>
      <c r="I268" s="311"/>
      <c r="J268" s="311"/>
      <c r="K268" s="311"/>
      <c r="L268" s="311"/>
      <c r="M268" s="58"/>
    </row>
    <row r="269" spans="2:13">
      <c r="B269" s="66"/>
      <c r="C269" s="54" t="s">
        <v>91</v>
      </c>
      <c r="D269" s="55" t="s">
        <v>464</v>
      </c>
      <c r="E269" s="56"/>
      <c r="F269" s="57"/>
      <c r="G269" s="57"/>
      <c r="H269" s="57"/>
      <c r="I269" s="57"/>
      <c r="J269" s="57"/>
      <c r="K269" s="57"/>
      <c r="L269" s="57"/>
      <c r="M269" s="58"/>
    </row>
    <row r="270" spans="2:13">
      <c r="B270" s="66"/>
      <c r="C270" s="311" t="s">
        <v>93</v>
      </c>
      <c r="D270" s="311"/>
      <c r="E270" s="311"/>
      <c r="F270" s="311"/>
      <c r="G270" s="311"/>
      <c r="H270" s="311"/>
      <c r="I270" s="311"/>
      <c r="J270" s="311"/>
      <c r="K270" s="311"/>
      <c r="L270" s="311"/>
      <c r="M270" s="58"/>
    </row>
    <row r="271" spans="2:13">
      <c r="B271" s="66"/>
      <c r="C271" s="311" t="s">
        <v>354</v>
      </c>
      <c r="D271" s="311"/>
      <c r="E271" s="311"/>
      <c r="F271" s="311"/>
      <c r="G271" s="311"/>
      <c r="H271" s="311"/>
      <c r="I271" s="311"/>
      <c r="J271" s="311"/>
      <c r="K271" s="311"/>
      <c r="L271" s="311"/>
      <c r="M271" s="58"/>
    </row>
    <row r="272" spans="2:13">
      <c r="B272" s="66"/>
      <c r="C272" s="311"/>
      <c r="D272" s="311"/>
      <c r="E272" s="311"/>
      <c r="F272" s="311"/>
      <c r="G272" s="311"/>
      <c r="H272" s="311"/>
      <c r="I272" s="311"/>
      <c r="J272" s="311"/>
      <c r="K272" s="311"/>
      <c r="L272" s="311"/>
      <c r="M272" s="58"/>
    </row>
    <row r="273" spans="2:26">
      <c r="B273" s="66"/>
      <c r="C273" s="311" t="s">
        <v>119</v>
      </c>
      <c r="D273" s="311"/>
      <c r="E273" s="311"/>
      <c r="F273" s="311"/>
      <c r="G273" s="311"/>
      <c r="H273" s="311"/>
      <c r="I273" s="311"/>
      <c r="J273" s="311"/>
      <c r="K273" s="311"/>
      <c r="L273" s="311"/>
      <c r="M273" s="58"/>
      <c r="P273" s="59"/>
      <c r="Q273" s="59"/>
      <c r="R273" s="59"/>
      <c r="S273" s="59"/>
      <c r="T273" s="59"/>
      <c r="U273" s="59"/>
      <c r="V273" s="59"/>
      <c r="W273" s="59"/>
      <c r="X273" s="59"/>
      <c r="Y273" s="59"/>
      <c r="Z273" s="59"/>
    </row>
    <row r="274" spans="2:26">
      <c r="B274" s="53"/>
      <c r="C274" s="311" t="s">
        <v>120</v>
      </c>
      <c r="D274" s="311" t="s">
        <v>121</v>
      </c>
      <c r="E274" s="311" t="s">
        <v>123</v>
      </c>
      <c r="F274" s="311" t="s">
        <v>125</v>
      </c>
      <c r="G274" s="311" t="s">
        <v>356</v>
      </c>
      <c r="H274" s="311"/>
      <c r="I274" s="311"/>
      <c r="J274" s="311"/>
      <c r="K274" s="311"/>
      <c r="L274" s="311"/>
      <c r="M274" s="58"/>
    </row>
    <row r="275" spans="2:26" s="59" customFormat="1" ht="13.5">
      <c r="B275" s="50"/>
      <c r="C275" s="311">
        <v>0</v>
      </c>
      <c r="D275" s="311"/>
      <c r="E275" s="311"/>
      <c r="F275" s="311"/>
      <c r="G275" s="311"/>
      <c r="H275" s="311"/>
      <c r="I275" s="311"/>
      <c r="J275" s="311"/>
      <c r="K275" s="311"/>
      <c r="L275" s="311"/>
      <c r="M275" s="52"/>
    </row>
    <row r="276" spans="2:26" s="59" customFormat="1" ht="13.5">
      <c r="B276" s="50"/>
      <c r="C276" s="311"/>
      <c r="D276" s="311"/>
      <c r="E276" s="311"/>
      <c r="F276" s="311"/>
      <c r="G276" s="311"/>
      <c r="H276" s="311"/>
      <c r="I276" s="311"/>
      <c r="J276" s="311"/>
      <c r="K276" s="311"/>
      <c r="L276" s="311"/>
      <c r="M276" s="52"/>
    </row>
    <row r="277" spans="2:26" s="59" customFormat="1" ht="13.5">
      <c r="B277" s="50"/>
      <c r="C277" s="54" t="s">
        <v>91</v>
      </c>
      <c r="D277" s="55" t="s">
        <v>465</v>
      </c>
      <c r="E277" s="56"/>
      <c r="F277" s="57"/>
      <c r="G277" s="57"/>
      <c r="H277" s="57"/>
      <c r="I277" s="57"/>
      <c r="J277" s="57"/>
      <c r="K277" s="57"/>
      <c r="L277" s="57"/>
      <c r="M277" s="52"/>
    </row>
    <row r="278" spans="2:26" s="59" customFormat="1" ht="13.5">
      <c r="B278" s="50"/>
      <c r="C278" s="311" t="s">
        <v>93</v>
      </c>
      <c r="D278" s="311"/>
      <c r="E278" s="311"/>
      <c r="F278" s="311"/>
      <c r="G278" s="311"/>
      <c r="H278" s="311"/>
      <c r="I278" s="311"/>
      <c r="J278" s="311"/>
      <c r="K278" s="311"/>
      <c r="L278" s="311"/>
      <c r="M278" s="52"/>
    </row>
    <row r="279" spans="2:26" s="59" customFormat="1" ht="13.5">
      <c r="B279" s="50"/>
      <c r="C279" s="311" t="s">
        <v>470</v>
      </c>
      <c r="D279" s="311"/>
      <c r="E279" s="311"/>
      <c r="F279" s="311"/>
      <c r="G279" s="311"/>
      <c r="H279" s="311"/>
      <c r="I279" s="311"/>
      <c r="J279" s="311"/>
      <c r="K279" s="311"/>
      <c r="L279" s="311"/>
      <c r="M279" s="52"/>
    </row>
    <row r="280" spans="2:26" s="59" customFormat="1" ht="13.5">
      <c r="B280" s="50"/>
      <c r="C280" s="311"/>
      <c r="D280" s="311"/>
      <c r="E280" s="311"/>
      <c r="F280" s="311"/>
      <c r="G280" s="311"/>
      <c r="H280" s="311"/>
      <c r="I280" s="311"/>
      <c r="J280" s="311"/>
      <c r="K280" s="311"/>
      <c r="L280" s="311"/>
      <c r="M280" s="52"/>
    </row>
    <row r="281" spans="2:26" s="59" customFormat="1" ht="13.5">
      <c r="B281" s="50"/>
      <c r="C281" s="311" t="s">
        <v>119</v>
      </c>
      <c r="D281" s="311"/>
      <c r="E281" s="311"/>
      <c r="F281" s="311"/>
      <c r="G281" s="311"/>
      <c r="H281" s="311"/>
      <c r="I281" s="311"/>
      <c r="J281" s="311"/>
      <c r="K281" s="311"/>
      <c r="L281" s="311"/>
      <c r="M281" s="52"/>
    </row>
    <row r="282" spans="2:26" s="59" customFormat="1" ht="13.5">
      <c r="B282" s="50"/>
      <c r="C282" s="311" t="s">
        <v>120</v>
      </c>
      <c r="D282" s="311" t="s">
        <v>121</v>
      </c>
      <c r="E282" s="311" t="s">
        <v>123</v>
      </c>
      <c r="F282" s="311" t="s">
        <v>125</v>
      </c>
      <c r="G282" s="311" t="s">
        <v>356</v>
      </c>
      <c r="H282" s="311"/>
      <c r="I282" s="311"/>
      <c r="J282" s="311"/>
      <c r="K282" s="311"/>
      <c r="L282" s="311"/>
      <c r="M282" s="52"/>
    </row>
    <row r="283" spans="2:26" s="59" customFormat="1" ht="13.5">
      <c r="B283" s="50"/>
      <c r="C283" s="311">
        <v>-2</v>
      </c>
      <c r="D283" s="311" t="s">
        <v>122</v>
      </c>
      <c r="E283" s="311" t="s">
        <v>468</v>
      </c>
      <c r="F283" s="311" t="s">
        <v>469</v>
      </c>
      <c r="G283" s="311" t="s">
        <v>358</v>
      </c>
      <c r="H283" s="311"/>
      <c r="I283" s="311"/>
      <c r="J283" s="311"/>
      <c r="K283" s="311"/>
      <c r="L283" s="311"/>
      <c r="M283" s="52"/>
    </row>
    <row r="284" spans="2:26" s="59" customFormat="1" ht="13.5">
      <c r="B284" s="50"/>
      <c r="C284" s="311"/>
      <c r="D284" s="311"/>
      <c r="E284" s="311"/>
      <c r="F284" s="311"/>
      <c r="G284" s="311"/>
      <c r="H284" s="311"/>
      <c r="I284" s="311"/>
      <c r="J284" s="311"/>
      <c r="K284" s="311"/>
      <c r="L284" s="311"/>
      <c r="M284" s="52"/>
    </row>
    <row r="285" spans="2:26" s="59" customFormat="1" ht="13.5">
      <c r="B285" s="50"/>
      <c r="C285" s="54" t="s">
        <v>91</v>
      </c>
      <c r="D285" s="55" t="s">
        <v>466</v>
      </c>
      <c r="E285" s="56"/>
      <c r="F285" s="57"/>
      <c r="G285" s="57"/>
      <c r="H285" s="57"/>
      <c r="I285" s="57"/>
      <c r="J285" s="57"/>
      <c r="K285" s="57"/>
      <c r="L285" s="57"/>
      <c r="M285" s="52"/>
    </row>
    <row r="286" spans="2:26" s="59" customFormat="1" ht="13.5">
      <c r="B286" s="50"/>
      <c r="C286" s="311" t="s">
        <v>93</v>
      </c>
      <c r="D286" s="311"/>
      <c r="E286" s="311"/>
      <c r="F286" s="311"/>
      <c r="G286" s="311"/>
      <c r="H286" s="311"/>
      <c r="I286" s="311"/>
      <c r="J286" s="311"/>
      <c r="K286" s="311"/>
      <c r="L286" s="311"/>
      <c r="M286" s="52"/>
    </row>
    <row r="287" spans="2:26" s="59" customFormat="1" ht="13.5">
      <c r="B287" s="50"/>
      <c r="C287" s="311" t="s">
        <v>467</v>
      </c>
      <c r="D287" s="311"/>
      <c r="E287" s="311"/>
      <c r="F287" s="311"/>
      <c r="G287" s="311"/>
      <c r="H287" s="311"/>
      <c r="I287" s="311"/>
      <c r="J287" s="311"/>
      <c r="K287" s="311"/>
      <c r="L287" s="311"/>
      <c r="M287" s="52"/>
    </row>
    <row r="288" spans="2:26" s="59" customFormat="1" ht="13.5">
      <c r="B288" s="50"/>
      <c r="C288" s="311"/>
      <c r="D288" s="311"/>
      <c r="E288" s="311"/>
      <c r="F288" s="311"/>
      <c r="G288" s="311"/>
      <c r="H288" s="311"/>
      <c r="I288" s="311"/>
      <c r="J288" s="311"/>
      <c r="K288" s="311"/>
      <c r="L288" s="311"/>
      <c r="M288" s="52"/>
    </row>
    <row r="289" spans="2:13" s="59" customFormat="1" ht="13.5">
      <c r="B289" s="50"/>
      <c r="C289" s="311" t="s">
        <v>119</v>
      </c>
      <c r="D289" s="311"/>
      <c r="E289" s="311"/>
      <c r="F289" s="311"/>
      <c r="G289" s="311"/>
      <c r="H289" s="311"/>
      <c r="I289" s="311"/>
      <c r="J289" s="311"/>
      <c r="K289" s="311"/>
      <c r="L289" s="311"/>
      <c r="M289" s="52"/>
    </row>
    <row r="290" spans="2:13">
      <c r="B290" s="66"/>
      <c r="C290" s="311" t="s">
        <v>120</v>
      </c>
      <c r="D290" s="311" t="s">
        <v>121</v>
      </c>
      <c r="E290" s="311" t="s">
        <v>123</v>
      </c>
      <c r="F290" s="311" t="s">
        <v>125</v>
      </c>
      <c r="G290" s="311" t="s">
        <v>356</v>
      </c>
      <c r="H290" s="311"/>
      <c r="I290" s="311"/>
      <c r="J290" s="311"/>
      <c r="K290" s="311"/>
      <c r="L290" s="311"/>
      <c r="M290" s="58"/>
    </row>
    <row r="291" spans="2:13">
      <c r="B291" s="66"/>
      <c r="C291" s="311">
        <v>-2</v>
      </c>
      <c r="D291" s="311" t="s">
        <v>122</v>
      </c>
      <c r="E291" s="311" t="s">
        <v>468</v>
      </c>
      <c r="F291" s="311" t="s">
        <v>469</v>
      </c>
      <c r="G291" s="311" t="s">
        <v>358</v>
      </c>
      <c r="H291" s="311"/>
      <c r="I291" s="311"/>
      <c r="J291" s="311"/>
      <c r="K291" s="311"/>
      <c r="L291" s="311"/>
      <c r="M291" s="58"/>
    </row>
    <row r="292" spans="2:13" ht="15.5" thickBot="1">
      <c r="B292" s="66"/>
      <c r="C292" s="311"/>
      <c r="D292" s="311"/>
      <c r="E292" s="311"/>
      <c r="F292" s="311"/>
      <c r="G292" s="311"/>
      <c r="H292" s="311"/>
      <c r="I292" s="311"/>
      <c r="J292" s="311"/>
      <c r="K292" s="311"/>
      <c r="L292" s="311"/>
      <c r="M292" s="58"/>
    </row>
    <row r="293" spans="2:13" s="59" customFormat="1" ht="13.5">
      <c r="B293" s="309" t="s">
        <v>473</v>
      </c>
      <c r="C293" s="44" t="s">
        <v>472</v>
      </c>
      <c r="D293" s="44"/>
      <c r="E293" s="44"/>
      <c r="F293" s="44"/>
      <c r="G293" s="44"/>
      <c r="H293" s="44"/>
      <c r="I293" s="44"/>
      <c r="J293" s="44"/>
      <c r="K293" s="44"/>
      <c r="L293" s="44"/>
      <c r="M293" s="45"/>
    </row>
    <row r="294" spans="2:13">
      <c r="B294" s="66"/>
      <c r="C294" s="311"/>
      <c r="D294" s="311"/>
      <c r="E294" s="311"/>
      <c r="F294" s="311"/>
      <c r="G294" s="311"/>
      <c r="H294" s="311"/>
      <c r="I294" s="311"/>
      <c r="J294" s="311"/>
      <c r="K294" s="311"/>
      <c r="L294" s="311"/>
      <c r="M294" s="58"/>
    </row>
    <row r="295" spans="2:13">
      <c r="B295" s="66"/>
      <c r="C295" s="54" t="s">
        <v>91</v>
      </c>
      <c r="D295" s="55" t="s">
        <v>474</v>
      </c>
      <c r="E295" s="56"/>
      <c r="F295" s="57"/>
      <c r="G295" s="57"/>
      <c r="H295" s="57"/>
      <c r="I295" s="57"/>
      <c r="J295" s="57"/>
      <c r="K295" s="57"/>
      <c r="L295" s="57"/>
      <c r="M295" s="58"/>
    </row>
    <row r="296" spans="2:13">
      <c r="B296" s="66"/>
      <c r="C296" s="311" t="s">
        <v>93</v>
      </c>
      <c r="D296" s="311"/>
      <c r="E296" s="311"/>
      <c r="F296" s="311"/>
      <c r="G296" s="311"/>
      <c r="H296" s="311"/>
      <c r="I296" s="311"/>
      <c r="J296" s="311"/>
      <c r="K296" s="311"/>
      <c r="L296" s="311"/>
      <c r="M296" s="58"/>
    </row>
    <row r="297" spans="2:13">
      <c r="B297" s="53"/>
      <c r="C297" s="311" t="s">
        <v>354</v>
      </c>
      <c r="D297" s="311"/>
      <c r="E297" s="311"/>
      <c r="F297" s="311"/>
      <c r="G297" s="311"/>
      <c r="H297" s="311"/>
      <c r="I297" s="311"/>
      <c r="J297" s="311"/>
      <c r="K297" s="311"/>
      <c r="L297" s="311"/>
      <c r="M297" s="58"/>
    </row>
    <row r="298" spans="2:13" s="59" customFormat="1" ht="13.5">
      <c r="B298" s="50"/>
      <c r="C298" s="311"/>
      <c r="D298" s="311"/>
      <c r="E298" s="311"/>
      <c r="F298" s="311"/>
      <c r="G298" s="311"/>
      <c r="H298" s="311"/>
      <c r="I298" s="311"/>
      <c r="J298" s="311"/>
      <c r="K298" s="311"/>
      <c r="L298" s="311"/>
      <c r="M298" s="52"/>
    </row>
    <row r="299" spans="2:13" s="59" customFormat="1" ht="13.5">
      <c r="B299" s="50"/>
      <c r="C299" s="311" t="s">
        <v>119</v>
      </c>
      <c r="D299" s="311"/>
      <c r="E299" s="311"/>
      <c r="F299" s="311"/>
      <c r="G299" s="311"/>
      <c r="H299" s="311"/>
      <c r="I299" s="311"/>
      <c r="J299" s="311"/>
      <c r="K299" s="311"/>
      <c r="L299" s="311"/>
      <c r="M299" s="52"/>
    </row>
    <row r="300" spans="2:13" s="59" customFormat="1" ht="13.5">
      <c r="B300" s="50"/>
      <c r="C300" s="311" t="s">
        <v>120</v>
      </c>
      <c r="D300" s="311" t="s">
        <v>121</v>
      </c>
      <c r="E300" s="311" t="s">
        <v>123</v>
      </c>
      <c r="F300" s="311" t="s">
        <v>125</v>
      </c>
      <c r="G300" s="311" t="s">
        <v>356</v>
      </c>
      <c r="H300" s="311"/>
      <c r="I300" s="311"/>
      <c r="J300" s="311"/>
      <c r="K300" s="311"/>
      <c r="L300" s="311"/>
      <c r="M300" s="52"/>
    </row>
    <row r="301" spans="2:13" s="59" customFormat="1" ht="13.5">
      <c r="B301" s="50"/>
      <c r="C301" s="311">
        <v>0</v>
      </c>
      <c r="D301" s="311"/>
      <c r="E301" s="311"/>
      <c r="F301" s="311"/>
      <c r="G301" s="311"/>
      <c r="H301" s="311"/>
      <c r="I301" s="311"/>
      <c r="J301" s="311"/>
      <c r="K301" s="311"/>
      <c r="L301" s="311"/>
      <c r="M301" s="52"/>
    </row>
    <row r="302" spans="2:13" s="59" customFormat="1" ht="13.5">
      <c r="B302" s="50"/>
      <c r="C302" s="311"/>
      <c r="D302" s="311"/>
      <c r="E302" s="311"/>
      <c r="F302" s="311"/>
      <c r="G302" s="311"/>
      <c r="H302" s="311"/>
      <c r="I302" s="311"/>
      <c r="J302" s="311"/>
      <c r="K302" s="311"/>
      <c r="L302" s="311"/>
      <c r="M302" s="52"/>
    </row>
    <row r="303" spans="2:13" s="59" customFormat="1" ht="13.5">
      <c r="B303" s="50"/>
      <c r="C303" s="311"/>
      <c r="D303" s="311"/>
      <c r="E303" s="311"/>
      <c r="F303" s="311"/>
      <c r="G303" s="311"/>
      <c r="H303" s="311"/>
      <c r="I303" s="311"/>
      <c r="J303" s="311"/>
      <c r="K303" s="311"/>
      <c r="L303" s="311"/>
      <c r="M303" s="52"/>
    </row>
    <row r="304" spans="2:13" s="59" customFormat="1" ht="13.5">
      <c r="B304" s="50"/>
      <c r="C304" s="54" t="s">
        <v>91</v>
      </c>
      <c r="D304" s="55" t="s">
        <v>475</v>
      </c>
      <c r="E304" s="56"/>
      <c r="F304" s="57"/>
      <c r="G304" s="57"/>
      <c r="H304" s="57"/>
      <c r="I304" s="57"/>
      <c r="J304" s="57"/>
      <c r="K304" s="57"/>
      <c r="L304" s="57"/>
      <c r="M304" s="52"/>
    </row>
    <row r="305" spans="2:13" s="59" customFormat="1" ht="13.5">
      <c r="B305" s="50"/>
      <c r="C305" s="311" t="s">
        <v>93</v>
      </c>
      <c r="D305" s="311"/>
      <c r="E305" s="311"/>
      <c r="F305" s="311"/>
      <c r="G305" s="311"/>
      <c r="H305" s="311"/>
      <c r="I305" s="311"/>
      <c r="J305" s="311"/>
      <c r="K305" s="311"/>
      <c r="L305" s="311"/>
      <c r="M305" s="52"/>
    </row>
    <row r="306" spans="2:13" s="59" customFormat="1" ht="13.5">
      <c r="B306" s="50"/>
      <c r="C306" s="311" t="s">
        <v>480</v>
      </c>
      <c r="D306" s="311"/>
      <c r="E306" s="311"/>
      <c r="F306" s="311"/>
      <c r="G306" s="311"/>
      <c r="H306" s="311"/>
      <c r="I306" s="311"/>
      <c r="J306" s="311"/>
      <c r="K306" s="311"/>
      <c r="L306" s="311"/>
      <c r="M306" s="52"/>
    </row>
    <row r="307" spans="2:13" s="59" customFormat="1" ht="13.5">
      <c r="B307" s="50"/>
      <c r="C307" s="311"/>
      <c r="D307" s="311"/>
      <c r="E307" s="311"/>
      <c r="F307" s="311"/>
      <c r="G307" s="311"/>
      <c r="H307" s="311"/>
      <c r="I307" s="311"/>
      <c r="J307" s="311"/>
      <c r="K307" s="311"/>
      <c r="L307" s="311"/>
      <c r="M307" s="52"/>
    </row>
    <row r="308" spans="2:13" s="59" customFormat="1" ht="13.5">
      <c r="B308" s="50"/>
      <c r="C308" s="311" t="s">
        <v>119</v>
      </c>
      <c r="D308" s="311"/>
      <c r="E308" s="311"/>
      <c r="F308" s="311"/>
      <c r="G308" s="311"/>
      <c r="H308" s="311"/>
      <c r="I308" s="311"/>
      <c r="J308" s="311"/>
      <c r="K308" s="311"/>
      <c r="L308" s="311"/>
      <c r="M308" s="52"/>
    </row>
    <row r="309" spans="2:13" s="59" customFormat="1" ht="13.5">
      <c r="B309" s="50"/>
      <c r="C309" s="311" t="s">
        <v>120</v>
      </c>
      <c r="D309" s="311" t="s">
        <v>121</v>
      </c>
      <c r="E309" s="311" t="s">
        <v>123</v>
      </c>
      <c r="F309" s="311" t="s">
        <v>125</v>
      </c>
      <c r="G309" s="311" t="s">
        <v>356</v>
      </c>
      <c r="H309" s="311"/>
      <c r="I309" s="311"/>
      <c r="J309" s="311"/>
      <c r="K309" s="311"/>
      <c r="L309" s="311"/>
      <c r="M309" s="52"/>
    </row>
    <row r="310" spans="2:13" s="59" customFormat="1" ht="13.5">
      <c r="B310" s="50"/>
      <c r="C310" s="311">
        <v>-2</v>
      </c>
      <c r="D310" s="311" t="s">
        <v>122</v>
      </c>
      <c r="E310" s="311" t="s">
        <v>478</v>
      </c>
      <c r="F310" s="311" t="s">
        <v>479</v>
      </c>
      <c r="G310" s="311" t="s">
        <v>358</v>
      </c>
      <c r="H310" s="311"/>
      <c r="I310" s="311"/>
      <c r="J310" s="311"/>
      <c r="K310" s="311"/>
      <c r="L310" s="311"/>
      <c r="M310" s="52"/>
    </row>
    <row r="311" spans="2:13" s="59" customFormat="1" ht="13.5">
      <c r="B311" s="50"/>
      <c r="C311" s="311"/>
      <c r="D311" s="311"/>
      <c r="E311" s="311"/>
      <c r="F311" s="311"/>
      <c r="G311" s="311"/>
      <c r="H311" s="311"/>
      <c r="I311" s="311"/>
      <c r="J311" s="311"/>
      <c r="K311" s="311"/>
      <c r="L311" s="311"/>
      <c r="M311" s="52"/>
    </row>
    <row r="312" spans="2:13" s="59" customFormat="1" ht="13.5">
      <c r="B312" s="50"/>
      <c r="C312" s="311"/>
      <c r="D312" s="311"/>
      <c r="E312" s="311"/>
      <c r="F312" s="311"/>
      <c r="G312" s="311"/>
      <c r="H312" s="311"/>
      <c r="I312" s="311"/>
      <c r="J312" s="311"/>
      <c r="K312" s="311"/>
      <c r="L312" s="311"/>
      <c r="M312" s="52"/>
    </row>
    <row r="313" spans="2:13">
      <c r="B313" s="66"/>
      <c r="C313" s="311"/>
      <c r="D313" s="311"/>
      <c r="E313" s="311"/>
      <c r="F313" s="311"/>
      <c r="G313" s="311"/>
      <c r="H313" s="311"/>
      <c r="I313" s="311"/>
      <c r="J313" s="311"/>
      <c r="K313" s="311"/>
      <c r="L313" s="311"/>
      <c r="M313" s="58"/>
    </row>
    <row r="314" spans="2:13">
      <c r="B314" s="66"/>
      <c r="C314" s="54" t="s">
        <v>91</v>
      </c>
      <c r="D314" s="55" t="s">
        <v>476</v>
      </c>
      <c r="E314" s="56"/>
      <c r="F314" s="57"/>
      <c r="G314" s="57"/>
      <c r="H314" s="57"/>
      <c r="I314" s="57"/>
      <c r="J314" s="57"/>
      <c r="K314" s="57"/>
      <c r="L314" s="57"/>
      <c r="M314" s="58"/>
    </row>
    <row r="315" spans="2:13">
      <c r="B315" s="66"/>
      <c r="C315" s="311" t="s">
        <v>93</v>
      </c>
      <c r="D315" s="311"/>
      <c r="E315" s="311"/>
      <c r="F315" s="311"/>
      <c r="G315" s="311"/>
      <c r="H315" s="311"/>
      <c r="I315" s="311"/>
      <c r="J315" s="311"/>
      <c r="K315" s="311"/>
      <c r="L315" s="311"/>
      <c r="M315" s="58"/>
    </row>
    <row r="316" spans="2:13">
      <c r="B316" s="66"/>
      <c r="C316" s="311" t="s">
        <v>477</v>
      </c>
      <c r="D316" s="311"/>
      <c r="E316" s="311"/>
      <c r="F316" s="311"/>
      <c r="G316" s="311"/>
      <c r="H316" s="311"/>
      <c r="I316" s="311"/>
      <c r="J316" s="311"/>
      <c r="K316" s="311"/>
      <c r="L316" s="311"/>
      <c r="M316" s="58"/>
    </row>
    <row r="317" spans="2:13">
      <c r="B317" s="66"/>
      <c r="C317" s="311"/>
      <c r="D317" s="311"/>
      <c r="E317" s="311"/>
      <c r="F317" s="311"/>
      <c r="G317" s="311"/>
      <c r="H317" s="311"/>
      <c r="I317" s="311"/>
      <c r="J317" s="311"/>
      <c r="K317" s="311"/>
      <c r="L317" s="311"/>
      <c r="M317" s="58"/>
    </row>
    <row r="318" spans="2:13">
      <c r="B318" s="66"/>
      <c r="C318" s="311" t="s">
        <v>119</v>
      </c>
      <c r="D318" s="311"/>
      <c r="E318" s="311"/>
      <c r="F318" s="311"/>
      <c r="G318" s="311"/>
      <c r="H318" s="311"/>
      <c r="I318" s="311"/>
      <c r="J318" s="311"/>
      <c r="K318" s="311"/>
      <c r="L318" s="311"/>
      <c r="M318" s="58"/>
    </row>
    <row r="319" spans="2:13">
      <c r="B319" s="66"/>
      <c r="C319" s="311" t="s">
        <v>120</v>
      </c>
      <c r="D319" s="311" t="s">
        <v>121</v>
      </c>
      <c r="E319" s="311" t="s">
        <v>123</v>
      </c>
      <c r="F319" s="311" t="s">
        <v>125</v>
      </c>
      <c r="G319" s="311" t="s">
        <v>356</v>
      </c>
      <c r="H319" s="311"/>
      <c r="I319" s="311"/>
      <c r="J319" s="311"/>
      <c r="K319" s="311"/>
      <c r="L319" s="311"/>
      <c r="M319" s="58"/>
    </row>
    <row r="320" spans="2:13">
      <c r="B320" s="53"/>
      <c r="C320" s="311">
        <v>-2</v>
      </c>
      <c r="D320" s="311" t="s">
        <v>122</v>
      </c>
      <c r="E320" s="311" t="s">
        <v>478</v>
      </c>
      <c r="F320" s="311" t="s">
        <v>479</v>
      </c>
      <c r="G320" s="311" t="s">
        <v>358</v>
      </c>
      <c r="H320" s="311"/>
      <c r="I320" s="311"/>
      <c r="J320" s="311"/>
      <c r="K320" s="311"/>
      <c r="L320" s="311"/>
      <c r="M320" s="58"/>
    </row>
    <row r="321" spans="2:13">
      <c r="B321" s="66"/>
      <c r="C321" s="341"/>
      <c r="D321" s="340"/>
      <c r="E321" s="340"/>
      <c r="F321" s="340"/>
      <c r="G321" s="340"/>
      <c r="H321" s="340"/>
      <c r="I321" s="340"/>
      <c r="J321" s="340"/>
      <c r="K321" s="340"/>
      <c r="L321" s="340"/>
      <c r="M321" s="58"/>
    </row>
    <row r="322" spans="2:13">
      <c r="B322" s="66"/>
      <c r="C322" s="342"/>
      <c r="D322" s="343"/>
      <c r="E322" s="343"/>
      <c r="F322" s="343"/>
      <c r="G322" s="343"/>
      <c r="H322" s="343"/>
      <c r="I322" s="341"/>
      <c r="J322" s="343"/>
      <c r="K322" s="343"/>
      <c r="L322" s="343"/>
      <c r="M322" s="58"/>
    </row>
    <row r="323" spans="2:13">
      <c r="B323" s="66"/>
      <c r="C323" s="77"/>
      <c r="D323" s="78"/>
      <c r="E323" s="78"/>
      <c r="F323" s="78"/>
      <c r="G323" s="78"/>
      <c r="H323" s="78"/>
      <c r="J323" s="78"/>
      <c r="K323" s="78"/>
      <c r="L323" s="78"/>
      <c r="M323" s="58"/>
    </row>
    <row r="324" spans="2:13" ht="15.5" thickBot="1">
      <c r="B324" s="79"/>
      <c r="C324" s="80"/>
      <c r="D324" s="81"/>
      <c r="E324" s="81"/>
      <c r="F324" s="81"/>
      <c r="G324" s="81"/>
      <c r="H324" s="81"/>
      <c r="I324" s="81"/>
      <c r="J324" s="81"/>
      <c r="K324" s="81"/>
      <c r="L324" s="81"/>
      <c r="M324" s="82"/>
    </row>
  </sheetData>
  <phoneticPr fontId="3"/>
  <hyperlinks>
    <hyperlink ref="A1" location="TCS!A1" display="戻る" xr:uid="{6DB7B3CE-5926-41D1-8A21-CC7440CAE900}"/>
  </hyperlinks>
  <pageMargins left="0.78700000000000003" right="0.78700000000000003" top="0.98399999999999999" bottom="0.98399999999999999" header="0.51200000000000001" footer="0.51200000000000001"/>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1140-9EDD-471B-8F56-10E79D933A3C}">
  <dimension ref="A1:BF185"/>
  <sheetViews>
    <sheetView workbookViewId="0"/>
  </sheetViews>
  <sheetFormatPr defaultRowHeight="13"/>
  <cols>
    <col min="2" max="2" width="17.1796875" bestFit="1" customWidth="1"/>
    <col min="4" max="4" width="29.08984375" customWidth="1"/>
    <col min="5" max="5" width="22.26953125" customWidth="1"/>
    <col min="6" max="6" width="99.36328125" customWidth="1"/>
    <col min="7" max="7" width="15.36328125" customWidth="1"/>
  </cols>
  <sheetData>
    <row r="1" spans="1:58" ht="15.5" thickBot="1">
      <c r="A1" s="335" t="s">
        <v>85</v>
      </c>
      <c r="B1" s="312"/>
      <c r="C1" s="313"/>
      <c r="D1" s="314"/>
      <c r="E1" s="314"/>
      <c r="F1" s="314"/>
      <c r="G1" s="314"/>
      <c r="H1" s="314"/>
      <c r="I1" s="314"/>
      <c r="J1" s="314"/>
      <c r="K1" s="314"/>
      <c r="L1" s="314"/>
      <c r="M1" s="314"/>
      <c r="N1" s="314"/>
      <c r="O1" s="314"/>
      <c r="P1" s="314"/>
      <c r="Q1" s="314"/>
      <c r="R1" s="315"/>
      <c r="S1" s="315"/>
      <c r="T1" s="315"/>
      <c r="U1" s="315"/>
      <c r="V1" s="315"/>
      <c r="W1" s="315"/>
      <c r="X1" s="315"/>
      <c r="Y1" s="315"/>
      <c r="Z1" s="315"/>
      <c r="AA1" s="315"/>
      <c r="AB1" s="315"/>
      <c r="AC1" s="315"/>
      <c r="AD1" s="315"/>
      <c r="AE1" s="315"/>
      <c r="AF1" s="315"/>
      <c r="AG1" s="315"/>
      <c r="AH1" s="315"/>
      <c r="AI1" s="315"/>
      <c r="AJ1" s="315"/>
      <c r="AK1" s="315"/>
      <c r="AL1" s="315"/>
      <c r="AM1" s="315"/>
      <c r="AN1" s="315"/>
      <c r="AO1" s="315"/>
      <c r="AP1" s="315"/>
      <c r="AQ1" s="315"/>
      <c r="AR1" s="315"/>
      <c r="AS1" s="315"/>
      <c r="AT1" s="315"/>
      <c r="AU1" s="315"/>
      <c r="AV1" s="315"/>
      <c r="AW1" s="315"/>
      <c r="AX1" s="315"/>
      <c r="AY1" s="315"/>
      <c r="AZ1" s="315"/>
      <c r="BA1" s="315"/>
      <c r="BB1" s="315"/>
      <c r="BC1" s="315"/>
      <c r="BD1" s="315"/>
      <c r="BE1" s="315"/>
      <c r="BF1" s="316"/>
    </row>
    <row r="2" spans="1:58" ht="33" thickBot="1">
      <c r="A2" s="317"/>
      <c r="B2" s="325" t="s">
        <v>528</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6"/>
      <c r="AQ2" s="326"/>
      <c r="AR2" s="326"/>
      <c r="AS2" s="326"/>
      <c r="AT2" s="326"/>
      <c r="AU2" s="326"/>
      <c r="AV2" s="326"/>
      <c r="AW2" s="326"/>
      <c r="AX2" s="326"/>
      <c r="AY2" s="326"/>
      <c r="AZ2" s="326"/>
      <c r="BA2" s="326"/>
      <c r="BB2" s="326"/>
      <c r="BC2" s="326"/>
      <c r="BD2" s="326"/>
      <c r="BE2" s="326"/>
      <c r="BF2" s="330"/>
    </row>
    <row r="3" spans="1:58" ht="14.5" thickTop="1" thickBot="1">
      <c r="B3" s="319" t="s">
        <v>529</v>
      </c>
      <c r="C3" s="320" t="s">
        <v>511</v>
      </c>
      <c r="D3" s="320"/>
      <c r="E3" s="320"/>
      <c r="F3" s="320"/>
      <c r="G3" s="320"/>
      <c r="H3" s="320"/>
      <c r="I3" s="320"/>
      <c r="J3" s="320"/>
      <c r="K3" s="320"/>
      <c r="L3" s="320"/>
      <c r="M3" s="320"/>
      <c r="N3" s="320"/>
      <c r="O3" s="320"/>
      <c r="P3" s="320"/>
      <c r="Q3" s="320"/>
      <c r="R3" s="320"/>
      <c r="S3" s="320"/>
      <c r="T3" s="320"/>
      <c r="U3" s="320"/>
      <c r="V3" s="320"/>
      <c r="W3" s="320"/>
      <c r="X3" s="320"/>
      <c r="Y3" s="320"/>
      <c r="Z3" s="320"/>
      <c r="AA3" s="320"/>
      <c r="AB3" s="320"/>
      <c r="AC3" s="320"/>
      <c r="AD3" s="320"/>
      <c r="AE3" s="320"/>
      <c r="AF3" s="320"/>
      <c r="AG3" s="320"/>
      <c r="AH3" s="320"/>
      <c r="AI3" s="320"/>
      <c r="AJ3" s="320"/>
      <c r="AK3" s="320"/>
      <c r="AL3" s="320"/>
      <c r="AM3" s="320"/>
      <c r="AN3" s="320"/>
      <c r="AO3" s="320"/>
      <c r="AP3" s="320"/>
      <c r="AQ3" s="320"/>
      <c r="AR3" s="320"/>
      <c r="AS3" s="320"/>
      <c r="AT3" s="320"/>
      <c r="AU3" s="320"/>
      <c r="AV3" s="320"/>
      <c r="AW3" s="320"/>
      <c r="AX3" s="320"/>
      <c r="AY3" s="320"/>
      <c r="AZ3" s="320"/>
      <c r="BA3" s="320"/>
      <c r="BB3" s="320"/>
      <c r="BC3" s="320"/>
      <c r="BD3" s="320"/>
      <c r="BE3" s="320"/>
      <c r="BF3" s="333"/>
    </row>
    <row r="4" spans="1:58" ht="14" thickBot="1">
      <c r="B4" s="319" t="s">
        <v>527</v>
      </c>
      <c r="C4" s="320" t="s">
        <v>512</v>
      </c>
      <c r="D4" s="320"/>
      <c r="E4" s="320"/>
      <c r="F4" s="320"/>
      <c r="G4" s="320"/>
      <c r="H4" s="320"/>
      <c r="I4" s="320"/>
      <c r="J4" s="320"/>
      <c r="K4" s="320"/>
      <c r="L4" s="320"/>
      <c r="M4" s="320"/>
      <c r="N4" s="320"/>
      <c r="O4" s="320"/>
      <c r="P4" s="320"/>
      <c r="Q4" s="320"/>
      <c r="R4" s="320"/>
      <c r="S4" s="320"/>
      <c r="T4" s="320"/>
      <c r="U4" s="320"/>
      <c r="V4" s="320"/>
      <c r="W4" s="320"/>
      <c r="X4" s="320"/>
      <c r="Y4" s="320"/>
      <c r="Z4" s="320"/>
      <c r="AA4" s="320"/>
      <c r="AB4" s="320"/>
      <c r="AC4" s="320"/>
      <c r="AD4" s="320"/>
      <c r="AE4" s="320"/>
      <c r="AF4" s="320"/>
      <c r="AG4" s="320"/>
      <c r="AH4" s="320"/>
      <c r="AI4" s="320"/>
      <c r="AJ4" s="320"/>
      <c r="AK4" s="320"/>
      <c r="AL4" s="320"/>
      <c r="AM4" s="320"/>
      <c r="AN4" s="320"/>
      <c r="AO4" s="320"/>
      <c r="AP4" s="320"/>
      <c r="AQ4" s="320"/>
      <c r="AR4" s="320"/>
      <c r="AS4" s="320"/>
      <c r="AT4" s="320"/>
      <c r="AU4" s="320"/>
      <c r="AV4" s="320"/>
      <c r="AW4" s="320"/>
      <c r="AX4" s="320"/>
      <c r="AY4" s="320"/>
      <c r="AZ4" s="320"/>
      <c r="BA4" s="320"/>
      <c r="BB4" s="320"/>
      <c r="BC4" s="320"/>
      <c r="BD4" s="320"/>
      <c r="BE4" s="320"/>
      <c r="BF4" s="333"/>
    </row>
    <row r="5" spans="1:58" ht="14" thickBot="1">
      <c r="B5" s="321" t="s">
        <v>530</v>
      </c>
      <c r="C5" s="320" t="s">
        <v>531</v>
      </c>
      <c r="D5" s="320"/>
      <c r="E5" s="320"/>
      <c r="F5" s="320"/>
      <c r="G5" s="320"/>
      <c r="H5" s="320"/>
      <c r="I5" s="320"/>
      <c r="J5" s="320"/>
      <c r="K5" s="320"/>
      <c r="L5" s="320"/>
      <c r="M5" s="320"/>
      <c r="N5" s="320"/>
      <c r="O5" s="320"/>
      <c r="P5" s="320"/>
      <c r="Q5" s="320"/>
      <c r="R5" s="320"/>
      <c r="S5" s="320"/>
      <c r="T5" s="320"/>
      <c r="U5" s="320"/>
      <c r="V5" s="320"/>
      <c r="W5" s="320"/>
      <c r="X5" s="320"/>
      <c r="Y5" s="320"/>
      <c r="Z5" s="320"/>
      <c r="AA5" s="320"/>
      <c r="AB5" s="320"/>
      <c r="AC5" s="320"/>
      <c r="AD5" s="320"/>
      <c r="AE5" s="320"/>
      <c r="AF5" s="320"/>
      <c r="AG5" s="320"/>
      <c r="AH5" s="320"/>
      <c r="AI5" s="320"/>
      <c r="AJ5" s="320"/>
      <c r="AK5" s="320"/>
      <c r="AL5" s="320"/>
      <c r="AM5" s="320"/>
      <c r="AN5" s="320"/>
      <c r="AO5" s="320"/>
      <c r="AP5" s="320"/>
      <c r="AQ5" s="320"/>
      <c r="AR5" s="320"/>
      <c r="AS5" s="320"/>
      <c r="AT5" s="320"/>
      <c r="AU5" s="320"/>
      <c r="AV5" s="320"/>
      <c r="AW5" s="320"/>
      <c r="AX5" s="320"/>
      <c r="AY5" s="320"/>
      <c r="AZ5" s="320"/>
      <c r="BA5" s="320"/>
      <c r="BB5" s="320"/>
      <c r="BC5" s="320"/>
      <c r="BD5" s="320"/>
      <c r="BE5" s="320"/>
      <c r="BF5" s="333"/>
    </row>
    <row r="6" spans="1:58" ht="13.5">
      <c r="B6" s="322"/>
      <c r="C6" s="323"/>
      <c r="D6" s="347"/>
      <c r="E6" s="347"/>
      <c r="F6" s="347"/>
      <c r="G6" s="347"/>
      <c r="H6" s="347"/>
      <c r="I6" s="347"/>
      <c r="J6" s="347"/>
      <c r="K6" s="347"/>
      <c r="L6" s="347"/>
      <c r="M6" s="347"/>
      <c r="N6" s="347"/>
      <c r="O6" s="347"/>
      <c r="P6" s="347"/>
      <c r="Q6" s="347"/>
      <c r="R6" s="347"/>
      <c r="S6" s="347"/>
      <c r="T6" s="347"/>
      <c r="U6" s="347"/>
      <c r="V6" s="347"/>
      <c r="W6" s="347"/>
      <c r="X6" s="347"/>
      <c r="Y6" s="347"/>
      <c r="Z6" s="347"/>
      <c r="AA6" s="347"/>
      <c r="AB6" s="347"/>
      <c r="AC6" s="347"/>
      <c r="AD6" s="347"/>
      <c r="AE6" s="347"/>
      <c r="AF6" s="347"/>
      <c r="AG6" s="347"/>
      <c r="AH6" s="347"/>
      <c r="AI6" s="347"/>
      <c r="AJ6" s="347"/>
      <c r="AK6" s="347"/>
      <c r="AL6" s="347"/>
      <c r="AM6" s="347"/>
      <c r="AN6" s="347"/>
      <c r="AO6" s="347"/>
      <c r="AP6" s="347"/>
      <c r="AQ6" s="347"/>
      <c r="AR6" s="347"/>
      <c r="AS6" s="347"/>
      <c r="AT6" s="347"/>
      <c r="AU6" s="347"/>
      <c r="AV6" s="347"/>
      <c r="AW6" s="347"/>
      <c r="AX6" s="347"/>
      <c r="AY6" s="347"/>
      <c r="AZ6" s="347"/>
      <c r="BA6" s="347"/>
      <c r="BB6" s="347"/>
      <c r="BC6" s="347"/>
      <c r="BD6" s="347"/>
      <c r="BE6" s="347"/>
      <c r="BF6" s="334"/>
    </row>
    <row r="7" spans="1:58" ht="13.5">
      <c r="B7" s="322"/>
      <c r="C7" s="323" t="s">
        <v>532</v>
      </c>
      <c r="D7" s="347"/>
      <c r="E7" s="347"/>
      <c r="F7" s="347"/>
      <c r="G7" s="347"/>
      <c r="H7" s="347"/>
      <c r="I7" s="347"/>
      <c r="J7" s="347"/>
      <c r="K7" s="347"/>
      <c r="L7" s="347"/>
      <c r="M7" s="347"/>
      <c r="N7" s="347"/>
      <c r="O7" s="347"/>
      <c r="P7" s="347"/>
      <c r="Q7" s="347"/>
      <c r="AD7" s="347"/>
      <c r="AE7" s="347"/>
      <c r="AF7" s="347"/>
      <c r="AG7" s="347"/>
      <c r="AH7" s="347"/>
      <c r="AI7" s="347"/>
      <c r="AJ7" s="347"/>
      <c r="AK7" s="347"/>
      <c r="AL7" s="347"/>
      <c r="AM7" s="347"/>
      <c r="AN7" s="347"/>
      <c r="AO7" s="347"/>
      <c r="AP7" s="347"/>
      <c r="AQ7" s="347"/>
      <c r="AR7" s="347"/>
      <c r="AS7" s="347"/>
      <c r="AT7" s="347"/>
      <c r="AU7" s="347"/>
      <c r="AV7" s="347"/>
      <c r="AW7" s="347"/>
      <c r="AX7" s="347"/>
      <c r="AY7" s="347"/>
      <c r="AZ7" s="347"/>
      <c r="BA7" s="347"/>
      <c r="BB7" s="347"/>
      <c r="BC7" s="347"/>
      <c r="BD7" s="347"/>
      <c r="BE7" s="347"/>
      <c r="BF7" s="334"/>
    </row>
    <row r="8" spans="1:58" ht="13.5">
      <c r="B8" s="322"/>
      <c r="C8" s="323" t="s">
        <v>354</v>
      </c>
      <c r="D8" s="347"/>
      <c r="E8" s="347"/>
      <c r="F8" s="347"/>
      <c r="G8" s="347"/>
      <c r="H8" s="347"/>
      <c r="I8" s="347"/>
      <c r="J8" s="347"/>
      <c r="K8" s="347"/>
      <c r="L8" s="347"/>
      <c r="M8" s="347"/>
      <c r="N8" s="347"/>
      <c r="O8" s="347"/>
      <c r="P8" s="347"/>
      <c r="Q8" s="347"/>
      <c r="AD8" s="347"/>
      <c r="AE8" s="347"/>
      <c r="AF8" s="347"/>
      <c r="AG8" s="347"/>
      <c r="AH8" s="347"/>
      <c r="AI8" s="347"/>
      <c r="AJ8" s="347"/>
      <c r="AK8" s="347"/>
      <c r="AL8" s="347"/>
      <c r="AM8" s="347"/>
      <c r="AN8" s="347"/>
      <c r="AO8" s="347"/>
      <c r="AP8" s="347"/>
      <c r="AQ8" s="347"/>
      <c r="AR8" s="347"/>
      <c r="AS8" s="347"/>
      <c r="AT8" s="347"/>
      <c r="AU8" s="347"/>
      <c r="AV8" s="347"/>
      <c r="AW8" s="347"/>
      <c r="AX8" s="347"/>
      <c r="AY8" s="347"/>
      <c r="AZ8" s="347"/>
      <c r="BA8" s="347"/>
      <c r="BB8" s="347"/>
      <c r="BC8" s="347"/>
      <c r="BD8" s="347"/>
      <c r="BE8" s="347"/>
      <c r="BF8" s="334"/>
    </row>
    <row r="9" spans="1:58">
      <c r="B9" s="324"/>
      <c r="BF9" s="318"/>
    </row>
    <row r="10" spans="1:58" ht="13.5">
      <c r="B10" s="324"/>
      <c r="C10" s="323" t="s">
        <v>119</v>
      </c>
      <c r="D10" s="323"/>
      <c r="E10" s="323"/>
      <c r="F10" s="323"/>
      <c r="G10" s="323"/>
      <c r="H10" s="323"/>
      <c r="I10" s="323"/>
      <c r="J10" s="323"/>
      <c r="K10" s="323"/>
      <c r="L10" s="323"/>
      <c r="M10" s="323"/>
      <c r="N10" s="323"/>
      <c r="O10" s="323"/>
      <c r="P10" s="323"/>
      <c r="Q10" s="323"/>
      <c r="R10" s="323"/>
      <c r="S10" s="323"/>
      <c r="T10" s="323"/>
      <c r="U10" s="323"/>
      <c r="V10" s="323"/>
      <c r="BF10" s="318"/>
    </row>
    <row r="11" spans="1:58" ht="13.5">
      <c r="B11" s="324"/>
      <c r="C11" s="323" t="s">
        <v>120</v>
      </c>
      <c r="D11" s="323" t="s">
        <v>121</v>
      </c>
      <c r="E11" s="323" t="s">
        <v>123</v>
      </c>
      <c r="F11" s="323" t="s">
        <v>125</v>
      </c>
      <c r="G11" s="323" t="s">
        <v>356</v>
      </c>
      <c r="H11" s="323"/>
      <c r="I11" s="323"/>
      <c r="J11" s="323"/>
      <c r="K11" s="323"/>
      <c r="L11" s="323"/>
      <c r="M11" s="323"/>
      <c r="N11" s="323"/>
      <c r="O11" s="323"/>
      <c r="P11" s="323"/>
      <c r="Q11" s="323"/>
      <c r="R11" s="323"/>
      <c r="S11" s="323"/>
      <c r="T11" s="323"/>
      <c r="U11" s="323"/>
      <c r="V11" s="323"/>
      <c r="BF11" s="318"/>
    </row>
    <row r="12" spans="1:58" ht="13.5">
      <c r="B12" s="324"/>
      <c r="C12" s="323">
        <v>0</v>
      </c>
      <c r="D12" s="323"/>
      <c r="E12" s="323"/>
      <c r="F12" s="323"/>
      <c r="G12" s="323"/>
      <c r="H12" s="323"/>
      <c r="I12" s="323"/>
      <c r="J12" s="323"/>
      <c r="K12" s="323"/>
      <c r="L12" s="323"/>
      <c r="M12" s="323"/>
      <c r="N12" s="323"/>
      <c r="O12" s="323"/>
      <c r="P12" s="323"/>
      <c r="Q12" s="323"/>
      <c r="R12" s="323"/>
      <c r="S12" s="323"/>
      <c r="T12" s="323"/>
      <c r="U12" s="323"/>
      <c r="V12" s="323"/>
      <c r="BF12" s="318"/>
    </row>
    <row r="13" spans="1:58" ht="14" thickBot="1">
      <c r="B13" s="324"/>
      <c r="C13" s="323"/>
      <c r="D13" s="323"/>
      <c r="E13" s="323"/>
      <c r="F13" s="323"/>
      <c r="G13" s="323"/>
      <c r="H13" s="323"/>
      <c r="I13" s="323"/>
      <c r="J13" s="323"/>
      <c r="K13" s="323"/>
      <c r="L13" s="323"/>
      <c r="M13" s="323"/>
      <c r="N13" s="323"/>
      <c r="O13" s="323"/>
      <c r="P13" s="323"/>
      <c r="Q13" s="323"/>
      <c r="R13" s="323"/>
      <c r="S13" s="323"/>
      <c r="T13" s="323"/>
      <c r="U13" s="323"/>
      <c r="V13" s="323"/>
      <c r="BF13" s="318"/>
    </row>
    <row r="14" spans="1:58" ht="14" thickBot="1">
      <c r="B14" s="319" t="s">
        <v>533</v>
      </c>
      <c r="C14" s="320" t="s">
        <v>524</v>
      </c>
      <c r="D14" s="320"/>
      <c r="E14" s="320"/>
      <c r="F14" s="320"/>
      <c r="G14" s="320"/>
      <c r="H14" s="320"/>
      <c r="I14" s="320"/>
      <c r="J14" s="320"/>
      <c r="K14" s="320"/>
      <c r="L14" s="320"/>
      <c r="M14" s="320"/>
      <c r="N14" s="320"/>
      <c r="O14" s="320"/>
      <c r="P14" s="320"/>
      <c r="Q14" s="320"/>
      <c r="R14" s="320"/>
      <c r="S14" s="320"/>
      <c r="T14" s="320"/>
      <c r="U14" s="320"/>
      <c r="V14" s="320"/>
      <c r="W14" s="320"/>
      <c r="X14" s="320"/>
      <c r="Y14" s="320"/>
      <c r="Z14" s="320"/>
      <c r="AA14" s="320"/>
      <c r="AB14" s="320"/>
      <c r="AC14" s="320"/>
      <c r="AD14" s="320"/>
      <c r="AE14" s="320"/>
      <c r="AF14" s="320"/>
      <c r="AG14" s="320"/>
      <c r="AH14" s="320"/>
      <c r="AI14" s="320"/>
      <c r="AJ14" s="320"/>
      <c r="AK14" s="320"/>
      <c r="AL14" s="320"/>
      <c r="AM14" s="320"/>
      <c r="AN14" s="320"/>
      <c r="AO14" s="320"/>
      <c r="AP14" s="320"/>
      <c r="AQ14" s="320"/>
      <c r="AR14" s="320"/>
      <c r="AS14" s="320"/>
      <c r="AT14" s="320"/>
      <c r="AU14" s="320"/>
      <c r="AV14" s="320"/>
      <c r="AW14" s="320"/>
      <c r="AX14" s="320"/>
      <c r="AY14" s="320"/>
      <c r="AZ14" s="320"/>
      <c r="BA14" s="320"/>
      <c r="BB14" s="320"/>
      <c r="BC14" s="320"/>
      <c r="BD14" s="320"/>
      <c r="BE14" s="320"/>
      <c r="BF14" s="333"/>
    </row>
    <row r="15" spans="1:58" ht="14" thickBot="1">
      <c r="B15" s="319" t="s">
        <v>535</v>
      </c>
      <c r="C15" s="320" t="s">
        <v>521</v>
      </c>
      <c r="D15" s="320"/>
      <c r="E15" s="320"/>
      <c r="F15" s="320"/>
      <c r="G15" s="320"/>
      <c r="H15" s="320"/>
      <c r="I15" s="320"/>
      <c r="J15" s="320"/>
      <c r="K15" s="320"/>
      <c r="L15" s="320"/>
      <c r="M15" s="320"/>
      <c r="N15" s="320"/>
      <c r="O15" s="320"/>
      <c r="P15" s="320"/>
      <c r="Q15" s="320"/>
      <c r="R15" s="320"/>
      <c r="S15" s="320"/>
      <c r="T15" s="320"/>
      <c r="U15" s="320"/>
      <c r="V15" s="320"/>
      <c r="W15" s="320"/>
      <c r="X15" s="320"/>
      <c r="Y15" s="320"/>
      <c r="Z15" s="320"/>
      <c r="AA15" s="320"/>
      <c r="AB15" s="320"/>
      <c r="AC15" s="320"/>
      <c r="AD15" s="320"/>
      <c r="AE15" s="320"/>
      <c r="AF15" s="320"/>
      <c r="AG15" s="320"/>
      <c r="AH15" s="320"/>
      <c r="AI15" s="320"/>
      <c r="AJ15" s="320"/>
      <c r="AK15" s="320"/>
      <c r="AL15" s="320"/>
      <c r="AM15" s="320"/>
      <c r="AN15" s="320"/>
      <c r="AO15" s="320"/>
      <c r="AP15" s="320"/>
      <c r="AQ15" s="320"/>
      <c r="AR15" s="320"/>
      <c r="AS15" s="320"/>
      <c r="AT15" s="320"/>
      <c r="AU15" s="320"/>
      <c r="AV15" s="320"/>
      <c r="AW15" s="320"/>
      <c r="AX15" s="320"/>
      <c r="AY15" s="320"/>
      <c r="AZ15" s="320"/>
      <c r="BA15" s="320"/>
      <c r="BB15" s="320"/>
      <c r="BC15" s="320"/>
      <c r="BD15" s="320"/>
      <c r="BE15" s="320"/>
      <c r="BF15" s="333"/>
    </row>
    <row r="16" spans="1:58" ht="14" thickBot="1">
      <c r="B16" s="346" t="s">
        <v>563</v>
      </c>
      <c r="C16" s="320" t="s">
        <v>557</v>
      </c>
      <c r="D16" s="320"/>
      <c r="E16" s="320"/>
      <c r="F16" s="320"/>
      <c r="G16" s="320"/>
      <c r="H16" s="320"/>
      <c r="I16" s="320"/>
      <c r="J16" s="320"/>
      <c r="K16" s="320"/>
      <c r="L16" s="320"/>
      <c r="M16" s="320"/>
      <c r="N16" s="320"/>
      <c r="O16" s="320"/>
      <c r="P16" s="320"/>
      <c r="Q16" s="320"/>
      <c r="R16" s="320"/>
      <c r="S16" s="320"/>
      <c r="T16" s="320"/>
      <c r="U16" s="320"/>
      <c r="V16" s="320"/>
      <c r="W16" s="320"/>
      <c r="X16" s="320"/>
      <c r="Y16" s="320"/>
      <c r="Z16" s="320"/>
      <c r="AA16" s="320"/>
      <c r="AB16" s="320"/>
      <c r="AC16" s="320"/>
      <c r="AD16" s="320"/>
      <c r="AE16" s="320"/>
      <c r="AF16" s="320"/>
      <c r="AG16" s="320"/>
      <c r="AH16" s="320"/>
      <c r="AI16" s="320"/>
      <c r="AJ16" s="320"/>
      <c r="AK16" s="320"/>
      <c r="AL16" s="320"/>
      <c r="AM16" s="320"/>
      <c r="AN16" s="320"/>
      <c r="AO16" s="320"/>
      <c r="AP16" s="320"/>
      <c r="AQ16" s="320"/>
      <c r="AR16" s="320"/>
      <c r="AS16" s="320"/>
      <c r="AT16" s="320"/>
      <c r="AU16" s="320"/>
      <c r="AV16" s="320"/>
      <c r="AW16" s="320"/>
      <c r="AX16" s="320"/>
      <c r="AY16" s="320"/>
      <c r="AZ16" s="320"/>
      <c r="BA16" s="320"/>
      <c r="BB16" s="320"/>
      <c r="BC16" s="320"/>
      <c r="BD16" s="320"/>
      <c r="BE16" s="320"/>
      <c r="BF16" s="333"/>
    </row>
    <row r="17" spans="2:58" ht="14" thickBot="1">
      <c r="B17" s="321" t="s">
        <v>530</v>
      </c>
      <c r="C17" s="320" t="s">
        <v>531</v>
      </c>
      <c r="D17" s="320"/>
      <c r="E17" s="320"/>
      <c r="F17" s="320"/>
      <c r="G17" s="320"/>
      <c r="H17" s="320"/>
      <c r="I17" s="320"/>
      <c r="J17" s="320"/>
      <c r="K17" s="320"/>
      <c r="L17" s="320"/>
      <c r="M17" s="320"/>
      <c r="N17" s="320"/>
      <c r="O17" s="320"/>
      <c r="P17" s="320"/>
      <c r="Q17" s="320"/>
      <c r="R17" s="320"/>
      <c r="S17" s="320"/>
      <c r="T17" s="320"/>
      <c r="U17" s="320"/>
      <c r="V17" s="320"/>
      <c r="W17" s="320"/>
      <c r="X17" s="320"/>
      <c r="Y17" s="320"/>
      <c r="Z17" s="320"/>
      <c r="AA17" s="320"/>
      <c r="AB17" s="320"/>
      <c r="AC17" s="320"/>
      <c r="AD17" s="320"/>
      <c r="AE17" s="320"/>
      <c r="AF17" s="320"/>
      <c r="AG17" s="320"/>
      <c r="AH17" s="320"/>
      <c r="AI17" s="320"/>
      <c r="AJ17" s="320"/>
      <c r="AK17" s="320"/>
      <c r="AL17" s="320"/>
      <c r="AM17" s="320"/>
      <c r="AN17" s="320"/>
      <c r="AO17" s="320"/>
      <c r="AP17" s="320"/>
      <c r="AQ17" s="320"/>
      <c r="AR17" s="320"/>
      <c r="AS17" s="320"/>
      <c r="AT17" s="320"/>
      <c r="AU17" s="320"/>
      <c r="AV17" s="320"/>
      <c r="AW17" s="320"/>
      <c r="AX17" s="320"/>
      <c r="AY17" s="320"/>
      <c r="AZ17" s="320"/>
      <c r="BA17" s="320"/>
      <c r="BB17" s="320"/>
      <c r="BC17" s="320"/>
      <c r="BD17" s="320"/>
      <c r="BE17" s="320"/>
      <c r="BF17" s="333"/>
    </row>
    <row r="18" spans="2:58" ht="13.5">
      <c r="B18" s="324"/>
      <c r="C18" s="323"/>
      <c r="D18" s="323"/>
      <c r="E18" s="323"/>
      <c r="F18" s="323"/>
      <c r="G18" s="323"/>
      <c r="H18" s="323"/>
      <c r="I18" s="323"/>
      <c r="J18" s="323"/>
      <c r="K18" s="323"/>
      <c r="L18" s="323"/>
      <c r="M18" s="323"/>
      <c r="N18" s="323"/>
      <c r="O18" s="323"/>
      <c r="P18" s="323"/>
      <c r="Q18" s="323"/>
      <c r="R18" s="323"/>
      <c r="S18" s="323"/>
      <c r="T18" s="323"/>
      <c r="U18" s="323"/>
      <c r="V18" s="323"/>
      <c r="BF18" s="318"/>
    </row>
    <row r="19" spans="2:58" ht="13.5">
      <c r="B19" s="324"/>
      <c r="C19" s="323" t="s">
        <v>532</v>
      </c>
      <c r="D19" s="323"/>
      <c r="E19" s="323"/>
      <c r="F19" s="323"/>
      <c r="G19" s="323"/>
      <c r="H19" s="323"/>
      <c r="I19" s="323"/>
      <c r="J19" s="323"/>
      <c r="K19" s="323"/>
      <c r="L19" s="323"/>
      <c r="M19" s="323"/>
      <c r="N19" s="323"/>
      <c r="O19" s="323"/>
      <c r="P19" s="323"/>
      <c r="Q19" s="323"/>
      <c r="R19" s="323"/>
      <c r="S19" s="323"/>
      <c r="T19" s="323"/>
      <c r="U19" s="323"/>
      <c r="V19" s="323"/>
      <c r="BF19" s="318"/>
    </row>
    <row r="20" spans="2:58" ht="13.5">
      <c r="B20" s="324"/>
      <c r="C20" s="323" t="s">
        <v>354</v>
      </c>
      <c r="D20" s="323"/>
      <c r="E20" s="323"/>
      <c r="F20" s="323"/>
      <c r="G20" s="323"/>
      <c r="H20" s="323"/>
      <c r="I20" s="323"/>
      <c r="J20" s="323"/>
      <c r="K20" s="323"/>
      <c r="L20" s="323"/>
      <c r="M20" s="323"/>
      <c r="N20" s="323"/>
      <c r="O20" s="323"/>
      <c r="P20" s="323"/>
      <c r="Q20" s="323"/>
      <c r="R20" s="323"/>
      <c r="S20" s="323"/>
      <c r="T20" s="323"/>
      <c r="U20" s="323"/>
      <c r="V20" s="323"/>
      <c r="BF20" s="318"/>
    </row>
    <row r="21" spans="2:58">
      <c r="B21" s="324"/>
      <c r="BF21" s="318"/>
    </row>
    <row r="22" spans="2:58" ht="13.5">
      <c r="B22" s="324"/>
      <c r="C22" s="323" t="s">
        <v>119</v>
      </c>
      <c r="D22" s="323"/>
      <c r="E22" s="323"/>
      <c r="F22" s="323"/>
      <c r="G22" s="323"/>
      <c r="BF22" s="318"/>
    </row>
    <row r="23" spans="2:58" ht="13.5">
      <c r="B23" s="324"/>
      <c r="C23" s="323" t="s">
        <v>120</v>
      </c>
      <c r="D23" s="323" t="s">
        <v>121</v>
      </c>
      <c r="E23" s="323" t="s">
        <v>123</v>
      </c>
      <c r="F23" s="323" t="s">
        <v>125</v>
      </c>
      <c r="G23" s="323" t="s">
        <v>356</v>
      </c>
      <c r="BF23" s="318"/>
    </row>
    <row r="24" spans="2:58" ht="13.5">
      <c r="B24" s="324"/>
      <c r="C24" s="323">
        <v>0</v>
      </c>
      <c r="D24" s="323"/>
      <c r="E24" s="323"/>
      <c r="F24" s="323"/>
      <c r="G24" s="323"/>
      <c r="BF24" s="318"/>
    </row>
    <row r="25" spans="2:58" ht="13.5" thickBot="1">
      <c r="B25" s="324"/>
      <c r="BF25" s="318"/>
    </row>
    <row r="26" spans="2:58" ht="14" thickBot="1">
      <c r="B26" s="319" t="s">
        <v>536</v>
      </c>
      <c r="C26" s="320" t="s">
        <v>525</v>
      </c>
      <c r="D26" s="320"/>
      <c r="E26" s="320"/>
      <c r="F26" s="320"/>
      <c r="G26" s="320"/>
      <c r="H26" s="320"/>
      <c r="I26" s="320"/>
      <c r="J26" s="320"/>
      <c r="K26" s="320"/>
      <c r="L26" s="320"/>
      <c r="M26" s="320"/>
      <c r="N26" s="320"/>
      <c r="O26" s="320"/>
      <c r="P26" s="320"/>
      <c r="Q26" s="320"/>
      <c r="R26" s="320"/>
      <c r="S26" s="320"/>
      <c r="T26" s="320"/>
      <c r="U26" s="320"/>
      <c r="V26" s="320"/>
      <c r="W26" s="320"/>
      <c r="X26" s="320"/>
      <c r="Y26" s="320"/>
      <c r="Z26" s="320"/>
      <c r="AA26" s="320"/>
      <c r="AB26" s="320"/>
      <c r="AC26" s="320"/>
      <c r="AD26" s="320"/>
      <c r="AE26" s="320"/>
      <c r="AF26" s="320"/>
      <c r="AG26" s="320"/>
      <c r="AH26" s="320"/>
      <c r="AI26" s="320"/>
      <c r="AJ26" s="320"/>
      <c r="AK26" s="320"/>
      <c r="AL26" s="320"/>
      <c r="AM26" s="320"/>
      <c r="AN26" s="320"/>
      <c r="AO26" s="320"/>
      <c r="AP26" s="320"/>
      <c r="AQ26" s="320"/>
      <c r="AR26" s="320"/>
      <c r="AS26" s="320"/>
      <c r="AT26" s="320"/>
      <c r="AU26" s="320"/>
      <c r="AV26" s="320"/>
      <c r="AW26" s="320"/>
      <c r="AX26" s="320"/>
      <c r="AY26" s="320"/>
      <c r="AZ26" s="320"/>
      <c r="BA26" s="320"/>
      <c r="BB26" s="320"/>
      <c r="BC26" s="320"/>
      <c r="BD26" s="320"/>
      <c r="BE26" s="320"/>
      <c r="BF26" s="333"/>
    </row>
    <row r="27" spans="2:58" ht="14" thickBot="1">
      <c r="B27" s="321" t="s">
        <v>544</v>
      </c>
      <c r="C27" s="320" t="s">
        <v>545</v>
      </c>
      <c r="D27" s="320"/>
      <c r="E27" s="320"/>
      <c r="F27" s="320"/>
      <c r="G27" s="320"/>
      <c r="H27" s="320"/>
      <c r="I27" s="320"/>
      <c r="J27" s="320"/>
      <c r="K27" s="320"/>
      <c r="L27" s="320"/>
      <c r="M27" s="320"/>
      <c r="N27" s="320"/>
      <c r="O27" s="320"/>
      <c r="P27" s="320"/>
      <c r="Q27" s="320"/>
      <c r="R27" s="320"/>
      <c r="S27" s="320"/>
      <c r="T27" s="320"/>
      <c r="U27" s="320"/>
      <c r="V27" s="320"/>
      <c r="W27" s="320"/>
      <c r="X27" s="320"/>
      <c r="Y27" s="320"/>
      <c r="Z27" s="320"/>
      <c r="AA27" s="320"/>
      <c r="AB27" s="320"/>
      <c r="AC27" s="320"/>
      <c r="AD27" s="320"/>
      <c r="AE27" s="320"/>
      <c r="AF27" s="320"/>
      <c r="AG27" s="320"/>
      <c r="AH27" s="320"/>
      <c r="AI27" s="320"/>
      <c r="AJ27" s="320"/>
      <c r="AK27" s="320"/>
      <c r="AL27" s="320"/>
      <c r="AM27" s="320"/>
      <c r="AN27" s="320"/>
      <c r="AO27" s="320"/>
      <c r="AP27" s="320"/>
      <c r="AQ27" s="320"/>
      <c r="AR27" s="320"/>
      <c r="AS27" s="320"/>
      <c r="AT27" s="320"/>
      <c r="AU27" s="320"/>
      <c r="AV27" s="320"/>
      <c r="AW27" s="320"/>
      <c r="AX27" s="320"/>
      <c r="AY27" s="320"/>
      <c r="AZ27" s="320"/>
      <c r="BA27" s="320"/>
      <c r="BB27" s="320"/>
      <c r="BC27" s="320"/>
      <c r="BD27" s="320"/>
      <c r="BE27" s="320"/>
      <c r="BF27" s="333"/>
    </row>
    <row r="28" spans="2:58" ht="14" thickBot="1">
      <c r="B28" s="321" t="s">
        <v>546</v>
      </c>
      <c r="C28" s="320" t="s">
        <v>545</v>
      </c>
      <c r="D28" s="320"/>
      <c r="E28" s="320"/>
      <c r="F28" s="320"/>
      <c r="G28" s="320"/>
      <c r="H28" s="320"/>
      <c r="I28" s="320"/>
      <c r="J28" s="320"/>
      <c r="K28" s="320"/>
      <c r="L28" s="320"/>
      <c r="M28" s="320"/>
      <c r="N28" s="320"/>
      <c r="O28" s="320"/>
      <c r="P28" s="320"/>
      <c r="Q28" s="320"/>
      <c r="R28" s="320"/>
      <c r="S28" s="320"/>
      <c r="T28" s="320"/>
      <c r="U28" s="320"/>
      <c r="V28" s="320"/>
      <c r="W28" s="320"/>
      <c r="X28" s="320"/>
      <c r="Y28" s="320"/>
      <c r="Z28" s="320"/>
      <c r="AA28" s="320"/>
      <c r="AB28" s="320"/>
      <c r="AC28" s="320"/>
      <c r="AD28" s="320"/>
      <c r="AE28" s="320"/>
      <c r="AF28" s="320"/>
      <c r="AG28" s="320"/>
      <c r="AH28" s="320"/>
      <c r="AI28" s="320"/>
      <c r="AJ28" s="320"/>
      <c r="AK28" s="320"/>
      <c r="AL28" s="320"/>
      <c r="AM28" s="320"/>
      <c r="AN28" s="320"/>
      <c r="AO28" s="320"/>
      <c r="AP28" s="320"/>
      <c r="AQ28" s="320"/>
      <c r="AR28" s="320"/>
      <c r="AS28" s="320"/>
      <c r="AT28" s="320"/>
      <c r="AU28" s="320"/>
      <c r="AV28" s="320"/>
      <c r="AW28" s="320"/>
      <c r="AX28" s="320"/>
      <c r="AY28" s="320"/>
      <c r="AZ28" s="320"/>
      <c r="BA28" s="320"/>
      <c r="BB28" s="320"/>
      <c r="BC28" s="320"/>
      <c r="BD28" s="320"/>
      <c r="BE28" s="320"/>
      <c r="BF28" s="333"/>
    </row>
    <row r="29" spans="2:58">
      <c r="B29" s="324"/>
      <c r="BF29" s="318"/>
    </row>
    <row r="30" spans="2:58" ht="13.5">
      <c r="B30" s="324"/>
      <c r="C30" s="323" t="s">
        <v>532</v>
      </c>
      <c r="D30" s="323"/>
      <c r="E30" s="323"/>
      <c r="F30" s="323"/>
      <c r="G30" s="323"/>
      <c r="H30" s="323"/>
      <c r="BF30" s="318"/>
    </row>
    <row r="31" spans="2:58" ht="13.5">
      <c r="B31" s="324"/>
      <c r="C31" s="323" t="s">
        <v>354</v>
      </c>
      <c r="D31" s="323"/>
      <c r="E31" s="323"/>
      <c r="F31" s="323"/>
      <c r="G31" s="323"/>
      <c r="H31" s="323"/>
      <c r="BF31" s="318"/>
    </row>
    <row r="32" spans="2:58" ht="13.5">
      <c r="B32" s="324"/>
      <c r="C32" s="323"/>
      <c r="D32" s="323"/>
      <c r="E32" s="323"/>
      <c r="F32" s="323"/>
      <c r="G32" s="323"/>
      <c r="H32" s="323"/>
      <c r="BF32" s="318"/>
    </row>
    <row r="33" spans="2:58" ht="13.5">
      <c r="B33" s="324"/>
      <c r="C33" s="323" t="s">
        <v>119</v>
      </c>
      <c r="D33" s="323"/>
      <c r="E33" s="323"/>
      <c r="F33" s="323"/>
      <c r="G33" s="323"/>
      <c r="H33" s="323"/>
      <c r="BF33" s="318"/>
    </row>
    <row r="34" spans="2:58" ht="13.5">
      <c r="B34" s="324"/>
      <c r="C34" s="323" t="s">
        <v>360</v>
      </c>
      <c r="D34" s="323" t="s">
        <v>361</v>
      </c>
      <c r="E34" s="323" t="s">
        <v>171</v>
      </c>
      <c r="F34" s="323" t="s">
        <v>362</v>
      </c>
      <c r="G34" s="323" t="s">
        <v>363</v>
      </c>
      <c r="H34" s="323"/>
      <c r="BF34" s="318"/>
    </row>
    <row r="35" spans="2:58" ht="13.5">
      <c r="B35" s="324"/>
      <c r="C35" s="323">
        <v>-1</v>
      </c>
      <c r="D35" s="323" t="s">
        <v>537</v>
      </c>
      <c r="E35" s="323" t="s">
        <v>122</v>
      </c>
      <c r="F35" s="323" t="s">
        <v>576</v>
      </c>
      <c r="G35" s="323" t="s">
        <v>517</v>
      </c>
      <c r="H35" s="323"/>
      <c r="BF35" s="318"/>
    </row>
    <row r="36" spans="2:58" ht="14" thickBot="1">
      <c r="B36" s="324"/>
      <c r="C36" s="323"/>
      <c r="D36" s="323"/>
      <c r="E36" s="323"/>
      <c r="F36" s="323"/>
      <c r="G36" s="323"/>
      <c r="H36" s="323"/>
      <c r="BF36" s="318"/>
    </row>
    <row r="37" spans="2:58" ht="14" thickBot="1">
      <c r="B37" s="319" t="s">
        <v>548</v>
      </c>
      <c r="C37" s="320" t="s">
        <v>526</v>
      </c>
      <c r="D37" s="320"/>
      <c r="E37" s="320"/>
      <c r="F37" s="320"/>
      <c r="G37" s="320"/>
      <c r="H37" s="320"/>
      <c r="I37" s="320"/>
      <c r="J37" s="320"/>
      <c r="K37" s="320"/>
      <c r="L37" s="320"/>
      <c r="M37" s="320"/>
      <c r="N37" s="320"/>
      <c r="O37" s="320"/>
      <c r="P37" s="320"/>
      <c r="Q37" s="320"/>
      <c r="R37" s="320"/>
      <c r="S37" s="320"/>
      <c r="T37" s="320"/>
      <c r="U37" s="320"/>
      <c r="V37" s="320"/>
      <c r="W37" s="320"/>
      <c r="X37" s="320"/>
      <c r="Y37" s="320"/>
      <c r="Z37" s="320"/>
      <c r="AA37" s="320"/>
      <c r="AB37" s="320"/>
      <c r="AC37" s="320"/>
      <c r="AD37" s="320"/>
      <c r="AE37" s="320"/>
      <c r="AF37" s="320"/>
      <c r="AG37" s="320"/>
      <c r="AH37" s="320"/>
      <c r="AI37" s="320"/>
      <c r="AJ37" s="320"/>
      <c r="AK37" s="320"/>
      <c r="AL37" s="320"/>
      <c r="AM37" s="320"/>
      <c r="AN37" s="320"/>
      <c r="AO37" s="320"/>
      <c r="AP37" s="320"/>
      <c r="AQ37" s="320"/>
      <c r="AR37" s="320"/>
      <c r="AS37" s="320"/>
      <c r="AT37" s="320"/>
      <c r="AU37" s="320"/>
      <c r="AV37" s="320"/>
      <c r="AW37" s="320"/>
      <c r="AX37" s="320"/>
      <c r="AY37" s="320"/>
      <c r="AZ37" s="320"/>
      <c r="BA37" s="320"/>
      <c r="BB37" s="320"/>
      <c r="BC37" s="320"/>
      <c r="BD37" s="320"/>
      <c r="BE37" s="320"/>
      <c r="BF37" s="333"/>
    </row>
    <row r="38" spans="2:58" ht="14" thickBot="1">
      <c r="B38" s="321" t="s">
        <v>547</v>
      </c>
      <c r="C38" s="320" t="s">
        <v>545</v>
      </c>
      <c r="D38" s="320"/>
      <c r="E38" s="320"/>
      <c r="F38" s="320"/>
      <c r="G38" s="320"/>
      <c r="H38" s="320"/>
      <c r="I38" s="320"/>
      <c r="J38" s="320"/>
      <c r="K38" s="320"/>
      <c r="L38" s="320"/>
      <c r="M38" s="320"/>
      <c r="N38" s="320"/>
      <c r="O38" s="320"/>
      <c r="P38" s="320"/>
      <c r="Q38" s="320"/>
      <c r="R38" s="320"/>
      <c r="S38" s="320"/>
      <c r="T38" s="320"/>
      <c r="U38" s="320"/>
      <c r="V38" s="320"/>
      <c r="W38" s="320"/>
      <c r="X38" s="320"/>
      <c r="Y38" s="320"/>
      <c r="Z38" s="320"/>
      <c r="AA38" s="320"/>
      <c r="AB38" s="320"/>
      <c r="AC38" s="320"/>
      <c r="AD38" s="320"/>
      <c r="AE38" s="320"/>
      <c r="AF38" s="320"/>
      <c r="AG38" s="320"/>
      <c r="AH38" s="320"/>
      <c r="AI38" s="320"/>
      <c r="AJ38" s="320"/>
      <c r="AK38" s="320"/>
      <c r="AL38" s="320"/>
      <c r="AM38" s="320"/>
      <c r="AN38" s="320"/>
      <c r="AO38" s="320"/>
      <c r="AP38" s="320"/>
      <c r="AQ38" s="320"/>
      <c r="AR38" s="320"/>
      <c r="AS38" s="320"/>
      <c r="AT38" s="320"/>
      <c r="AU38" s="320"/>
      <c r="AV38" s="320"/>
      <c r="AW38" s="320"/>
      <c r="AX38" s="320"/>
      <c r="AY38" s="320"/>
      <c r="AZ38" s="320"/>
      <c r="BA38" s="320"/>
      <c r="BB38" s="320"/>
      <c r="BC38" s="320"/>
      <c r="BD38" s="320"/>
      <c r="BE38" s="320"/>
      <c r="BF38" s="333"/>
    </row>
    <row r="39" spans="2:58" ht="14" thickBot="1">
      <c r="B39" s="321" t="s">
        <v>546</v>
      </c>
      <c r="C39" s="320" t="s">
        <v>545</v>
      </c>
      <c r="D39" s="320"/>
      <c r="E39" s="320"/>
      <c r="F39" s="320"/>
      <c r="G39" s="320"/>
      <c r="H39" s="320"/>
      <c r="I39" s="320"/>
      <c r="J39" s="320"/>
      <c r="K39" s="320"/>
      <c r="L39" s="320"/>
      <c r="M39" s="320"/>
      <c r="N39" s="320"/>
      <c r="O39" s="320"/>
      <c r="P39" s="320"/>
      <c r="Q39" s="320"/>
      <c r="R39" s="320"/>
      <c r="S39" s="320"/>
      <c r="T39" s="320"/>
      <c r="U39" s="320"/>
      <c r="V39" s="320"/>
      <c r="W39" s="320"/>
      <c r="X39" s="320"/>
      <c r="Y39" s="320"/>
      <c r="Z39" s="320"/>
      <c r="AA39" s="320"/>
      <c r="AB39" s="320"/>
      <c r="AC39" s="320"/>
      <c r="AD39" s="320"/>
      <c r="AE39" s="320"/>
      <c r="AF39" s="320"/>
      <c r="AG39" s="320"/>
      <c r="AH39" s="320"/>
      <c r="AI39" s="320"/>
      <c r="AJ39" s="320"/>
      <c r="AK39" s="320"/>
      <c r="AL39" s="320"/>
      <c r="AM39" s="320"/>
      <c r="AN39" s="320"/>
      <c r="AO39" s="320"/>
      <c r="AP39" s="320"/>
      <c r="AQ39" s="320"/>
      <c r="AR39" s="320"/>
      <c r="AS39" s="320"/>
      <c r="AT39" s="320"/>
      <c r="AU39" s="320"/>
      <c r="AV39" s="320"/>
      <c r="AW39" s="320"/>
      <c r="AX39" s="320"/>
      <c r="AY39" s="320"/>
      <c r="AZ39" s="320"/>
      <c r="BA39" s="320"/>
      <c r="BB39" s="320"/>
      <c r="BC39" s="320"/>
      <c r="BD39" s="320"/>
      <c r="BE39" s="320"/>
      <c r="BF39" s="333"/>
    </row>
    <row r="40" spans="2:58">
      <c r="B40" s="324"/>
      <c r="BF40" s="318"/>
    </row>
    <row r="41" spans="2:58" ht="13.5">
      <c r="B41" s="324"/>
      <c r="C41" s="323" t="s">
        <v>532</v>
      </c>
      <c r="D41" s="323"/>
      <c r="E41" s="323"/>
      <c r="F41" s="323"/>
      <c r="G41" s="323"/>
      <c r="BF41" s="318"/>
    </row>
    <row r="42" spans="2:58" ht="13.5">
      <c r="B42" s="324"/>
      <c r="C42" s="323" t="s">
        <v>549</v>
      </c>
      <c r="D42" s="323"/>
      <c r="E42" s="323"/>
      <c r="F42" s="323"/>
      <c r="G42" s="323"/>
      <c r="BF42" s="318"/>
    </row>
    <row r="43" spans="2:58" ht="13.5">
      <c r="B43" s="324"/>
      <c r="C43" s="323"/>
      <c r="D43" s="323"/>
      <c r="E43" s="323"/>
      <c r="F43" s="323"/>
      <c r="G43" s="323"/>
      <c r="BF43" s="318"/>
    </row>
    <row r="44" spans="2:58" ht="13.5">
      <c r="B44" s="324"/>
      <c r="C44" s="323" t="s">
        <v>119</v>
      </c>
      <c r="D44" s="323"/>
      <c r="E44" s="323"/>
      <c r="F44" s="323"/>
      <c r="G44" s="323"/>
      <c r="BF44" s="318"/>
    </row>
    <row r="45" spans="2:58" ht="13.5">
      <c r="B45" s="324"/>
      <c r="C45" s="323" t="s">
        <v>120</v>
      </c>
      <c r="D45" s="323" t="s">
        <v>121</v>
      </c>
      <c r="E45" s="323" t="s">
        <v>123</v>
      </c>
      <c r="F45" s="323" t="s">
        <v>125</v>
      </c>
      <c r="G45" s="323" t="s">
        <v>356</v>
      </c>
      <c r="BF45" s="318"/>
    </row>
    <row r="46" spans="2:58" ht="13.5">
      <c r="B46" s="324"/>
      <c r="C46" s="323">
        <v>-2</v>
      </c>
      <c r="D46" s="323" t="s">
        <v>122</v>
      </c>
      <c r="E46" s="323" t="s">
        <v>550</v>
      </c>
      <c r="F46" s="323" t="s">
        <v>577</v>
      </c>
      <c r="G46" s="323" t="s">
        <v>517</v>
      </c>
      <c r="BF46" s="318"/>
    </row>
    <row r="47" spans="2:58" ht="14" thickBot="1">
      <c r="B47" s="324"/>
      <c r="C47" s="323"/>
      <c r="D47" s="323"/>
      <c r="E47" s="323"/>
      <c r="F47" s="323"/>
      <c r="G47" s="323"/>
      <c r="BF47" s="318"/>
    </row>
    <row r="48" spans="2:58" ht="14" thickBot="1">
      <c r="B48" s="319" t="s">
        <v>551</v>
      </c>
      <c r="C48" s="320" t="s">
        <v>522</v>
      </c>
      <c r="D48" s="320"/>
      <c r="E48" s="320"/>
      <c r="F48" s="320"/>
      <c r="G48" s="320"/>
      <c r="H48" s="320"/>
      <c r="I48" s="320"/>
      <c r="J48" s="320"/>
      <c r="K48" s="320"/>
      <c r="L48" s="320"/>
      <c r="M48" s="320"/>
      <c r="N48" s="320"/>
      <c r="O48" s="320"/>
      <c r="P48" s="320"/>
      <c r="Q48" s="320"/>
      <c r="R48" s="320"/>
      <c r="S48" s="320"/>
      <c r="T48" s="320"/>
      <c r="U48" s="320"/>
      <c r="V48" s="320"/>
      <c r="W48" s="320"/>
      <c r="X48" s="320"/>
      <c r="Y48" s="320"/>
      <c r="Z48" s="320"/>
      <c r="AA48" s="320"/>
      <c r="AB48" s="320"/>
      <c r="AC48" s="320"/>
      <c r="AD48" s="320"/>
      <c r="AE48" s="320"/>
      <c r="AF48" s="320"/>
      <c r="AG48" s="320"/>
      <c r="AH48" s="320"/>
      <c r="AI48" s="320"/>
      <c r="AJ48" s="320"/>
      <c r="AK48" s="320"/>
      <c r="AL48" s="320"/>
      <c r="AM48" s="320"/>
      <c r="AN48" s="320"/>
      <c r="AO48" s="320"/>
      <c r="AP48" s="320"/>
      <c r="AQ48" s="320"/>
      <c r="AR48" s="320"/>
      <c r="AS48" s="320"/>
      <c r="AT48" s="320"/>
      <c r="AU48" s="320"/>
      <c r="AV48" s="320"/>
      <c r="AW48" s="320"/>
      <c r="AX48" s="320"/>
      <c r="AY48" s="320"/>
      <c r="AZ48" s="320"/>
      <c r="BA48" s="320"/>
      <c r="BB48" s="320"/>
      <c r="BC48" s="320"/>
      <c r="BD48" s="320"/>
      <c r="BE48" s="320"/>
      <c r="BF48" s="333"/>
    </row>
    <row r="49" spans="2:58" ht="14" thickBot="1">
      <c r="B49" s="321" t="s">
        <v>544</v>
      </c>
      <c r="C49" s="320" t="s">
        <v>545</v>
      </c>
      <c r="D49" s="320"/>
      <c r="E49" s="320"/>
      <c r="F49" s="320"/>
      <c r="G49" s="320"/>
      <c r="H49" s="320"/>
      <c r="I49" s="320"/>
      <c r="J49" s="320"/>
      <c r="K49" s="320"/>
      <c r="L49" s="320"/>
      <c r="M49" s="320"/>
      <c r="N49" s="320"/>
      <c r="O49" s="320"/>
      <c r="P49" s="320"/>
      <c r="Q49" s="320"/>
      <c r="R49" s="320"/>
      <c r="S49" s="320"/>
      <c r="T49" s="320"/>
      <c r="U49" s="320"/>
      <c r="V49" s="320"/>
      <c r="W49" s="320"/>
      <c r="X49" s="320"/>
      <c r="Y49" s="320"/>
      <c r="Z49" s="320"/>
      <c r="AA49" s="320"/>
      <c r="AB49" s="320"/>
      <c r="AC49" s="320"/>
      <c r="AD49" s="320"/>
      <c r="AE49" s="320"/>
      <c r="AF49" s="320"/>
      <c r="AG49" s="320"/>
      <c r="AH49" s="320"/>
      <c r="AI49" s="320"/>
      <c r="AJ49" s="320"/>
      <c r="AK49" s="320"/>
      <c r="AL49" s="320"/>
      <c r="AM49" s="320"/>
      <c r="AN49" s="320"/>
      <c r="AO49" s="320"/>
      <c r="AP49" s="320"/>
      <c r="AQ49" s="320"/>
      <c r="AR49" s="320"/>
      <c r="AS49" s="320"/>
      <c r="AT49" s="320"/>
      <c r="AU49" s="320"/>
      <c r="AV49" s="320"/>
      <c r="AW49" s="320"/>
      <c r="AX49" s="320"/>
      <c r="AY49" s="320"/>
      <c r="AZ49" s="320"/>
      <c r="BA49" s="320"/>
      <c r="BB49" s="320"/>
      <c r="BC49" s="320"/>
      <c r="BD49" s="320"/>
      <c r="BE49" s="320"/>
      <c r="BF49" s="333"/>
    </row>
    <row r="50" spans="2:58" ht="14" thickBot="1">
      <c r="B50" s="321" t="s">
        <v>546</v>
      </c>
      <c r="C50" s="320" t="s">
        <v>545</v>
      </c>
      <c r="D50" s="320"/>
      <c r="E50" s="320"/>
      <c r="F50" s="320"/>
      <c r="G50" s="320"/>
      <c r="H50" s="320"/>
      <c r="I50" s="320"/>
      <c r="J50" s="320"/>
      <c r="K50" s="320"/>
      <c r="L50" s="320"/>
      <c r="M50" s="320"/>
      <c r="N50" s="320"/>
      <c r="O50" s="320"/>
      <c r="P50" s="320"/>
      <c r="Q50" s="320"/>
      <c r="R50" s="320"/>
      <c r="S50" s="320"/>
      <c r="T50" s="320"/>
      <c r="U50" s="320"/>
      <c r="V50" s="320"/>
      <c r="W50" s="320"/>
      <c r="X50" s="320"/>
      <c r="Y50" s="320"/>
      <c r="Z50" s="320"/>
      <c r="AA50" s="320"/>
      <c r="AB50" s="320"/>
      <c r="AC50" s="320"/>
      <c r="AD50" s="320"/>
      <c r="AE50" s="320"/>
      <c r="AF50" s="320"/>
      <c r="AG50" s="320"/>
      <c r="AH50" s="320"/>
      <c r="AI50" s="320"/>
      <c r="AJ50" s="320"/>
      <c r="AK50" s="320"/>
      <c r="AL50" s="320"/>
      <c r="AM50" s="320"/>
      <c r="AN50" s="320"/>
      <c r="AO50" s="320"/>
      <c r="AP50" s="320"/>
      <c r="AQ50" s="320"/>
      <c r="AR50" s="320"/>
      <c r="AS50" s="320"/>
      <c r="AT50" s="320"/>
      <c r="AU50" s="320"/>
      <c r="AV50" s="320"/>
      <c r="AW50" s="320"/>
      <c r="AX50" s="320"/>
      <c r="AY50" s="320"/>
      <c r="AZ50" s="320"/>
      <c r="BA50" s="320"/>
      <c r="BB50" s="320"/>
      <c r="BC50" s="320"/>
      <c r="BD50" s="320"/>
      <c r="BE50" s="320"/>
      <c r="BF50" s="333"/>
    </row>
    <row r="51" spans="2:58">
      <c r="B51" s="324"/>
      <c r="BF51" s="318"/>
    </row>
    <row r="52" spans="2:58" ht="13.5">
      <c r="B52" s="324"/>
      <c r="C52" s="323" t="s">
        <v>532</v>
      </c>
      <c r="BF52" s="318"/>
    </row>
    <row r="53" spans="2:58" ht="13.5">
      <c r="B53" s="324"/>
      <c r="C53" s="323" t="s">
        <v>354</v>
      </c>
      <c r="BF53" s="318"/>
    </row>
    <row r="54" spans="2:58">
      <c r="B54" s="324"/>
      <c r="BF54" s="318"/>
    </row>
    <row r="55" spans="2:58" ht="13.5">
      <c r="B55" s="324"/>
      <c r="C55" s="323" t="s">
        <v>119</v>
      </c>
      <c r="BF55" s="318"/>
    </row>
    <row r="56" spans="2:58" ht="13.5">
      <c r="B56" s="324"/>
      <c r="C56" s="323" t="s">
        <v>120</v>
      </c>
      <c r="D56" s="323" t="s">
        <v>121</v>
      </c>
      <c r="E56" s="323" t="s">
        <v>123</v>
      </c>
      <c r="F56" s="323" t="s">
        <v>125</v>
      </c>
      <c r="G56" s="323" t="s">
        <v>356</v>
      </c>
      <c r="BF56" s="318"/>
    </row>
    <row r="57" spans="2:58" ht="13.5">
      <c r="B57" s="324"/>
      <c r="C57" s="323">
        <v>-1</v>
      </c>
      <c r="D57" s="323" t="s">
        <v>537</v>
      </c>
      <c r="E57" s="323"/>
      <c r="F57" s="323" t="s">
        <v>578</v>
      </c>
      <c r="G57" s="323" t="s">
        <v>519</v>
      </c>
      <c r="BF57" s="318"/>
    </row>
    <row r="58" spans="2:58" ht="13.5" thickBot="1">
      <c r="B58" s="324"/>
      <c r="BF58" s="318"/>
    </row>
    <row r="59" spans="2:58" ht="14" thickBot="1">
      <c r="B59" s="319" t="s">
        <v>552</v>
      </c>
      <c r="C59" s="320" t="s">
        <v>523</v>
      </c>
      <c r="D59" s="320"/>
      <c r="E59" s="320"/>
      <c r="F59" s="320"/>
      <c r="G59" s="320"/>
      <c r="H59" s="320"/>
      <c r="I59" s="320"/>
      <c r="J59" s="320"/>
      <c r="K59" s="320"/>
      <c r="L59" s="320"/>
      <c r="M59" s="320"/>
      <c r="N59" s="320"/>
      <c r="O59" s="320"/>
      <c r="P59" s="320"/>
      <c r="Q59" s="320"/>
      <c r="R59" s="320"/>
      <c r="S59" s="320"/>
      <c r="T59" s="320"/>
      <c r="U59" s="320"/>
      <c r="V59" s="320"/>
      <c r="W59" s="320"/>
      <c r="X59" s="320"/>
      <c r="Y59" s="320"/>
      <c r="Z59" s="320"/>
      <c r="AA59" s="320"/>
      <c r="AB59" s="320"/>
      <c r="AC59" s="320"/>
      <c r="AD59" s="320"/>
      <c r="AE59" s="320"/>
      <c r="AF59" s="320"/>
      <c r="AG59" s="320"/>
      <c r="AH59" s="320"/>
      <c r="AI59" s="320"/>
      <c r="AJ59" s="320"/>
      <c r="AK59" s="320"/>
      <c r="AL59" s="320"/>
      <c r="AM59" s="320"/>
      <c r="AN59" s="320"/>
      <c r="AO59" s="320"/>
      <c r="AP59" s="320"/>
      <c r="AQ59" s="320"/>
      <c r="AR59" s="320"/>
      <c r="AS59" s="320"/>
      <c r="AT59" s="320"/>
      <c r="AU59" s="320"/>
      <c r="AV59" s="320"/>
      <c r="AW59" s="320"/>
      <c r="AX59" s="320"/>
      <c r="AY59" s="320"/>
      <c r="AZ59" s="320"/>
      <c r="BA59" s="320"/>
      <c r="BB59" s="320"/>
      <c r="BC59" s="320"/>
      <c r="BD59" s="320"/>
      <c r="BE59" s="320"/>
      <c r="BF59" s="333"/>
    </row>
    <row r="60" spans="2:58" ht="14" thickBot="1">
      <c r="B60" s="321" t="s">
        <v>547</v>
      </c>
      <c r="C60" s="320" t="s">
        <v>545</v>
      </c>
      <c r="D60" s="320"/>
      <c r="E60" s="320"/>
      <c r="F60" s="320"/>
      <c r="G60" s="320"/>
      <c r="H60" s="320"/>
      <c r="I60" s="320"/>
      <c r="J60" s="320"/>
      <c r="K60" s="320"/>
      <c r="L60" s="320"/>
      <c r="M60" s="320"/>
      <c r="N60" s="320"/>
      <c r="O60" s="320"/>
      <c r="P60" s="320"/>
      <c r="Q60" s="320"/>
      <c r="R60" s="320"/>
      <c r="S60" s="320"/>
      <c r="T60" s="320"/>
      <c r="U60" s="320"/>
      <c r="V60" s="320"/>
      <c r="W60" s="320"/>
      <c r="X60" s="320"/>
      <c r="Y60" s="320"/>
      <c r="Z60" s="320"/>
      <c r="AA60" s="320"/>
      <c r="AB60" s="320"/>
      <c r="AC60" s="320"/>
      <c r="AD60" s="320"/>
      <c r="AE60" s="320"/>
      <c r="AF60" s="320"/>
      <c r="AG60" s="320"/>
      <c r="AH60" s="320"/>
      <c r="AI60" s="320"/>
      <c r="AJ60" s="320"/>
      <c r="AK60" s="320"/>
      <c r="AL60" s="320"/>
      <c r="AM60" s="320"/>
      <c r="AN60" s="320"/>
      <c r="AO60" s="320"/>
      <c r="AP60" s="320"/>
      <c r="AQ60" s="320"/>
      <c r="AR60" s="320"/>
      <c r="AS60" s="320"/>
      <c r="AT60" s="320"/>
      <c r="AU60" s="320"/>
      <c r="AV60" s="320"/>
      <c r="AW60" s="320"/>
      <c r="AX60" s="320"/>
      <c r="AY60" s="320"/>
      <c r="AZ60" s="320"/>
      <c r="BA60" s="320"/>
      <c r="BB60" s="320"/>
      <c r="BC60" s="320"/>
      <c r="BD60" s="320"/>
      <c r="BE60" s="320"/>
      <c r="BF60" s="333"/>
    </row>
    <row r="61" spans="2:58" ht="14" thickBot="1">
      <c r="B61" s="321" t="s">
        <v>546</v>
      </c>
      <c r="C61" s="320" t="s">
        <v>545</v>
      </c>
      <c r="D61" s="320"/>
      <c r="E61" s="320"/>
      <c r="F61" s="320"/>
      <c r="G61" s="320"/>
      <c r="H61" s="320"/>
      <c r="I61" s="320"/>
      <c r="J61" s="320"/>
      <c r="K61" s="320"/>
      <c r="L61" s="320"/>
      <c r="M61" s="320"/>
      <c r="N61" s="320"/>
      <c r="O61" s="320"/>
      <c r="P61" s="320"/>
      <c r="Q61" s="320"/>
      <c r="R61" s="320"/>
      <c r="S61" s="320"/>
      <c r="T61" s="320"/>
      <c r="U61" s="320"/>
      <c r="V61" s="320"/>
      <c r="W61" s="320"/>
      <c r="X61" s="320"/>
      <c r="Y61" s="320"/>
      <c r="Z61" s="320"/>
      <c r="AA61" s="320"/>
      <c r="AB61" s="320"/>
      <c r="AC61" s="320"/>
      <c r="AD61" s="320"/>
      <c r="AE61" s="320"/>
      <c r="AF61" s="320"/>
      <c r="AG61" s="320"/>
      <c r="AH61" s="320"/>
      <c r="AI61" s="320"/>
      <c r="AJ61" s="320"/>
      <c r="AK61" s="320"/>
      <c r="AL61" s="320"/>
      <c r="AM61" s="320"/>
      <c r="AN61" s="320"/>
      <c r="AO61" s="320"/>
      <c r="AP61" s="320"/>
      <c r="AQ61" s="320"/>
      <c r="AR61" s="320"/>
      <c r="AS61" s="320"/>
      <c r="AT61" s="320"/>
      <c r="AU61" s="320"/>
      <c r="AV61" s="320"/>
      <c r="AW61" s="320"/>
      <c r="AX61" s="320"/>
      <c r="AY61" s="320"/>
      <c r="AZ61" s="320"/>
      <c r="BA61" s="320"/>
      <c r="BB61" s="320"/>
      <c r="BC61" s="320"/>
      <c r="BD61" s="320"/>
      <c r="BE61" s="320"/>
      <c r="BF61" s="333"/>
    </row>
    <row r="62" spans="2:58">
      <c r="B62" s="324"/>
      <c r="BF62" s="318"/>
    </row>
    <row r="63" spans="2:58" ht="13.5">
      <c r="B63" s="324"/>
      <c r="C63" s="323" t="s">
        <v>532</v>
      </c>
      <c r="D63" s="323"/>
      <c r="E63" s="323"/>
      <c r="F63" s="323"/>
      <c r="G63" s="323"/>
      <c r="BF63" s="318"/>
    </row>
    <row r="64" spans="2:58" ht="13.5">
      <c r="B64" s="324"/>
      <c r="C64" s="323" t="s">
        <v>553</v>
      </c>
      <c r="D64" s="323"/>
      <c r="E64" s="323"/>
      <c r="F64" s="323"/>
      <c r="G64" s="323"/>
      <c r="BF64" s="318"/>
    </row>
    <row r="65" spans="2:58" ht="13.5">
      <c r="B65" s="324"/>
      <c r="C65" s="323"/>
      <c r="D65" s="323"/>
      <c r="E65" s="323"/>
      <c r="F65" s="323"/>
      <c r="G65" s="323"/>
      <c r="BF65" s="318"/>
    </row>
    <row r="66" spans="2:58" ht="13.5">
      <c r="B66" s="324"/>
      <c r="C66" s="323" t="s">
        <v>119</v>
      </c>
      <c r="D66" s="323"/>
      <c r="E66" s="323"/>
      <c r="F66" s="323"/>
      <c r="G66" s="323"/>
      <c r="BF66" s="318"/>
    </row>
    <row r="67" spans="2:58" ht="13.5">
      <c r="B67" s="324"/>
      <c r="C67" s="323" t="s">
        <v>120</v>
      </c>
      <c r="D67" s="323" t="s">
        <v>121</v>
      </c>
      <c r="E67" s="323" t="s">
        <v>123</v>
      </c>
      <c r="F67" s="323" t="s">
        <v>125</v>
      </c>
      <c r="G67" s="323" t="s">
        <v>356</v>
      </c>
      <c r="BF67" s="318"/>
    </row>
    <row r="68" spans="2:58" ht="13.5">
      <c r="B68" s="324"/>
      <c r="C68" s="323">
        <v>-2</v>
      </c>
      <c r="D68" s="323" t="s">
        <v>122</v>
      </c>
      <c r="E68" s="323" t="s">
        <v>554</v>
      </c>
      <c r="F68" s="323" t="s">
        <v>555</v>
      </c>
      <c r="G68" s="323" t="s">
        <v>519</v>
      </c>
      <c r="BF68" s="318"/>
    </row>
    <row r="69" spans="2:58" ht="14" thickBot="1">
      <c r="B69" s="324"/>
      <c r="C69" s="323"/>
      <c r="D69" s="323"/>
      <c r="E69" s="323"/>
      <c r="F69" s="323"/>
      <c r="G69" s="323"/>
      <c r="BF69" s="318"/>
    </row>
    <row r="70" spans="2:58" ht="14" thickBot="1">
      <c r="B70" s="346" t="s">
        <v>564</v>
      </c>
      <c r="C70" s="320" t="s">
        <v>558</v>
      </c>
      <c r="D70" s="320"/>
      <c r="E70" s="320"/>
      <c r="F70" s="320"/>
      <c r="G70" s="320"/>
      <c r="H70" s="320"/>
      <c r="I70" s="320"/>
      <c r="J70" s="320"/>
      <c r="K70" s="320"/>
      <c r="L70" s="320"/>
      <c r="M70" s="320"/>
      <c r="N70" s="320"/>
      <c r="O70" s="320"/>
      <c r="P70" s="320"/>
      <c r="Q70" s="320"/>
      <c r="R70" s="320"/>
      <c r="S70" s="320"/>
      <c r="T70" s="320"/>
      <c r="U70" s="320"/>
      <c r="V70" s="320"/>
      <c r="W70" s="320"/>
      <c r="X70" s="320"/>
      <c r="Y70" s="320"/>
      <c r="Z70" s="320"/>
      <c r="AA70" s="320"/>
      <c r="AB70" s="320"/>
      <c r="AC70" s="320"/>
      <c r="AD70" s="320"/>
      <c r="AE70" s="320"/>
      <c r="AF70" s="320"/>
      <c r="AG70" s="320"/>
      <c r="AH70" s="320"/>
      <c r="AI70" s="320"/>
      <c r="AJ70" s="320"/>
      <c r="AK70" s="320"/>
      <c r="AL70" s="320"/>
      <c r="AM70" s="320"/>
      <c r="AN70" s="320"/>
      <c r="AO70" s="320"/>
      <c r="AP70" s="320"/>
      <c r="AQ70" s="320"/>
      <c r="AR70" s="320"/>
      <c r="AS70" s="320"/>
      <c r="AT70" s="320"/>
      <c r="AU70" s="320"/>
      <c r="AV70" s="320"/>
      <c r="AW70" s="320"/>
      <c r="AX70" s="320"/>
      <c r="AY70" s="320"/>
      <c r="AZ70" s="320"/>
      <c r="BA70" s="320"/>
      <c r="BB70" s="320"/>
      <c r="BC70" s="320"/>
      <c r="BD70" s="320"/>
      <c r="BE70" s="320"/>
      <c r="BF70" s="333"/>
    </row>
    <row r="71" spans="2:58" ht="14" thickBot="1">
      <c r="B71" s="321" t="s">
        <v>544</v>
      </c>
      <c r="C71" s="320" t="s">
        <v>545</v>
      </c>
      <c r="D71" s="320"/>
      <c r="E71" s="320"/>
      <c r="F71" s="320"/>
      <c r="G71" s="320"/>
      <c r="H71" s="320"/>
      <c r="I71" s="320"/>
      <c r="J71" s="320"/>
      <c r="K71" s="320"/>
      <c r="L71" s="320"/>
      <c r="M71" s="320"/>
      <c r="N71" s="320"/>
      <c r="O71" s="320"/>
      <c r="P71" s="320"/>
      <c r="Q71" s="320"/>
      <c r="R71" s="320"/>
      <c r="S71" s="320"/>
      <c r="T71" s="320"/>
      <c r="U71" s="320"/>
      <c r="V71" s="320"/>
      <c r="W71" s="320"/>
      <c r="X71" s="320"/>
      <c r="Y71" s="320"/>
      <c r="Z71" s="320"/>
      <c r="AA71" s="320"/>
      <c r="AB71" s="320"/>
      <c r="AC71" s="320"/>
      <c r="AD71" s="320"/>
      <c r="AE71" s="320"/>
      <c r="AF71" s="320"/>
      <c r="AG71" s="320"/>
      <c r="AH71" s="320"/>
      <c r="AI71" s="320"/>
      <c r="AJ71" s="320"/>
      <c r="AK71" s="320"/>
      <c r="AL71" s="320"/>
      <c r="AM71" s="320"/>
      <c r="AN71" s="320"/>
      <c r="AO71" s="320"/>
      <c r="AP71" s="320"/>
      <c r="AQ71" s="320"/>
      <c r="AR71" s="320"/>
      <c r="AS71" s="320"/>
      <c r="AT71" s="320"/>
      <c r="AU71" s="320"/>
      <c r="AV71" s="320"/>
      <c r="AW71" s="320"/>
      <c r="AX71" s="320"/>
      <c r="AY71" s="320"/>
      <c r="AZ71" s="320"/>
      <c r="BA71" s="320"/>
      <c r="BB71" s="320"/>
      <c r="BC71" s="320"/>
      <c r="BD71" s="320"/>
      <c r="BE71" s="320"/>
      <c r="BF71" s="333"/>
    </row>
    <row r="72" spans="2:58" ht="14" thickBot="1">
      <c r="B72" s="321" t="s">
        <v>546</v>
      </c>
      <c r="C72" s="320" t="s">
        <v>545</v>
      </c>
      <c r="D72" s="320"/>
      <c r="E72" s="320"/>
      <c r="F72" s="320"/>
      <c r="G72" s="320"/>
      <c r="H72" s="320"/>
      <c r="I72" s="320"/>
      <c r="J72" s="320"/>
      <c r="K72" s="320"/>
      <c r="L72" s="320"/>
      <c r="M72" s="320"/>
      <c r="N72" s="320"/>
      <c r="O72" s="320"/>
      <c r="P72" s="320"/>
      <c r="Q72" s="320"/>
      <c r="R72" s="320"/>
      <c r="S72" s="320"/>
      <c r="T72" s="320"/>
      <c r="U72" s="320"/>
      <c r="V72" s="320"/>
      <c r="W72" s="320"/>
      <c r="X72" s="320"/>
      <c r="Y72" s="320"/>
      <c r="Z72" s="320"/>
      <c r="AA72" s="320"/>
      <c r="AB72" s="320"/>
      <c r="AC72" s="320"/>
      <c r="AD72" s="320"/>
      <c r="AE72" s="320"/>
      <c r="AF72" s="320"/>
      <c r="AG72" s="320"/>
      <c r="AH72" s="320"/>
      <c r="AI72" s="320"/>
      <c r="AJ72" s="320"/>
      <c r="AK72" s="320"/>
      <c r="AL72" s="320"/>
      <c r="AM72" s="320"/>
      <c r="AN72" s="320"/>
      <c r="AO72" s="320"/>
      <c r="AP72" s="320"/>
      <c r="AQ72" s="320"/>
      <c r="AR72" s="320"/>
      <c r="AS72" s="320"/>
      <c r="AT72" s="320"/>
      <c r="AU72" s="320"/>
      <c r="AV72" s="320"/>
      <c r="AW72" s="320"/>
      <c r="AX72" s="320"/>
      <c r="AY72" s="320"/>
      <c r="AZ72" s="320"/>
      <c r="BA72" s="320"/>
      <c r="BB72" s="320"/>
      <c r="BC72" s="320"/>
      <c r="BD72" s="320"/>
      <c r="BE72" s="320"/>
      <c r="BF72" s="333"/>
    </row>
    <row r="73" spans="2:58">
      <c r="B73" s="324"/>
      <c r="BF73" s="318"/>
    </row>
    <row r="74" spans="2:58" ht="13.5">
      <c r="B74" s="324"/>
      <c r="C74" s="323" t="s">
        <v>532</v>
      </c>
      <c r="BF74" s="318"/>
    </row>
    <row r="75" spans="2:58" ht="13.5">
      <c r="B75" s="324"/>
      <c r="C75" s="323" t="s">
        <v>565</v>
      </c>
      <c r="D75" s="323"/>
      <c r="E75" s="323"/>
      <c r="F75" s="323"/>
      <c r="G75" s="323"/>
      <c r="H75" s="323"/>
      <c r="I75" s="323"/>
      <c r="BF75" s="318"/>
    </row>
    <row r="76" spans="2:58" ht="13.5">
      <c r="B76" s="324"/>
      <c r="C76" s="323"/>
      <c r="D76" s="323"/>
      <c r="E76" s="323"/>
      <c r="F76" s="323"/>
      <c r="G76" s="323"/>
      <c r="H76" s="323"/>
      <c r="I76" s="323"/>
      <c r="BF76" s="318"/>
    </row>
    <row r="77" spans="2:58" ht="13.5">
      <c r="B77" s="324"/>
      <c r="C77" s="323" t="s">
        <v>119</v>
      </c>
      <c r="D77" s="323"/>
      <c r="E77" s="323"/>
      <c r="F77" s="323"/>
      <c r="G77" s="323"/>
      <c r="H77" s="323"/>
      <c r="I77" s="323"/>
      <c r="BF77" s="318"/>
    </row>
    <row r="78" spans="2:58" ht="13.5">
      <c r="B78" s="324"/>
      <c r="C78" s="323" t="s">
        <v>360</v>
      </c>
      <c r="D78" s="323" t="s">
        <v>361</v>
      </c>
      <c r="E78" s="323" t="s">
        <v>171</v>
      </c>
      <c r="F78" s="323" t="s">
        <v>362</v>
      </c>
      <c r="G78" s="323" t="s">
        <v>363</v>
      </c>
      <c r="H78" s="323"/>
      <c r="I78" s="323"/>
      <c r="BF78" s="318"/>
    </row>
    <row r="79" spans="2:58" ht="13.5">
      <c r="B79" s="324"/>
      <c r="C79" s="323">
        <v>-1</v>
      </c>
      <c r="D79" s="323" t="s">
        <v>580</v>
      </c>
      <c r="E79" s="323" t="s">
        <v>364</v>
      </c>
      <c r="F79" s="323" t="s">
        <v>579</v>
      </c>
      <c r="G79" s="323" t="s">
        <v>581</v>
      </c>
      <c r="H79" s="323"/>
      <c r="I79" s="323"/>
      <c r="BF79" s="318"/>
    </row>
    <row r="80" spans="2:58" ht="14" thickBot="1">
      <c r="B80" s="324"/>
      <c r="C80" s="323"/>
      <c r="D80" s="323"/>
      <c r="E80" s="323"/>
      <c r="F80" s="323"/>
      <c r="G80" s="323"/>
      <c r="H80" s="323"/>
      <c r="I80" s="323"/>
      <c r="BF80" s="318"/>
    </row>
    <row r="81" spans="2:58" ht="14" thickBot="1">
      <c r="B81" s="346" t="s">
        <v>566</v>
      </c>
      <c r="C81" s="320" t="s">
        <v>559</v>
      </c>
      <c r="D81" s="320"/>
      <c r="E81" s="320"/>
      <c r="F81" s="320"/>
      <c r="G81" s="320"/>
      <c r="H81" s="320"/>
      <c r="I81" s="320"/>
      <c r="J81" s="320"/>
      <c r="K81" s="320"/>
      <c r="L81" s="320"/>
      <c r="M81" s="320"/>
      <c r="N81" s="320"/>
      <c r="O81" s="320"/>
      <c r="P81" s="320"/>
      <c r="Q81" s="320"/>
      <c r="R81" s="320"/>
      <c r="S81" s="320"/>
      <c r="T81" s="320"/>
      <c r="U81" s="320"/>
      <c r="V81" s="320"/>
      <c r="W81" s="320"/>
      <c r="X81" s="320"/>
      <c r="Y81" s="320"/>
      <c r="Z81" s="320"/>
      <c r="AA81" s="320"/>
      <c r="AB81" s="320"/>
      <c r="AC81" s="320"/>
      <c r="AD81" s="320"/>
      <c r="AE81" s="320"/>
      <c r="AF81" s="320"/>
      <c r="AG81" s="320"/>
      <c r="AH81" s="320"/>
      <c r="AI81" s="320"/>
      <c r="AJ81" s="320"/>
      <c r="AK81" s="320"/>
      <c r="AL81" s="320"/>
      <c r="AM81" s="320"/>
      <c r="AN81" s="320"/>
      <c r="AO81" s="320"/>
      <c r="AP81" s="320"/>
      <c r="AQ81" s="320"/>
      <c r="AR81" s="320"/>
      <c r="AS81" s="320"/>
      <c r="AT81" s="320"/>
      <c r="AU81" s="320"/>
      <c r="AV81" s="320"/>
      <c r="AW81" s="320"/>
      <c r="AX81" s="320"/>
      <c r="AY81" s="320"/>
      <c r="AZ81" s="320"/>
      <c r="BA81" s="320"/>
      <c r="BB81" s="320"/>
      <c r="BC81" s="320"/>
      <c r="BD81" s="320"/>
      <c r="BE81" s="320"/>
      <c r="BF81" s="333"/>
    </row>
    <row r="82" spans="2:58" ht="14" thickBot="1">
      <c r="B82" s="321" t="s">
        <v>547</v>
      </c>
      <c r="C82" s="320" t="s">
        <v>545</v>
      </c>
      <c r="D82" s="320"/>
      <c r="E82" s="320"/>
      <c r="F82" s="320"/>
      <c r="G82" s="320"/>
      <c r="H82" s="320"/>
      <c r="I82" s="320"/>
      <c r="J82" s="320"/>
      <c r="K82" s="320"/>
      <c r="L82" s="320"/>
      <c r="M82" s="320"/>
      <c r="N82" s="320"/>
      <c r="O82" s="320"/>
      <c r="P82" s="320"/>
      <c r="Q82" s="320"/>
      <c r="R82" s="320"/>
      <c r="S82" s="320"/>
      <c r="T82" s="320"/>
      <c r="U82" s="320"/>
      <c r="V82" s="320"/>
      <c r="W82" s="320"/>
      <c r="X82" s="320"/>
      <c r="Y82" s="320"/>
      <c r="Z82" s="320"/>
      <c r="AA82" s="320"/>
      <c r="AB82" s="320"/>
      <c r="AC82" s="320"/>
      <c r="AD82" s="320"/>
      <c r="AE82" s="320"/>
      <c r="AF82" s="320"/>
      <c r="AG82" s="320"/>
      <c r="AH82" s="320"/>
      <c r="AI82" s="320"/>
      <c r="AJ82" s="320"/>
      <c r="AK82" s="320"/>
      <c r="AL82" s="320"/>
      <c r="AM82" s="320"/>
      <c r="AN82" s="320"/>
      <c r="AO82" s="320"/>
      <c r="AP82" s="320"/>
      <c r="AQ82" s="320"/>
      <c r="AR82" s="320"/>
      <c r="AS82" s="320"/>
      <c r="AT82" s="320"/>
      <c r="AU82" s="320"/>
      <c r="AV82" s="320"/>
      <c r="AW82" s="320"/>
      <c r="AX82" s="320"/>
      <c r="AY82" s="320"/>
      <c r="AZ82" s="320"/>
      <c r="BA82" s="320"/>
      <c r="BB82" s="320"/>
      <c r="BC82" s="320"/>
      <c r="BD82" s="320"/>
      <c r="BE82" s="320"/>
      <c r="BF82" s="333"/>
    </row>
    <row r="83" spans="2:58" ht="14" thickBot="1">
      <c r="B83" s="321" t="s">
        <v>546</v>
      </c>
      <c r="C83" s="320" t="s">
        <v>545</v>
      </c>
      <c r="D83" s="320"/>
      <c r="E83" s="320"/>
      <c r="F83" s="320"/>
      <c r="G83" s="320"/>
      <c r="H83" s="320"/>
      <c r="I83" s="320"/>
      <c r="J83" s="320"/>
      <c r="K83" s="320"/>
      <c r="L83" s="320"/>
      <c r="M83" s="320"/>
      <c r="N83" s="320"/>
      <c r="O83" s="320"/>
      <c r="P83" s="320"/>
      <c r="Q83" s="320"/>
      <c r="R83" s="320"/>
      <c r="S83" s="320"/>
      <c r="T83" s="320"/>
      <c r="U83" s="320"/>
      <c r="V83" s="320"/>
      <c r="W83" s="320"/>
      <c r="X83" s="320"/>
      <c r="Y83" s="320"/>
      <c r="Z83" s="320"/>
      <c r="AA83" s="320"/>
      <c r="AB83" s="320"/>
      <c r="AC83" s="320"/>
      <c r="AD83" s="320"/>
      <c r="AE83" s="320"/>
      <c r="AF83" s="320"/>
      <c r="AG83" s="320"/>
      <c r="AH83" s="320"/>
      <c r="AI83" s="320"/>
      <c r="AJ83" s="320"/>
      <c r="AK83" s="320"/>
      <c r="AL83" s="320"/>
      <c r="AM83" s="320"/>
      <c r="AN83" s="320"/>
      <c r="AO83" s="320"/>
      <c r="AP83" s="320"/>
      <c r="AQ83" s="320"/>
      <c r="AR83" s="320"/>
      <c r="AS83" s="320"/>
      <c r="AT83" s="320"/>
      <c r="AU83" s="320"/>
      <c r="AV83" s="320"/>
      <c r="AW83" s="320"/>
      <c r="AX83" s="320"/>
      <c r="AY83" s="320"/>
      <c r="AZ83" s="320"/>
      <c r="BA83" s="320"/>
      <c r="BB83" s="320"/>
      <c r="BC83" s="320"/>
      <c r="BD83" s="320"/>
      <c r="BE83" s="320"/>
      <c r="BF83" s="333"/>
    </row>
    <row r="84" spans="2:58" ht="13.5">
      <c r="B84" s="324"/>
      <c r="C84" s="323"/>
      <c r="D84" s="323"/>
      <c r="E84" s="323"/>
      <c r="F84" s="323"/>
      <c r="G84" s="323"/>
      <c r="H84" s="323"/>
      <c r="I84" s="323"/>
      <c r="BF84" s="318"/>
    </row>
    <row r="85" spans="2:58" ht="13.5">
      <c r="B85" s="324"/>
      <c r="C85" s="323" t="s">
        <v>532</v>
      </c>
      <c r="D85" s="323"/>
      <c r="E85" s="323"/>
      <c r="F85" s="323"/>
      <c r="G85" s="323"/>
      <c r="H85" s="323"/>
      <c r="I85" s="323"/>
      <c r="BF85" s="318"/>
    </row>
    <row r="86" spans="2:58" ht="13.5">
      <c r="B86" s="324"/>
      <c r="C86" s="323" t="s">
        <v>565</v>
      </c>
      <c r="D86" s="323"/>
      <c r="E86" s="323"/>
      <c r="F86" s="323"/>
      <c r="G86" s="323"/>
      <c r="H86" s="323"/>
      <c r="I86" s="323"/>
      <c r="BF86" s="318"/>
    </row>
    <row r="87" spans="2:58" ht="13.5">
      <c r="B87" s="324"/>
      <c r="C87" s="323"/>
      <c r="D87" s="323"/>
      <c r="E87" s="323"/>
      <c r="F87" s="323"/>
      <c r="G87" s="323"/>
      <c r="H87" s="323"/>
      <c r="I87" s="323"/>
      <c r="BF87" s="318"/>
    </row>
    <row r="88" spans="2:58" ht="13.5">
      <c r="B88" s="324"/>
      <c r="C88" s="323" t="s">
        <v>119</v>
      </c>
      <c r="D88" s="323"/>
      <c r="E88" s="323"/>
      <c r="F88" s="323"/>
      <c r="G88" s="323"/>
      <c r="H88" s="323"/>
      <c r="I88" s="323"/>
      <c r="BF88" s="318"/>
    </row>
    <row r="89" spans="2:58" ht="13.5">
      <c r="B89" s="324"/>
      <c r="C89" s="323" t="s">
        <v>119</v>
      </c>
      <c r="D89" s="323"/>
      <c r="E89" s="323"/>
      <c r="F89" s="323"/>
      <c r="G89" s="323"/>
      <c r="H89" s="323"/>
      <c r="I89" s="323"/>
      <c r="BF89" s="318"/>
    </row>
    <row r="90" spans="2:58" ht="13.5">
      <c r="B90" s="324"/>
      <c r="C90" s="323" t="s">
        <v>360</v>
      </c>
      <c r="D90" s="323" t="s">
        <v>361</v>
      </c>
      <c r="E90" s="323" t="s">
        <v>171</v>
      </c>
      <c r="F90" s="323" t="s">
        <v>362</v>
      </c>
      <c r="G90" s="323" t="s">
        <v>363</v>
      </c>
      <c r="H90" s="323"/>
      <c r="I90" s="323"/>
      <c r="BF90" s="318"/>
    </row>
    <row r="91" spans="2:58" ht="13.5">
      <c r="B91" s="324"/>
      <c r="C91" s="323">
        <v>-2</v>
      </c>
      <c r="D91" s="323"/>
      <c r="E91" s="323" t="s">
        <v>567</v>
      </c>
      <c r="F91" s="323" t="s">
        <v>568</v>
      </c>
      <c r="G91" s="323" t="s">
        <v>80</v>
      </c>
      <c r="H91" s="323"/>
      <c r="I91" s="323"/>
      <c r="BF91" s="318"/>
    </row>
    <row r="92" spans="2:58" ht="13.5">
      <c r="B92" s="324"/>
      <c r="C92" s="323"/>
      <c r="D92" s="323"/>
      <c r="E92" s="323"/>
      <c r="F92" s="323"/>
      <c r="G92" s="323"/>
      <c r="H92" s="323"/>
      <c r="I92" s="323"/>
      <c r="BF92" s="318"/>
    </row>
    <row r="93" spans="2:58" ht="14" thickBot="1">
      <c r="B93" s="327"/>
      <c r="C93" s="332"/>
      <c r="D93" s="332"/>
      <c r="E93" s="332"/>
      <c r="F93" s="332"/>
      <c r="G93" s="332"/>
      <c r="H93" s="332"/>
      <c r="I93" s="332"/>
      <c r="J93" s="328"/>
      <c r="K93" s="328"/>
      <c r="L93" s="328"/>
      <c r="M93" s="328"/>
      <c r="N93" s="328"/>
      <c r="O93" s="328"/>
      <c r="P93" s="328"/>
      <c r="Q93" s="328"/>
      <c r="R93" s="328"/>
      <c r="S93" s="328"/>
      <c r="T93" s="328"/>
      <c r="U93" s="328"/>
      <c r="V93" s="328"/>
      <c r="W93" s="328"/>
      <c r="X93" s="328"/>
      <c r="Y93" s="328"/>
      <c r="Z93" s="328"/>
      <c r="AA93" s="328"/>
      <c r="AB93" s="328"/>
      <c r="AC93" s="328"/>
      <c r="AD93" s="328"/>
      <c r="AE93" s="328"/>
      <c r="AF93" s="328"/>
      <c r="AG93" s="328"/>
      <c r="AH93" s="328"/>
      <c r="AI93" s="328"/>
      <c r="AJ93" s="328"/>
      <c r="AK93" s="328"/>
      <c r="AL93" s="328"/>
      <c r="AM93" s="328"/>
      <c r="AN93" s="328"/>
      <c r="AO93" s="328"/>
      <c r="AP93" s="328"/>
      <c r="AQ93" s="328"/>
      <c r="AR93" s="328"/>
      <c r="AS93" s="328"/>
      <c r="AT93" s="328"/>
      <c r="AU93" s="328"/>
      <c r="AV93" s="328"/>
      <c r="AW93" s="328"/>
      <c r="AX93" s="328"/>
      <c r="AY93" s="328"/>
      <c r="AZ93" s="328"/>
      <c r="BA93" s="328"/>
      <c r="BB93" s="328"/>
      <c r="BC93" s="328"/>
      <c r="BD93" s="328"/>
      <c r="BE93" s="328"/>
      <c r="BF93" s="329"/>
    </row>
    <row r="94" spans="2:58" ht="13.5">
      <c r="C94" s="323"/>
      <c r="D94" s="323"/>
      <c r="E94" s="323"/>
      <c r="F94" s="323"/>
      <c r="G94" s="323"/>
      <c r="H94" s="323"/>
      <c r="I94" s="323"/>
    </row>
    <row r="95" spans="2:58" ht="13.5">
      <c r="C95" s="323"/>
      <c r="D95" s="323"/>
      <c r="E95" s="323"/>
      <c r="F95" s="323"/>
      <c r="G95" s="323"/>
      <c r="H95" s="323"/>
      <c r="I95" s="323"/>
    </row>
    <row r="96" spans="2:58" ht="13.5">
      <c r="C96" s="323"/>
      <c r="D96" s="323"/>
      <c r="E96" s="323"/>
      <c r="F96" s="323"/>
      <c r="G96" s="323"/>
      <c r="H96" s="323"/>
      <c r="I96" s="323"/>
    </row>
    <row r="97" spans="3:9" ht="13.5">
      <c r="C97" s="323"/>
      <c r="D97" s="323"/>
      <c r="E97" s="323"/>
      <c r="F97" s="323"/>
      <c r="G97" s="323"/>
      <c r="H97" s="323"/>
      <c r="I97" s="323"/>
    </row>
    <row r="98" spans="3:9" ht="13.5">
      <c r="C98" s="323"/>
      <c r="D98" s="323"/>
      <c r="E98" s="323"/>
      <c r="F98" s="323"/>
      <c r="G98" s="323"/>
      <c r="H98" s="323"/>
      <c r="I98" s="323"/>
    </row>
    <row r="99" spans="3:9" ht="13.5">
      <c r="C99" s="323"/>
      <c r="D99" s="323"/>
      <c r="E99" s="323"/>
      <c r="F99" s="323"/>
      <c r="G99" s="323"/>
      <c r="H99" s="323"/>
      <c r="I99" s="323"/>
    </row>
    <row r="100" spans="3:9" ht="13.5">
      <c r="C100" s="323"/>
      <c r="D100" s="323"/>
      <c r="E100" s="323"/>
      <c r="F100" s="323"/>
      <c r="G100" s="323"/>
      <c r="H100" s="323"/>
      <c r="I100" s="323"/>
    </row>
    <row r="101" spans="3:9" ht="13.5">
      <c r="C101" s="323"/>
      <c r="D101" s="323"/>
      <c r="E101" s="323"/>
      <c r="F101" s="323"/>
      <c r="G101" s="323"/>
      <c r="H101" s="323"/>
      <c r="I101" s="323"/>
    </row>
    <row r="102" spans="3:9" ht="13.5">
      <c r="C102" s="323"/>
      <c r="D102" s="323"/>
      <c r="E102" s="323"/>
      <c r="F102" s="323"/>
      <c r="G102" s="323"/>
      <c r="H102" s="323"/>
      <c r="I102" s="323"/>
    </row>
    <row r="103" spans="3:9" ht="13.5">
      <c r="C103" s="323"/>
      <c r="D103" s="323"/>
      <c r="E103" s="323"/>
      <c r="F103" s="323"/>
      <c r="G103" s="323"/>
      <c r="H103" s="323"/>
      <c r="I103" s="323"/>
    </row>
    <row r="104" spans="3:9" ht="13.5">
      <c r="C104" s="323"/>
      <c r="D104" s="323"/>
      <c r="E104" s="323"/>
      <c r="F104" s="323"/>
      <c r="G104" s="323"/>
      <c r="H104" s="323"/>
      <c r="I104" s="323"/>
    </row>
    <row r="105" spans="3:9" ht="13.5">
      <c r="C105" s="323"/>
      <c r="D105" s="323"/>
      <c r="E105" s="323"/>
      <c r="F105" s="323"/>
      <c r="G105" s="323"/>
      <c r="H105" s="323"/>
      <c r="I105" s="323"/>
    </row>
    <row r="106" spans="3:9" ht="13.5">
      <c r="C106" s="323"/>
      <c r="D106" s="323"/>
      <c r="E106" s="323"/>
      <c r="F106" s="323"/>
      <c r="G106" s="323"/>
      <c r="H106" s="323"/>
      <c r="I106" s="323"/>
    </row>
    <row r="107" spans="3:9" ht="13.5">
      <c r="C107" s="323"/>
      <c r="D107" s="323"/>
      <c r="E107" s="323"/>
      <c r="F107" s="323"/>
      <c r="G107" s="323"/>
      <c r="H107" s="323"/>
      <c r="I107" s="323"/>
    </row>
    <row r="108" spans="3:9" ht="13.5">
      <c r="C108" s="323"/>
      <c r="D108" s="323"/>
      <c r="E108" s="323"/>
      <c r="F108" s="323"/>
      <c r="G108" s="323"/>
      <c r="H108" s="323"/>
      <c r="I108" s="323"/>
    </row>
    <row r="109" spans="3:9" ht="13.5">
      <c r="C109" s="323"/>
      <c r="D109" s="323"/>
      <c r="E109" s="323"/>
      <c r="F109" s="323"/>
      <c r="G109" s="323"/>
      <c r="H109" s="323"/>
      <c r="I109" s="323"/>
    </row>
    <row r="110" spans="3:9" ht="13.5">
      <c r="C110" s="323"/>
      <c r="D110" s="323"/>
      <c r="E110" s="323"/>
      <c r="F110" s="323"/>
      <c r="G110" s="323"/>
      <c r="H110" s="323"/>
      <c r="I110" s="323"/>
    </row>
    <row r="111" spans="3:9" ht="13.5">
      <c r="C111" s="323"/>
      <c r="D111" s="323"/>
      <c r="E111" s="323"/>
      <c r="F111" s="323"/>
      <c r="G111" s="323"/>
      <c r="H111" s="323"/>
      <c r="I111" s="323"/>
    </row>
    <row r="112" spans="3:9" ht="13.5">
      <c r="C112" s="323"/>
      <c r="D112" s="323"/>
      <c r="E112" s="323"/>
      <c r="F112" s="323"/>
      <c r="G112" s="323"/>
      <c r="H112" s="323"/>
      <c r="I112" s="323"/>
    </row>
    <row r="113" spans="3:9" ht="13.5">
      <c r="C113" s="323"/>
      <c r="D113" s="323"/>
      <c r="E113" s="323"/>
      <c r="F113" s="323"/>
      <c r="G113" s="323"/>
      <c r="H113" s="323"/>
      <c r="I113" s="323"/>
    </row>
    <row r="114" spans="3:9" ht="13.5">
      <c r="C114" s="323"/>
      <c r="D114" s="323"/>
      <c r="E114" s="323"/>
      <c r="F114" s="323"/>
      <c r="G114" s="323"/>
      <c r="H114" s="323"/>
      <c r="I114" s="323"/>
    </row>
    <row r="115" spans="3:9" ht="13.5">
      <c r="C115" s="323"/>
      <c r="D115" s="323"/>
      <c r="E115" s="323"/>
      <c r="F115" s="323"/>
      <c r="G115" s="323"/>
      <c r="H115" s="323"/>
      <c r="I115" s="323"/>
    </row>
    <row r="116" spans="3:9" ht="13.5">
      <c r="C116" s="323"/>
      <c r="D116" s="323"/>
      <c r="E116" s="323"/>
      <c r="F116" s="323"/>
      <c r="G116" s="323"/>
      <c r="H116" s="323"/>
      <c r="I116" s="323"/>
    </row>
    <row r="117" spans="3:9" ht="13.5">
      <c r="C117" s="323"/>
      <c r="D117" s="323"/>
      <c r="E117" s="323"/>
      <c r="F117" s="323"/>
      <c r="G117" s="323"/>
      <c r="H117" s="323"/>
      <c r="I117" s="323"/>
    </row>
    <row r="118" spans="3:9" ht="13.5">
      <c r="C118" s="323"/>
      <c r="D118" s="323"/>
      <c r="E118" s="323"/>
      <c r="F118" s="323"/>
      <c r="G118" s="323"/>
      <c r="H118" s="323"/>
      <c r="I118" s="323"/>
    </row>
    <row r="119" spans="3:9" ht="13.5">
      <c r="C119" s="323"/>
      <c r="D119" s="323"/>
      <c r="E119" s="323"/>
      <c r="F119" s="323"/>
      <c r="G119" s="323"/>
      <c r="H119" s="323"/>
      <c r="I119" s="323"/>
    </row>
    <row r="120" spans="3:9" ht="13.5">
      <c r="C120" s="323"/>
      <c r="D120" s="323"/>
      <c r="E120" s="323"/>
      <c r="F120" s="323"/>
      <c r="G120" s="323"/>
      <c r="H120" s="323"/>
      <c r="I120" s="323"/>
    </row>
    <row r="121" spans="3:9" ht="13.5">
      <c r="C121" s="323"/>
      <c r="D121" s="323"/>
      <c r="E121" s="323"/>
      <c r="F121" s="323"/>
      <c r="G121" s="323"/>
      <c r="H121" s="323"/>
      <c r="I121" s="323"/>
    </row>
    <row r="122" spans="3:9" ht="13.5">
      <c r="C122" s="323"/>
      <c r="D122" s="323"/>
      <c r="E122" s="323"/>
      <c r="F122" s="323"/>
      <c r="G122" s="323"/>
      <c r="H122" s="323"/>
      <c r="I122" s="323"/>
    </row>
    <row r="123" spans="3:9" ht="13.5">
      <c r="C123" s="323"/>
      <c r="D123" s="323"/>
      <c r="E123" s="323"/>
      <c r="F123" s="323"/>
      <c r="G123" s="323"/>
      <c r="H123" s="323"/>
      <c r="I123" s="323"/>
    </row>
    <row r="124" spans="3:9" ht="13.5">
      <c r="C124" s="323"/>
      <c r="D124" s="323"/>
      <c r="E124" s="323"/>
      <c r="F124" s="323"/>
      <c r="G124" s="323"/>
      <c r="H124" s="323"/>
      <c r="I124" s="323"/>
    </row>
    <row r="125" spans="3:9" ht="13.5">
      <c r="C125" s="323"/>
      <c r="D125" s="323"/>
      <c r="E125" s="323"/>
      <c r="F125" s="323"/>
      <c r="G125" s="323"/>
      <c r="H125" s="323"/>
      <c r="I125" s="323"/>
    </row>
    <row r="126" spans="3:9" ht="13.5">
      <c r="C126" s="323"/>
      <c r="D126" s="323"/>
      <c r="E126" s="323"/>
      <c r="F126" s="323"/>
      <c r="G126" s="323"/>
      <c r="H126" s="323"/>
      <c r="I126" s="323"/>
    </row>
    <row r="127" spans="3:9" ht="13.5">
      <c r="C127" s="323"/>
      <c r="D127" s="323"/>
      <c r="E127" s="323"/>
      <c r="F127" s="323"/>
      <c r="G127" s="323"/>
      <c r="H127" s="323"/>
      <c r="I127" s="323"/>
    </row>
    <row r="128" spans="3:9" ht="13.5">
      <c r="C128" s="323"/>
      <c r="D128" s="323"/>
      <c r="E128" s="323"/>
      <c r="F128" s="323"/>
      <c r="G128" s="323"/>
      <c r="H128" s="323"/>
      <c r="I128" s="323"/>
    </row>
    <row r="129" spans="3:9" ht="13.5">
      <c r="C129" s="323"/>
      <c r="D129" s="323"/>
      <c r="E129" s="323"/>
      <c r="F129" s="323"/>
      <c r="G129" s="323"/>
      <c r="H129" s="323"/>
      <c r="I129" s="323"/>
    </row>
    <row r="130" spans="3:9" ht="13.5">
      <c r="C130" s="323"/>
      <c r="D130" s="323"/>
      <c r="E130" s="323"/>
      <c r="F130" s="323"/>
      <c r="G130" s="323"/>
      <c r="H130" s="323"/>
      <c r="I130" s="323"/>
    </row>
    <row r="131" spans="3:9" ht="13.5">
      <c r="C131" s="323"/>
      <c r="D131" s="323"/>
      <c r="E131" s="323"/>
      <c r="F131" s="323"/>
      <c r="G131" s="323"/>
      <c r="H131" s="323"/>
      <c r="I131" s="323"/>
    </row>
    <row r="132" spans="3:9" ht="13.5">
      <c r="C132" s="323"/>
      <c r="D132" s="323"/>
      <c r="E132" s="323"/>
      <c r="F132" s="323"/>
      <c r="G132" s="323"/>
      <c r="H132" s="323"/>
      <c r="I132" s="323"/>
    </row>
    <row r="133" spans="3:9" ht="13.5">
      <c r="C133" s="323"/>
      <c r="D133" s="323"/>
      <c r="E133" s="323"/>
      <c r="F133" s="323"/>
      <c r="G133" s="323"/>
      <c r="H133" s="323"/>
      <c r="I133" s="323"/>
    </row>
    <row r="134" spans="3:9" ht="13.5">
      <c r="C134" s="323"/>
      <c r="D134" s="323"/>
      <c r="E134" s="323"/>
      <c r="F134" s="323"/>
      <c r="G134" s="323"/>
      <c r="H134" s="323"/>
      <c r="I134" s="323"/>
    </row>
    <row r="135" spans="3:9" ht="13.5">
      <c r="C135" s="323"/>
      <c r="D135" s="323"/>
      <c r="E135" s="323"/>
      <c r="F135" s="323"/>
      <c r="G135" s="323"/>
      <c r="H135" s="323"/>
      <c r="I135" s="323"/>
    </row>
    <row r="136" spans="3:9" ht="13.5">
      <c r="C136" s="323"/>
      <c r="D136" s="323"/>
      <c r="E136" s="323"/>
      <c r="F136" s="323"/>
      <c r="G136" s="323"/>
      <c r="H136" s="323"/>
      <c r="I136" s="323"/>
    </row>
    <row r="137" spans="3:9" ht="13.5">
      <c r="C137" s="323"/>
      <c r="D137" s="323"/>
      <c r="E137" s="323"/>
      <c r="F137" s="323"/>
      <c r="G137" s="323"/>
      <c r="H137" s="323"/>
      <c r="I137" s="323"/>
    </row>
    <row r="138" spans="3:9" ht="13.5">
      <c r="C138" s="323"/>
      <c r="D138" s="323"/>
      <c r="E138" s="323"/>
      <c r="F138" s="323"/>
      <c r="G138" s="323"/>
      <c r="H138" s="323"/>
      <c r="I138" s="323"/>
    </row>
    <row r="139" spans="3:9" ht="13.5">
      <c r="C139" s="323"/>
      <c r="D139" s="323"/>
      <c r="E139" s="323"/>
      <c r="F139" s="323"/>
      <c r="G139" s="323"/>
      <c r="H139" s="323"/>
      <c r="I139" s="323"/>
    </row>
    <row r="140" spans="3:9" ht="13.5">
      <c r="C140" s="323"/>
      <c r="D140" s="323"/>
      <c r="E140" s="323"/>
      <c r="F140" s="323"/>
      <c r="G140" s="323"/>
      <c r="H140" s="323"/>
      <c r="I140" s="323"/>
    </row>
    <row r="141" spans="3:9" ht="13.5">
      <c r="C141" s="323"/>
      <c r="D141" s="323"/>
      <c r="E141" s="323"/>
      <c r="F141" s="323"/>
      <c r="G141" s="323"/>
      <c r="H141" s="323"/>
      <c r="I141" s="323"/>
    </row>
    <row r="142" spans="3:9" ht="13.5">
      <c r="C142" s="323"/>
      <c r="D142" s="323"/>
      <c r="E142" s="323"/>
      <c r="F142" s="323"/>
      <c r="G142" s="323"/>
      <c r="H142" s="323"/>
      <c r="I142" s="323"/>
    </row>
    <row r="143" spans="3:9" ht="13.5">
      <c r="C143" s="323"/>
      <c r="D143" s="323"/>
      <c r="E143" s="323"/>
      <c r="F143" s="323"/>
      <c r="G143" s="323"/>
      <c r="H143" s="323"/>
      <c r="I143" s="323"/>
    </row>
    <row r="144" spans="3:9" ht="13.5">
      <c r="C144" s="323"/>
      <c r="D144" s="323"/>
      <c r="E144" s="323"/>
      <c r="F144" s="323"/>
      <c r="G144" s="323"/>
      <c r="H144" s="323"/>
      <c r="I144" s="323"/>
    </row>
    <row r="145" spans="3:9" ht="13.5">
      <c r="C145" s="323"/>
      <c r="D145" s="323"/>
      <c r="E145" s="323"/>
      <c r="F145" s="323"/>
      <c r="G145" s="323"/>
      <c r="H145" s="323"/>
      <c r="I145" s="323"/>
    </row>
    <row r="146" spans="3:9" ht="13.5">
      <c r="C146" s="323"/>
      <c r="D146" s="323"/>
      <c r="E146" s="323"/>
      <c r="F146" s="323"/>
      <c r="G146" s="323"/>
      <c r="H146" s="323"/>
      <c r="I146" s="323"/>
    </row>
    <row r="147" spans="3:9" ht="13.5">
      <c r="C147" s="323"/>
      <c r="D147" s="323"/>
      <c r="E147" s="323"/>
      <c r="F147" s="323"/>
      <c r="G147" s="323"/>
      <c r="H147" s="323"/>
      <c r="I147" s="323"/>
    </row>
    <row r="148" spans="3:9" ht="13.5">
      <c r="C148" s="323"/>
      <c r="D148" s="323"/>
      <c r="E148" s="323"/>
      <c r="F148" s="323"/>
      <c r="G148" s="323"/>
      <c r="H148" s="323"/>
      <c r="I148" s="323"/>
    </row>
    <row r="149" spans="3:9" ht="13.5">
      <c r="C149" s="323"/>
      <c r="D149" s="323"/>
      <c r="E149" s="323"/>
      <c r="F149" s="323"/>
      <c r="G149" s="323"/>
      <c r="H149" s="323"/>
      <c r="I149" s="323"/>
    </row>
    <row r="150" spans="3:9" ht="13.5">
      <c r="C150" s="323"/>
      <c r="D150" s="323"/>
      <c r="E150" s="323"/>
      <c r="F150" s="323"/>
      <c r="G150" s="323"/>
      <c r="H150" s="323"/>
      <c r="I150" s="323"/>
    </row>
    <row r="151" spans="3:9" ht="13.5">
      <c r="C151" s="323"/>
      <c r="D151" s="323"/>
      <c r="E151" s="323"/>
      <c r="F151" s="323"/>
      <c r="G151" s="323"/>
      <c r="H151" s="323"/>
      <c r="I151" s="323"/>
    </row>
    <row r="152" spans="3:9" ht="13.5">
      <c r="C152" s="323"/>
      <c r="D152" s="323"/>
      <c r="E152" s="323"/>
      <c r="F152" s="323"/>
      <c r="G152" s="323"/>
      <c r="H152" s="323"/>
      <c r="I152" s="323"/>
    </row>
    <row r="153" spans="3:9" ht="13.5">
      <c r="C153" s="323"/>
      <c r="D153" s="323"/>
      <c r="E153" s="323"/>
      <c r="F153" s="323"/>
      <c r="G153" s="323"/>
      <c r="H153" s="323"/>
      <c r="I153" s="323"/>
    </row>
    <row r="154" spans="3:9" ht="13.5">
      <c r="C154" s="323"/>
      <c r="D154" s="323"/>
      <c r="E154" s="323"/>
      <c r="F154" s="323"/>
      <c r="G154" s="323"/>
      <c r="H154" s="323"/>
      <c r="I154" s="323"/>
    </row>
    <row r="155" spans="3:9" ht="13.5">
      <c r="C155" s="323"/>
      <c r="D155" s="323"/>
      <c r="E155" s="323"/>
      <c r="F155" s="323"/>
      <c r="G155" s="323"/>
      <c r="H155" s="323"/>
      <c r="I155" s="323"/>
    </row>
    <row r="156" spans="3:9" ht="13.5">
      <c r="C156" s="323"/>
      <c r="D156" s="323"/>
      <c r="E156" s="323"/>
      <c r="F156" s="323"/>
      <c r="G156" s="323"/>
      <c r="H156" s="323"/>
      <c r="I156" s="323"/>
    </row>
    <row r="157" spans="3:9" ht="13.5">
      <c r="C157" s="323"/>
      <c r="D157" s="323"/>
      <c r="E157" s="323"/>
      <c r="F157" s="323"/>
      <c r="G157" s="323"/>
      <c r="H157" s="323"/>
      <c r="I157" s="323"/>
    </row>
    <row r="158" spans="3:9" ht="13.5">
      <c r="C158" s="323"/>
      <c r="D158" s="323"/>
      <c r="E158" s="323"/>
      <c r="F158" s="323"/>
      <c r="G158" s="323"/>
      <c r="H158" s="323"/>
      <c r="I158" s="323"/>
    </row>
    <row r="159" spans="3:9" ht="13.5">
      <c r="C159" s="323"/>
      <c r="D159" s="323"/>
      <c r="E159" s="323"/>
      <c r="F159" s="323"/>
      <c r="G159" s="323"/>
      <c r="H159" s="323"/>
      <c r="I159" s="323"/>
    </row>
    <row r="160" spans="3:9" ht="13.5">
      <c r="C160" s="323"/>
      <c r="D160" s="323"/>
      <c r="E160" s="323"/>
      <c r="F160" s="323"/>
      <c r="G160" s="323"/>
      <c r="H160" s="323"/>
      <c r="I160" s="323"/>
    </row>
    <row r="161" spans="3:9" ht="13.5">
      <c r="C161" s="323"/>
      <c r="D161" s="323"/>
      <c r="E161" s="323"/>
      <c r="F161" s="323"/>
      <c r="G161" s="323"/>
      <c r="H161" s="323"/>
      <c r="I161" s="323"/>
    </row>
    <row r="162" spans="3:9" ht="13.5">
      <c r="C162" s="323"/>
      <c r="D162" s="323"/>
      <c r="E162" s="323"/>
      <c r="F162" s="323"/>
      <c r="G162" s="323"/>
      <c r="H162" s="323"/>
      <c r="I162" s="323"/>
    </row>
    <row r="163" spans="3:9" ht="13.5">
      <c r="C163" s="323"/>
      <c r="D163" s="323"/>
      <c r="E163" s="323"/>
      <c r="F163" s="323"/>
      <c r="G163" s="323"/>
      <c r="H163" s="323"/>
      <c r="I163" s="323"/>
    </row>
    <row r="164" spans="3:9" ht="13.5">
      <c r="C164" s="323"/>
      <c r="D164" s="323"/>
      <c r="E164" s="323"/>
      <c r="F164" s="323"/>
      <c r="G164" s="323"/>
      <c r="H164" s="323"/>
      <c r="I164" s="323"/>
    </row>
    <row r="165" spans="3:9" ht="13.5">
      <c r="C165" s="323"/>
      <c r="D165" s="323"/>
      <c r="E165" s="323"/>
      <c r="F165" s="323"/>
      <c r="G165" s="323"/>
      <c r="H165" s="323"/>
      <c r="I165" s="323"/>
    </row>
    <row r="166" spans="3:9" ht="13.5">
      <c r="C166" s="323"/>
      <c r="D166" s="323"/>
      <c r="E166" s="323"/>
      <c r="F166" s="323"/>
      <c r="G166" s="323"/>
      <c r="H166" s="323"/>
      <c r="I166" s="323"/>
    </row>
    <row r="167" spans="3:9" ht="13.5">
      <c r="C167" s="323"/>
      <c r="D167" s="323"/>
      <c r="E167" s="323"/>
      <c r="F167" s="323"/>
      <c r="G167" s="323"/>
      <c r="H167" s="323"/>
      <c r="I167" s="323"/>
    </row>
    <row r="168" spans="3:9" ht="13.5">
      <c r="C168" s="323"/>
      <c r="D168" s="323"/>
      <c r="E168" s="323"/>
      <c r="F168" s="323"/>
      <c r="G168" s="323"/>
      <c r="H168" s="323"/>
      <c r="I168" s="323"/>
    </row>
    <row r="169" spans="3:9" ht="13.5">
      <c r="C169" s="323"/>
      <c r="D169" s="323"/>
      <c r="E169" s="323"/>
      <c r="F169" s="323"/>
      <c r="G169" s="323"/>
      <c r="H169" s="323"/>
      <c r="I169" s="323"/>
    </row>
    <row r="170" spans="3:9" ht="13.5">
      <c r="C170" s="323"/>
      <c r="D170" s="323"/>
      <c r="E170" s="323"/>
      <c r="F170" s="323"/>
      <c r="G170" s="323"/>
      <c r="H170" s="323"/>
      <c r="I170" s="323"/>
    </row>
    <row r="171" spans="3:9" ht="13.5">
      <c r="C171" s="323"/>
      <c r="D171" s="323"/>
      <c r="E171" s="323"/>
      <c r="F171" s="323"/>
      <c r="G171" s="323"/>
      <c r="H171" s="323"/>
      <c r="I171" s="323"/>
    </row>
    <row r="172" spans="3:9" ht="13.5">
      <c r="C172" s="323"/>
      <c r="D172" s="323"/>
      <c r="E172" s="323"/>
      <c r="F172" s="323"/>
      <c r="G172" s="323"/>
      <c r="H172" s="323"/>
      <c r="I172" s="323"/>
    </row>
    <row r="173" spans="3:9" ht="13.5">
      <c r="C173" s="323"/>
      <c r="D173" s="323"/>
      <c r="E173" s="323"/>
      <c r="F173" s="323"/>
      <c r="G173" s="323"/>
      <c r="H173" s="323"/>
      <c r="I173" s="323"/>
    </row>
    <row r="174" spans="3:9" ht="13.5">
      <c r="C174" s="323"/>
      <c r="D174" s="323"/>
      <c r="E174" s="323"/>
      <c r="F174" s="323"/>
      <c r="G174" s="323"/>
      <c r="H174" s="323"/>
      <c r="I174" s="323"/>
    </row>
    <row r="175" spans="3:9" ht="13.5">
      <c r="C175" s="323"/>
      <c r="D175" s="323"/>
      <c r="E175" s="323"/>
      <c r="F175" s="323"/>
      <c r="G175" s="323"/>
      <c r="H175" s="323"/>
      <c r="I175" s="323"/>
    </row>
    <row r="176" spans="3:9" ht="13.5">
      <c r="C176" s="323"/>
      <c r="D176" s="323"/>
      <c r="E176" s="323"/>
      <c r="F176" s="323"/>
      <c r="G176" s="323"/>
      <c r="H176" s="323"/>
      <c r="I176" s="323"/>
    </row>
    <row r="177" spans="3:9" ht="13.5">
      <c r="C177" s="323"/>
      <c r="D177" s="323"/>
      <c r="E177" s="323"/>
      <c r="F177" s="323"/>
      <c r="G177" s="323"/>
      <c r="H177" s="323"/>
      <c r="I177" s="323"/>
    </row>
    <row r="178" spans="3:9" ht="13.5">
      <c r="C178" s="323"/>
      <c r="D178" s="323"/>
      <c r="E178" s="323"/>
      <c r="F178" s="323"/>
      <c r="G178" s="323"/>
      <c r="H178" s="323"/>
      <c r="I178" s="323"/>
    </row>
    <row r="179" spans="3:9" ht="13.5">
      <c r="C179" s="323"/>
      <c r="D179" s="323"/>
      <c r="E179" s="323"/>
      <c r="F179" s="323"/>
      <c r="G179" s="323"/>
      <c r="H179" s="323"/>
      <c r="I179" s="323"/>
    </row>
    <row r="180" spans="3:9" ht="13.5">
      <c r="C180" s="323"/>
      <c r="D180" s="323"/>
      <c r="E180" s="323"/>
      <c r="F180" s="323"/>
      <c r="G180" s="323"/>
      <c r="H180" s="323"/>
      <c r="I180" s="323"/>
    </row>
    <row r="181" spans="3:9" ht="13.5">
      <c r="C181" s="323"/>
      <c r="D181" s="323"/>
      <c r="E181" s="323"/>
      <c r="F181" s="323"/>
      <c r="G181" s="323"/>
      <c r="H181" s="323"/>
      <c r="I181" s="323"/>
    </row>
    <row r="182" spans="3:9" ht="13.5">
      <c r="C182" s="323"/>
      <c r="D182" s="323"/>
      <c r="E182" s="323"/>
      <c r="F182" s="323"/>
      <c r="G182" s="323"/>
      <c r="H182" s="323"/>
      <c r="I182" s="323"/>
    </row>
    <row r="183" spans="3:9" ht="13.5">
      <c r="C183" s="323"/>
      <c r="D183" s="323"/>
      <c r="E183" s="323"/>
      <c r="F183" s="323"/>
      <c r="G183" s="323"/>
      <c r="H183" s="323"/>
      <c r="I183" s="323"/>
    </row>
    <row r="184" spans="3:9" ht="13.5">
      <c r="C184" s="323"/>
      <c r="D184" s="323"/>
      <c r="E184" s="323"/>
      <c r="F184" s="323"/>
      <c r="G184" s="323"/>
      <c r="H184" s="323"/>
      <c r="I184" s="323"/>
    </row>
    <row r="185" spans="3:9" ht="13.5">
      <c r="C185" s="323"/>
      <c r="D185" s="323"/>
      <c r="E185" s="323"/>
      <c r="F185" s="323"/>
      <c r="G185" s="323"/>
      <c r="H185" s="323"/>
      <c r="I185" s="323"/>
    </row>
  </sheetData>
  <phoneticPr fontId="3"/>
  <hyperlinks>
    <hyperlink ref="A1" location="TCS!A1" display="戻る" xr:uid="{BE56EBDF-CAF8-4574-BD5D-BCED4AA74DC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484AD-60EC-4D99-AFC6-13A880E20DA9}">
  <sheetPr>
    <tabColor rgb="FFFFC000"/>
  </sheetPr>
  <dimension ref="A1"/>
  <sheetViews>
    <sheetView workbookViewId="0"/>
  </sheetViews>
  <sheetFormatPr defaultColWidth="9" defaultRowHeight="15"/>
  <cols>
    <col min="1" max="16384" width="9" style="35"/>
  </cols>
  <sheetData>
    <row r="1" spans="1:1">
      <c r="A1" s="34"/>
    </row>
  </sheetData>
  <phoneticPr fontId="2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7DB69-E28F-4269-A863-1B841642A3AB}">
  <dimension ref="A1:M475"/>
  <sheetViews>
    <sheetView showGridLines="0" workbookViewId="0">
      <pane ySplit="3" topLeftCell="A4" activePane="bottomLeft" state="frozen"/>
      <selection pane="bottomLeft"/>
    </sheetView>
  </sheetViews>
  <sheetFormatPr defaultColWidth="9" defaultRowHeight="15"/>
  <cols>
    <col min="1" max="1" width="3.08984375" style="35" customWidth="1"/>
    <col min="2" max="2" width="7.453125" style="35" customWidth="1"/>
    <col min="3" max="3" width="9" style="35"/>
    <col min="4" max="12" width="9" style="37"/>
    <col min="13" max="13" width="5" style="37" customWidth="1"/>
    <col min="14" max="16384" width="9" style="35"/>
  </cols>
  <sheetData>
    <row r="1" spans="1:13">
      <c r="A1" s="36" t="s">
        <v>85</v>
      </c>
    </row>
    <row r="2" spans="1:13" ht="33" thickBot="1">
      <c r="A2" s="38"/>
      <c r="B2" s="39" t="s">
        <v>86</v>
      </c>
      <c r="C2" s="40"/>
      <c r="D2" s="40"/>
      <c r="E2" s="40"/>
      <c r="F2" s="40"/>
      <c r="G2" s="40"/>
      <c r="H2" s="40"/>
      <c r="I2" s="40"/>
      <c r="J2" s="40"/>
      <c r="K2" s="40"/>
      <c r="L2" s="40"/>
      <c r="M2" s="40"/>
    </row>
    <row r="3" spans="1:13" ht="16" thickTop="1" thickBot="1">
      <c r="B3" s="41" t="s">
        <v>87</v>
      </c>
      <c r="C3" s="41" t="s">
        <v>88</v>
      </c>
      <c r="D3" s="41"/>
      <c r="E3" s="42"/>
    </row>
    <row r="4" spans="1:13">
      <c r="B4" s="43">
        <v>1</v>
      </c>
      <c r="C4" s="44" t="s">
        <v>89</v>
      </c>
      <c r="D4" s="44"/>
      <c r="E4" s="44"/>
      <c r="F4" s="44"/>
      <c r="G4" s="44"/>
      <c r="H4" s="44"/>
      <c r="I4" s="44"/>
      <c r="J4" s="44"/>
      <c r="K4" s="44"/>
      <c r="L4" s="44"/>
      <c r="M4" s="45"/>
    </row>
    <row r="5" spans="1:13" ht="15.5" thickBot="1">
      <c r="B5" s="46" t="s">
        <v>90</v>
      </c>
      <c r="C5" s="47"/>
      <c r="D5" s="48"/>
      <c r="E5" s="48"/>
      <c r="F5" s="48"/>
      <c r="G5" s="48"/>
      <c r="H5" s="48"/>
      <c r="I5" s="48"/>
      <c r="J5" s="48"/>
      <c r="K5" s="48"/>
      <c r="L5" s="48"/>
      <c r="M5" s="49"/>
    </row>
    <row r="6" spans="1:13">
      <c r="B6" s="50"/>
      <c r="C6" s="51"/>
      <c r="D6" s="51"/>
      <c r="E6" s="51"/>
      <c r="F6" s="51"/>
      <c r="G6" s="51"/>
      <c r="H6" s="51"/>
      <c r="I6" s="51"/>
      <c r="J6" s="51"/>
      <c r="K6" s="51"/>
      <c r="L6" s="51"/>
      <c r="M6" s="52"/>
    </row>
    <row r="7" spans="1:13">
      <c r="B7" s="53"/>
      <c r="C7" s="54" t="s">
        <v>91</v>
      </c>
      <c r="D7" s="55" t="s">
        <v>92</v>
      </c>
      <c r="E7" s="56"/>
      <c r="F7" s="57"/>
      <c r="G7" s="57"/>
      <c r="H7" s="57"/>
      <c r="I7" s="57"/>
      <c r="J7" s="57"/>
      <c r="K7" s="57"/>
      <c r="L7" s="57"/>
      <c r="M7" s="58"/>
    </row>
    <row r="8" spans="1:13" s="59" customFormat="1" ht="13.5">
      <c r="B8" s="50"/>
      <c r="C8" s="60" t="s">
        <v>93</v>
      </c>
      <c r="D8" s="51"/>
      <c r="E8" s="51"/>
      <c r="F8" s="51"/>
      <c r="G8" s="51"/>
      <c r="H8" s="51"/>
      <c r="I8" s="51"/>
      <c r="J8" s="51"/>
      <c r="K8" s="51"/>
      <c r="L8" s="51"/>
      <c r="M8" s="52"/>
    </row>
    <row r="9" spans="1:13" s="59" customFormat="1" ht="13.5">
      <c r="B9" s="50"/>
      <c r="C9" s="61"/>
      <c r="D9" s="62"/>
      <c r="E9" s="63" t="s">
        <v>94</v>
      </c>
      <c r="F9" s="63" t="s">
        <v>95</v>
      </c>
      <c r="G9" s="64"/>
      <c r="H9" s="51"/>
      <c r="I9" s="51"/>
      <c r="J9" s="51"/>
      <c r="K9" s="51"/>
      <c r="L9" s="51"/>
      <c r="M9" s="52"/>
    </row>
    <row r="10" spans="1:13" s="59" customFormat="1" ht="13.5">
      <c r="B10" s="50"/>
      <c r="C10" s="61"/>
      <c r="D10" s="62"/>
      <c r="E10" s="63" t="s">
        <v>96</v>
      </c>
      <c r="F10" s="63" t="s">
        <v>97</v>
      </c>
      <c r="G10" s="64"/>
      <c r="H10" s="51"/>
      <c r="I10" s="51"/>
      <c r="J10" s="51"/>
      <c r="K10" s="51"/>
      <c r="L10" s="51"/>
      <c r="M10" s="52"/>
    </row>
    <row r="11" spans="1:13" s="59" customFormat="1" ht="13.5">
      <c r="B11" s="50"/>
      <c r="C11" s="62" t="s">
        <v>98</v>
      </c>
      <c r="D11" s="62"/>
      <c r="E11" s="63" t="s">
        <v>99</v>
      </c>
      <c r="F11" s="65" t="s">
        <v>100</v>
      </c>
      <c r="G11" s="64"/>
      <c r="H11" s="51"/>
      <c r="I11" s="51"/>
      <c r="J11" s="51"/>
      <c r="K11" s="51"/>
      <c r="L11" s="51"/>
      <c r="M11" s="52"/>
    </row>
    <row r="12" spans="1:13" s="59" customFormat="1" ht="13.5">
      <c r="B12" s="50"/>
      <c r="C12" s="62" t="s">
        <v>101</v>
      </c>
      <c r="D12" s="62"/>
      <c r="E12" s="63" t="s">
        <v>102</v>
      </c>
      <c r="F12" s="63" t="s">
        <v>103</v>
      </c>
      <c r="G12" s="64"/>
      <c r="H12" s="51"/>
      <c r="I12" s="51"/>
      <c r="J12" s="51"/>
      <c r="K12" s="51"/>
      <c r="L12" s="51"/>
      <c r="M12" s="52"/>
    </row>
    <row r="13" spans="1:13" s="59" customFormat="1" ht="13.5">
      <c r="B13" s="50"/>
      <c r="C13" s="62" t="s">
        <v>104</v>
      </c>
      <c r="D13" s="62"/>
      <c r="E13" s="63" t="s">
        <v>102</v>
      </c>
      <c r="F13" s="63" t="s">
        <v>105</v>
      </c>
      <c r="G13" s="64"/>
      <c r="H13" s="51"/>
      <c r="I13" s="51"/>
      <c r="J13" s="51"/>
      <c r="K13" s="51"/>
      <c r="L13" s="51"/>
      <c r="M13" s="52"/>
    </row>
    <row r="14" spans="1:13" s="59" customFormat="1" ht="13.5">
      <c r="B14" s="50"/>
      <c r="C14" s="62" t="s">
        <v>106</v>
      </c>
      <c r="D14" s="62"/>
      <c r="E14" s="63" t="s">
        <v>102</v>
      </c>
      <c r="F14" s="63" t="s">
        <v>105</v>
      </c>
      <c r="G14" s="64"/>
      <c r="H14" s="51"/>
      <c r="I14" s="51"/>
      <c r="J14" s="51"/>
      <c r="K14" s="51"/>
      <c r="L14" s="51"/>
      <c r="M14" s="52"/>
    </row>
    <row r="15" spans="1:13" s="59" customFormat="1" ht="13.5">
      <c r="B15" s="50"/>
      <c r="C15" s="62" t="s">
        <v>3</v>
      </c>
      <c r="D15" s="62"/>
      <c r="E15" s="63" t="s">
        <v>102</v>
      </c>
      <c r="F15" s="63" t="s">
        <v>107</v>
      </c>
      <c r="G15" s="64"/>
      <c r="H15" s="51"/>
      <c r="I15" s="51"/>
      <c r="J15" s="51"/>
      <c r="K15" s="51"/>
      <c r="L15" s="51"/>
      <c r="M15" s="52"/>
    </row>
    <row r="16" spans="1:13" s="59" customFormat="1" ht="13.5">
      <c r="B16" s="50"/>
      <c r="C16" s="62" t="s">
        <v>108</v>
      </c>
      <c r="D16" s="62"/>
      <c r="E16" s="63" t="s">
        <v>102</v>
      </c>
      <c r="F16" s="63" t="s">
        <v>109</v>
      </c>
      <c r="G16" s="64"/>
      <c r="H16" s="51"/>
      <c r="I16" s="51"/>
      <c r="J16" s="51"/>
      <c r="K16" s="51"/>
      <c r="L16" s="51"/>
      <c r="M16" s="52"/>
    </row>
    <row r="17" spans="2:13" s="59" customFormat="1" ht="13.5">
      <c r="B17" s="50"/>
      <c r="C17" s="62" t="s">
        <v>110</v>
      </c>
      <c r="D17" s="62"/>
      <c r="E17" s="63" t="s">
        <v>102</v>
      </c>
      <c r="F17" s="63" t="s">
        <v>111</v>
      </c>
      <c r="G17" s="64"/>
      <c r="H17" s="51"/>
      <c r="I17" s="51"/>
      <c r="J17" s="51"/>
      <c r="K17" s="51"/>
      <c r="L17" s="51"/>
      <c r="M17" s="52"/>
    </row>
    <row r="18" spans="2:13" s="59" customFormat="1" ht="13.5">
      <c r="B18" s="50"/>
      <c r="C18" s="62" t="s">
        <v>112</v>
      </c>
      <c r="D18" s="62"/>
      <c r="E18" s="63" t="s">
        <v>102</v>
      </c>
      <c r="F18" s="63" t="s">
        <v>113</v>
      </c>
      <c r="G18" s="64"/>
      <c r="H18" s="51"/>
      <c r="I18" s="51"/>
      <c r="J18" s="51"/>
      <c r="K18" s="51"/>
      <c r="L18" s="51"/>
      <c r="M18" s="52"/>
    </row>
    <row r="19" spans="2:13" s="59" customFormat="1" ht="13.5">
      <c r="B19" s="50"/>
      <c r="C19" s="62" t="s">
        <v>114</v>
      </c>
      <c r="D19" s="62"/>
      <c r="E19" s="63" t="s">
        <v>102</v>
      </c>
      <c r="F19" s="63" t="s">
        <v>115</v>
      </c>
      <c r="G19" s="64"/>
      <c r="H19" s="51"/>
      <c r="I19" s="51"/>
      <c r="J19" s="51"/>
      <c r="K19" s="51"/>
      <c r="L19" s="51"/>
      <c r="M19" s="52"/>
    </row>
    <row r="20" spans="2:13" s="59" customFormat="1" ht="13.5">
      <c r="B20" s="50"/>
      <c r="C20" s="62" t="s">
        <v>116</v>
      </c>
      <c r="D20" s="62"/>
      <c r="E20" s="63" t="s">
        <v>102</v>
      </c>
      <c r="F20" s="63" t="s">
        <v>117</v>
      </c>
      <c r="G20" s="64"/>
      <c r="H20" s="51"/>
      <c r="I20" s="51"/>
      <c r="J20" s="51"/>
      <c r="K20" s="51"/>
      <c r="L20" s="51"/>
      <c r="M20" s="52"/>
    </row>
    <row r="21" spans="2:13" s="59" customFormat="1" ht="13.5">
      <c r="B21" s="50"/>
      <c r="C21" s="62"/>
      <c r="D21" s="62"/>
      <c r="E21" s="63" t="s">
        <v>118</v>
      </c>
      <c r="F21" s="63"/>
      <c r="G21" s="64"/>
      <c r="H21" s="51"/>
      <c r="I21" s="51"/>
      <c r="J21" s="51"/>
      <c r="K21" s="51"/>
      <c r="L21" s="51"/>
      <c r="M21" s="52"/>
    </row>
    <row r="22" spans="2:13" s="59" customFormat="1" ht="13.5">
      <c r="B22" s="50"/>
      <c r="C22" s="51"/>
      <c r="D22" s="51"/>
      <c r="E22" s="51"/>
      <c r="F22" s="51"/>
      <c r="G22" s="51"/>
      <c r="H22" s="51"/>
      <c r="I22" s="51"/>
      <c r="J22" s="51"/>
      <c r="K22" s="51"/>
      <c r="L22" s="51"/>
      <c r="M22" s="52"/>
    </row>
    <row r="23" spans="2:13">
      <c r="B23" s="66"/>
      <c r="C23" s="60" t="s">
        <v>119</v>
      </c>
      <c r="D23" s="67"/>
      <c r="E23" s="67"/>
      <c r="F23" s="67"/>
      <c r="G23" s="67"/>
      <c r="H23" s="67"/>
      <c r="I23" s="67"/>
      <c r="J23" s="67"/>
      <c r="K23" s="67"/>
      <c r="L23" s="67"/>
      <c r="M23" s="58"/>
    </row>
    <row r="24" spans="2:13">
      <c r="B24" s="66"/>
      <c r="C24" s="68" t="s">
        <v>120</v>
      </c>
      <c r="D24" s="69">
        <v>-2</v>
      </c>
      <c r="E24" s="70"/>
      <c r="F24" s="70"/>
      <c r="G24" s="70"/>
      <c r="H24" s="70"/>
      <c r="I24" s="70"/>
      <c r="J24" s="70"/>
      <c r="K24" s="71"/>
      <c r="L24" s="67"/>
      <c r="M24" s="58"/>
    </row>
    <row r="25" spans="2:13">
      <c r="B25" s="66"/>
      <c r="C25" s="72" t="s">
        <v>121</v>
      </c>
      <c r="D25" s="73" t="s">
        <v>122</v>
      </c>
      <c r="E25" s="70"/>
      <c r="F25" s="70"/>
      <c r="G25" s="70"/>
      <c r="H25" s="70"/>
      <c r="I25" s="70"/>
      <c r="J25" s="70"/>
      <c r="K25" s="71"/>
      <c r="L25" s="67"/>
      <c r="M25" s="58"/>
    </row>
    <row r="26" spans="2:13">
      <c r="B26" s="66"/>
      <c r="C26" s="72" t="s">
        <v>123</v>
      </c>
      <c r="D26" s="73" t="s">
        <v>124</v>
      </c>
      <c r="E26" s="70"/>
      <c r="F26" s="70"/>
      <c r="G26" s="70"/>
      <c r="H26" s="70"/>
      <c r="I26" s="70"/>
      <c r="J26" s="70"/>
      <c r="K26" s="71"/>
      <c r="L26" s="67"/>
      <c r="M26" s="58"/>
    </row>
    <row r="27" spans="2:13">
      <c r="B27" s="66"/>
      <c r="C27" s="72" t="s">
        <v>125</v>
      </c>
      <c r="D27" s="73" t="s">
        <v>126</v>
      </c>
      <c r="E27" s="70"/>
      <c r="F27" s="70"/>
      <c r="G27" s="70"/>
      <c r="H27" s="70"/>
      <c r="I27" s="70"/>
      <c r="J27" s="70"/>
      <c r="K27" s="71"/>
      <c r="L27" s="67"/>
      <c r="M27" s="58"/>
    </row>
    <row r="28" spans="2:13">
      <c r="B28" s="66"/>
      <c r="C28" s="74"/>
      <c r="D28" s="75"/>
      <c r="E28" s="67"/>
      <c r="F28" s="67"/>
      <c r="G28" s="67"/>
      <c r="H28" s="67"/>
      <c r="I28" s="67"/>
      <c r="J28" s="67"/>
      <c r="K28" s="67"/>
      <c r="L28" s="67"/>
      <c r="M28" s="58"/>
    </row>
    <row r="29" spans="2:13">
      <c r="B29" s="66"/>
      <c r="C29" s="37"/>
      <c r="D29" s="67"/>
      <c r="E29" s="67"/>
      <c r="F29" s="67"/>
      <c r="G29" s="67"/>
      <c r="H29" s="67"/>
      <c r="I29" s="67"/>
      <c r="J29" s="67"/>
      <c r="K29" s="67"/>
      <c r="L29" s="67"/>
      <c r="M29" s="58"/>
    </row>
    <row r="30" spans="2:13">
      <c r="B30" s="53"/>
      <c r="C30" s="54" t="s">
        <v>91</v>
      </c>
      <c r="D30" s="55" t="s">
        <v>127</v>
      </c>
      <c r="E30" s="56"/>
      <c r="F30" s="57"/>
      <c r="G30" s="57"/>
      <c r="H30" s="57"/>
      <c r="I30" s="57"/>
      <c r="J30" s="57"/>
      <c r="K30" s="57"/>
      <c r="L30" s="57"/>
      <c r="M30" s="58"/>
    </row>
    <row r="31" spans="2:13" s="59" customFormat="1" ht="13.5">
      <c r="B31" s="50"/>
      <c r="C31" s="60" t="s">
        <v>93</v>
      </c>
      <c r="D31" s="51"/>
      <c r="E31" s="51"/>
      <c r="F31" s="51"/>
      <c r="G31" s="51"/>
      <c r="H31" s="51"/>
      <c r="I31" s="51"/>
      <c r="J31" s="51"/>
      <c r="K31" s="51"/>
      <c r="L31" s="51"/>
      <c r="M31" s="52"/>
    </row>
    <row r="32" spans="2:13" s="59" customFormat="1" ht="13.5">
      <c r="B32" s="50"/>
      <c r="C32" s="61"/>
      <c r="D32" s="62"/>
      <c r="E32" s="63" t="s">
        <v>94</v>
      </c>
      <c r="F32" s="63" t="s">
        <v>95</v>
      </c>
      <c r="G32" s="64"/>
      <c r="H32" s="51"/>
      <c r="I32" s="51"/>
      <c r="J32" s="51"/>
      <c r="K32" s="51"/>
      <c r="L32" s="51"/>
      <c r="M32" s="52"/>
    </row>
    <row r="33" spans="2:13" s="59" customFormat="1" ht="13.5">
      <c r="B33" s="50"/>
      <c r="C33" s="61"/>
      <c r="D33" s="62"/>
      <c r="E33" s="63" t="s">
        <v>96</v>
      </c>
      <c r="F33" s="63" t="s">
        <v>97</v>
      </c>
      <c r="G33" s="64"/>
      <c r="H33" s="51"/>
      <c r="I33" s="51"/>
      <c r="J33" s="51"/>
      <c r="K33" s="51"/>
      <c r="L33" s="51"/>
      <c r="M33" s="52"/>
    </row>
    <row r="34" spans="2:13" s="59" customFormat="1" ht="13.5">
      <c r="B34" s="50"/>
      <c r="C34" s="62" t="s">
        <v>98</v>
      </c>
      <c r="D34" s="62"/>
      <c r="E34" s="63" t="s">
        <v>99</v>
      </c>
      <c r="F34" s="63" t="s">
        <v>128</v>
      </c>
      <c r="G34" s="64"/>
      <c r="H34" s="51"/>
      <c r="I34" s="51"/>
      <c r="J34" s="51"/>
      <c r="K34" s="51"/>
      <c r="L34" s="51"/>
      <c r="M34" s="52"/>
    </row>
    <row r="35" spans="2:13" s="59" customFormat="1" ht="13.5">
      <c r="B35" s="50"/>
      <c r="C35" s="62" t="s">
        <v>101</v>
      </c>
      <c r="D35" s="62"/>
      <c r="E35" s="63" t="s">
        <v>102</v>
      </c>
      <c r="F35" s="65" t="s">
        <v>100</v>
      </c>
      <c r="G35" s="64"/>
      <c r="H35" s="51"/>
      <c r="I35" s="51"/>
      <c r="J35" s="51"/>
      <c r="K35" s="51"/>
      <c r="L35" s="51"/>
      <c r="M35" s="52"/>
    </row>
    <row r="36" spans="2:13" s="59" customFormat="1" ht="13.5">
      <c r="B36" s="50"/>
      <c r="C36" s="62" t="s">
        <v>104</v>
      </c>
      <c r="D36" s="62"/>
      <c r="E36" s="63" t="s">
        <v>102</v>
      </c>
      <c r="F36" s="63" t="s">
        <v>105</v>
      </c>
      <c r="G36" s="64"/>
      <c r="H36" s="51"/>
      <c r="I36" s="51"/>
      <c r="J36" s="51"/>
      <c r="K36" s="51"/>
      <c r="L36" s="51"/>
      <c r="M36" s="52"/>
    </row>
    <row r="37" spans="2:13" s="59" customFormat="1" ht="13.5">
      <c r="B37" s="50"/>
      <c r="C37" s="62" t="s">
        <v>106</v>
      </c>
      <c r="D37" s="62"/>
      <c r="E37" s="63" t="s">
        <v>102</v>
      </c>
      <c r="F37" s="63" t="s">
        <v>105</v>
      </c>
      <c r="G37" s="64"/>
      <c r="H37" s="51"/>
      <c r="I37" s="51"/>
      <c r="J37" s="51"/>
      <c r="K37" s="51"/>
      <c r="L37" s="51"/>
      <c r="M37" s="52"/>
    </row>
    <row r="38" spans="2:13" s="59" customFormat="1" ht="13.5">
      <c r="B38" s="50"/>
      <c r="C38" s="62" t="s">
        <v>3</v>
      </c>
      <c r="D38" s="62"/>
      <c r="E38" s="63" t="s">
        <v>102</v>
      </c>
      <c r="F38" s="63" t="s">
        <v>107</v>
      </c>
      <c r="G38" s="64"/>
      <c r="H38" s="51"/>
      <c r="I38" s="51"/>
      <c r="J38" s="51"/>
      <c r="K38" s="51"/>
      <c r="L38" s="51"/>
      <c r="M38" s="52"/>
    </row>
    <row r="39" spans="2:13" s="59" customFormat="1" ht="13.5">
      <c r="B39" s="50"/>
      <c r="C39" s="62" t="s">
        <v>108</v>
      </c>
      <c r="D39" s="62"/>
      <c r="E39" s="63" t="s">
        <v>102</v>
      </c>
      <c r="F39" s="63" t="s">
        <v>109</v>
      </c>
      <c r="G39" s="64"/>
      <c r="H39" s="51"/>
      <c r="I39" s="51"/>
      <c r="J39" s="51"/>
      <c r="K39" s="51"/>
      <c r="L39" s="51"/>
      <c r="M39" s="52"/>
    </row>
    <row r="40" spans="2:13" s="59" customFormat="1" ht="13.5">
      <c r="B40" s="50"/>
      <c r="C40" s="62" t="s">
        <v>110</v>
      </c>
      <c r="D40" s="62"/>
      <c r="E40" s="63" t="s">
        <v>102</v>
      </c>
      <c r="F40" s="63" t="s">
        <v>111</v>
      </c>
      <c r="G40" s="64"/>
      <c r="H40" s="51"/>
      <c r="I40" s="51"/>
      <c r="J40" s="51"/>
      <c r="K40" s="51"/>
      <c r="L40" s="51"/>
      <c r="M40" s="52"/>
    </row>
    <row r="41" spans="2:13" s="59" customFormat="1" ht="13.5">
      <c r="B41" s="50"/>
      <c r="C41" s="62" t="s">
        <v>112</v>
      </c>
      <c r="D41" s="62"/>
      <c r="E41" s="63" t="s">
        <v>102</v>
      </c>
      <c r="F41" s="63" t="s">
        <v>113</v>
      </c>
      <c r="G41" s="64"/>
      <c r="H41" s="51"/>
      <c r="I41" s="51"/>
      <c r="J41" s="51"/>
      <c r="K41" s="51"/>
      <c r="L41" s="51"/>
      <c r="M41" s="52"/>
    </row>
    <row r="42" spans="2:13" s="59" customFormat="1" ht="13.5">
      <c r="B42" s="50"/>
      <c r="C42" s="62" t="s">
        <v>114</v>
      </c>
      <c r="D42" s="62"/>
      <c r="E42" s="63" t="s">
        <v>102</v>
      </c>
      <c r="F42" s="63" t="s">
        <v>115</v>
      </c>
      <c r="G42" s="64"/>
      <c r="H42" s="51"/>
      <c r="I42" s="51"/>
      <c r="J42" s="51"/>
      <c r="K42" s="51"/>
      <c r="L42" s="51"/>
      <c r="M42" s="52"/>
    </row>
    <row r="43" spans="2:13" s="59" customFormat="1" ht="13.5">
      <c r="B43" s="50"/>
      <c r="C43" s="62" t="s">
        <v>116</v>
      </c>
      <c r="D43" s="62"/>
      <c r="E43" s="63" t="s">
        <v>102</v>
      </c>
      <c r="F43" s="63" t="s">
        <v>117</v>
      </c>
      <c r="G43" s="64"/>
      <c r="H43" s="51"/>
      <c r="I43" s="51"/>
      <c r="J43" s="51"/>
      <c r="K43" s="51"/>
      <c r="L43" s="51"/>
      <c r="M43" s="52"/>
    </row>
    <row r="44" spans="2:13" s="59" customFormat="1" ht="13.5">
      <c r="B44" s="50"/>
      <c r="C44" s="62"/>
      <c r="D44" s="62"/>
      <c r="E44" s="63" t="s">
        <v>118</v>
      </c>
      <c r="F44" s="63"/>
      <c r="G44" s="64"/>
      <c r="H44" s="51"/>
      <c r="I44" s="51"/>
      <c r="J44" s="51"/>
      <c r="K44" s="51"/>
      <c r="L44" s="51"/>
      <c r="M44" s="52"/>
    </row>
    <row r="45" spans="2:13" s="59" customFormat="1" ht="13.5">
      <c r="B45" s="50"/>
      <c r="C45" s="51"/>
      <c r="D45" s="51"/>
      <c r="E45" s="51"/>
      <c r="F45" s="51"/>
      <c r="G45" s="51"/>
      <c r="H45" s="51"/>
      <c r="I45" s="51"/>
      <c r="J45" s="51"/>
      <c r="K45" s="51"/>
      <c r="L45" s="51"/>
      <c r="M45" s="52"/>
    </row>
    <row r="46" spans="2:13">
      <c r="B46" s="66"/>
      <c r="C46" s="60" t="s">
        <v>119</v>
      </c>
      <c r="D46" s="67"/>
      <c r="E46" s="67"/>
      <c r="F46" s="67"/>
      <c r="G46" s="67"/>
      <c r="H46" s="67"/>
      <c r="I46" s="67"/>
      <c r="J46" s="67"/>
      <c r="K46" s="67"/>
      <c r="L46" s="67"/>
      <c r="M46" s="58"/>
    </row>
    <row r="47" spans="2:13">
      <c r="B47" s="66"/>
      <c r="C47" s="68" t="s">
        <v>120</v>
      </c>
      <c r="D47" s="69">
        <v>-2</v>
      </c>
      <c r="E47" s="70"/>
      <c r="F47" s="70"/>
      <c r="G47" s="70"/>
      <c r="H47" s="70"/>
      <c r="I47" s="70"/>
      <c r="J47" s="70"/>
      <c r="K47" s="71"/>
      <c r="L47" s="67"/>
      <c r="M47" s="58"/>
    </row>
    <row r="48" spans="2:13">
      <c r="B48" s="66"/>
      <c r="C48" s="72" t="s">
        <v>121</v>
      </c>
      <c r="D48" s="73" t="s">
        <v>122</v>
      </c>
      <c r="E48" s="70"/>
      <c r="F48" s="70"/>
      <c r="G48" s="70"/>
      <c r="H48" s="70"/>
      <c r="I48" s="70"/>
      <c r="J48" s="70"/>
      <c r="K48" s="71"/>
      <c r="L48" s="67"/>
      <c r="M48" s="58"/>
    </row>
    <row r="49" spans="2:13">
      <c r="B49" s="66"/>
      <c r="C49" s="72" t="s">
        <v>123</v>
      </c>
      <c r="D49" s="73" t="s">
        <v>129</v>
      </c>
      <c r="E49" s="70"/>
      <c r="F49" s="70"/>
      <c r="G49" s="70"/>
      <c r="H49" s="70"/>
      <c r="I49" s="70"/>
      <c r="J49" s="70"/>
      <c r="K49" s="71"/>
      <c r="L49" s="67"/>
      <c r="M49" s="58"/>
    </row>
    <row r="50" spans="2:13">
      <c r="B50" s="66"/>
      <c r="C50" s="72" t="s">
        <v>125</v>
      </c>
      <c r="D50" s="73" t="s">
        <v>130</v>
      </c>
      <c r="E50" s="70"/>
      <c r="F50" s="70"/>
      <c r="G50" s="70"/>
      <c r="H50" s="70"/>
      <c r="I50" s="70"/>
      <c r="J50" s="70"/>
      <c r="K50" s="71"/>
      <c r="L50" s="67"/>
      <c r="M50" s="58"/>
    </row>
    <row r="51" spans="2:13">
      <c r="B51" s="66"/>
      <c r="C51" s="37"/>
      <c r="D51" s="67"/>
      <c r="E51" s="67"/>
      <c r="F51" s="67"/>
      <c r="G51" s="67"/>
      <c r="H51" s="67"/>
      <c r="I51" s="67"/>
      <c r="J51" s="67"/>
      <c r="K51" s="67"/>
      <c r="L51" s="67"/>
      <c r="M51" s="58"/>
    </row>
    <row r="52" spans="2:13">
      <c r="B52" s="66"/>
      <c r="C52" s="37"/>
      <c r="D52" s="67"/>
      <c r="E52" s="67"/>
      <c r="F52" s="67"/>
      <c r="G52" s="67"/>
      <c r="H52" s="67"/>
      <c r="I52" s="67"/>
      <c r="J52" s="67"/>
      <c r="K52" s="67"/>
      <c r="L52" s="67"/>
      <c r="M52" s="58"/>
    </row>
    <row r="53" spans="2:13">
      <c r="B53" s="53"/>
      <c r="C53" s="54" t="s">
        <v>91</v>
      </c>
      <c r="D53" s="55" t="s">
        <v>131</v>
      </c>
      <c r="E53" s="56"/>
      <c r="F53" s="57"/>
      <c r="G53" s="57"/>
      <c r="H53" s="57"/>
      <c r="I53" s="57"/>
      <c r="J53" s="57"/>
      <c r="K53" s="57"/>
      <c r="L53" s="57"/>
      <c r="M53" s="58"/>
    </row>
    <row r="54" spans="2:13" s="59" customFormat="1" ht="13.5">
      <c r="B54" s="50"/>
      <c r="C54" s="60" t="s">
        <v>93</v>
      </c>
      <c r="D54" s="51"/>
      <c r="E54" s="51"/>
      <c r="F54" s="51"/>
      <c r="G54" s="51"/>
      <c r="H54" s="51"/>
      <c r="I54" s="51"/>
      <c r="J54" s="51"/>
      <c r="K54" s="51"/>
      <c r="L54" s="51"/>
      <c r="M54" s="52"/>
    </row>
    <row r="55" spans="2:13" s="59" customFormat="1" ht="13.5">
      <c r="B55" s="50"/>
      <c r="C55" s="61"/>
      <c r="D55" s="62"/>
      <c r="E55" s="63" t="s">
        <v>94</v>
      </c>
      <c r="F55" s="63" t="s">
        <v>95</v>
      </c>
      <c r="G55" s="64"/>
      <c r="H55" s="51"/>
      <c r="I55" s="51"/>
      <c r="J55" s="51"/>
      <c r="K55" s="51"/>
      <c r="L55" s="51"/>
      <c r="M55" s="52"/>
    </row>
    <row r="56" spans="2:13" s="59" customFormat="1" ht="13.5">
      <c r="B56" s="50"/>
      <c r="C56" s="61"/>
      <c r="D56" s="62"/>
      <c r="E56" s="63" t="s">
        <v>96</v>
      </c>
      <c r="F56" s="63" t="s">
        <v>97</v>
      </c>
      <c r="G56" s="64"/>
      <c r="H56" s="51"/>
      <c r="I56" s="51"/>
      <c r="J56" s="51"/>
      <c r="K56" s="51"/>
      <c r="L56" s="51"/>
      <c r="M56" s="52"/>
    </row>
    <row r="57" spans="2:13" s="59" customFormat="1" ht="13.5">
      <c r="B57" s="50"/>
      <c r="C57" s="62" t="s">
        <v>98</v>
      </c>
      <c r="D57" s="62"/>
      <c r="E57" s="63" t="s">
        <v>99</v>
      </c>
      <c r="F57" s="63" t="s">
        <v>128</v>
      </c>
      <c r="G57" s="64"/>
      <c r="H57" s="51"/>
      <c r="I57" s="51"/>
      <c r="J57" s="51"/>
      <c r="K57" s="51"/>
      <c r="L57" s="51"/>
      <c r="M57" s="52"/>
    </row>
    <row r="58" spans="2:13" s="59" customFormat="1" ht="13.5">
      <c r="B58" s="50"/>
      <c r="C58" s="62" t="s">
        <v>101</v>
      </c>
      <c r="D58" s="62"/>
      <c r="E58" s="63" t="s">
        <v>102</v>
      </c>
      <c r="F58" s="63" t="s">
        <v>103</v>
      </c>
      <c r="G58" s="64"/>
      <c r="H58" s="51"/>
      <c r="I58" s="51"/>
      <c r="J58" s="51"/>
      <c r="K58" s="51"/>
      <c r="L58" s="51"/>
      <c r="M58" s="52"/>
    </row>
    <row r="59" spans="2:13" s="59" customFormat="1" ht="13.5">
      <c r="B59" s="50"/>
      <c r="C59" s="62" t="s">
        <v>104</v>
      </c>
      <c r="D59" s="62"/>
      <c r="E59" s="63" t="s">
        <v>102</v>
      </c>
      <c r="F59" s="65" t="s">
        <v>100</v>
      </c>
      <c r="G59" s="64"/>
      <c r="H59" s="51"/>
      <c r="I59" s="51"/>
      <c r="J59" s="51"/>
      <c r="K59" s="51"/>
      <c r="L59" s="51"/>
      <c r="M59" s="52"/>
    </row>
    <row r="60" spans="2:13" s="59" customFormat="1" ht="13.5">
      <c r="B60" s="50"/>
      <c r="C60" s="62" t="s">
        <v>106</v>
      </c>
      <c r="D60" s="62"/>
      <c r="E60" s="63" t="s">
        <v>102</v>
      </c>
      <c r="F60" s="63" t="s">
        <v>105</v>
      </c>
      <c r="G60" s="64"/>
      <c r="H60" s="51"/>
      <c r="I60" s="51"/>
      <c r="J60" s="51"/>
      <c r="K60" s="51"/>
      <c r="L60" s="51"/>
      <c r="M60" s="52"/>
    </row>
    <row r="61" spans="2:13" s="59" customFormat="1" ht="13.5">
      <c r="B61" s="50"/>
      <c r="C61" s="62" t="s">
        <v>3</v>
      </c>
      <c r="D61" s="62"/>
      <c r="E61" s="63" t="s">
        <v>102</v>
      </c>
      <c r="F61" s="63" t="s">
        <v>107</v>
      </c>
      <c r="G61" s="64"/>
      <c r="H61" s="51"/>
      <c r="I61" s="51"/>
      <c r="J61" s="51"/>
      <c r="K61" s="51"/>
      <c r="L61" s="51"/>
      <c r="M61" s="52"/>
    </row>
    <row r="62" spans="2:13" s="59" customFormat="1" ht="13.5">
      <c r="B62" s="50"/>
      <c r="C62" s="62" t="s">
        <v>108</v>
      </c>
      <c r="D62" s="62"/>
      <c r="E62" s="63" t="s">
        <v>102</v>
      </c>
      <c r="F62" s="63" t="s">
        <v>109</v>
      </c>
      <c r="G62" s="64"/>
      <c r="H62" s="51"/>
      <c r="I62" s="51"/>
      <c r="J62" s="51"/>
      <c r="K62" s="51"/>
      <c r="L62" s="51"/>
      <c r="M62" s="52"/>
    </row>
    <row r="63" spans="2:13" s="59" customFormat="1" ht="13.5">
      <c r="B63" s="50"/>
      <c r="C63" s="62" t="s">
        <v>110</v>
      </c>
      <c r="D63" s="62"/>
      <c r="E63" s="63" t="s">
        <v>102</v>
      </c>
      <c r="F63" s="63" t="s">
        <v>111</v>
      </c>
      <c r="G63" s="64"/>
      <c r="H63" s="51"/>
      <c r="I63" s="51"/>
      <c r="J63" s="51"/>
      <c r="K63" s="51"/>
      <c r="L63" s="51"/>
      <c r="M63" s="52"/>
    </row>
    <row r="64" spans="2:13" s="59" customFormat="1" ht="13.5">
      <c r="B64" s="50"/>
      <c r="C64" s="62" t="s">
        <v>112</v>
      </c>
      <c r="D64" s="62"/>
      <c r="E64" s="63" t="s">
        <v>102</v>
      </c>
      <c r="F64" s="63" t="s">
        <v>113</v>
      </c>
      <c r="G64" s="64"/>
      <c r="H64" s="51"/>
      <c r="I64" s="51"/>
      <c r="J64" s="51"/>
      <c r="K64" s="51"/>
      <c r="L64" s="51"/>
      <c r="M64" s="52"/>
    </row>
    <row r="65" spans="2:13" s="59" customFormat="1" ht="13.5">
      <c r="B65" s="50"/>
      <c r="C65" s="62" t="s">
        <v>114</v>
      </c>
      <c r="D65" s="62"/>
      <c r="E65" s="63" t="s">
        <v>102</v>
      </c>
      <c r="F65" s="63" t="s">
        <v>115</v>
      </c>
      <c r="G65" s="64"/>
      <c r="H65" s="51"/>
      <c r="I65" s="51"/>
      <c r="J65" s="51"/>
      <c r="K65" s="51"/>
      <c r="L65" s="51"/>
      <c r="M65" s="52"/>
    </row>
    <row r="66" spans="2:13" s="59" customFormat="1" ht="13.5">
      <c r="B66" s="50"/>
      <c r="C66" s="62" t="s">
        <v>116</v>
      </c>
      <c r="D66" s="62"/>
      <c r="E66" s="63" t="s">
        <v>102</v>
      </c>
      <c r="F66" s="63" t="s">
        <v>117</v>
      </c>
      <c r="G66" s="64"/>
      <c r="H66" s="51"/>
      <c r="I66" s="51"/>
      <c r="J66" s="51"/>
      <c r="K66" s="51"/>
      <c r="L66" s="51"/>
      <c r="M66" s="52"/>
    </row>
    <row r="67" spans="2:13" s="59" customFormat="1" ht="13.5">
      <c r="B67" s="50"/>
      <c r="C67" s="62"/>
      <c r="D67" s="62"/>
      <c r="E67" s="63" t="s">
        <v>118</v>
      </c>
      <c r="F67" s="63"/>
      <c r="G67" s="64"/>
      <c r="H67" s="51"/>
      <c r="I67" s="51"/>
      <c r="J67" s="51"/>
      <c r="K67" s="51"/>
      <c r="L67" s="51"/>
      <c r="M67" s="52"/>
    </row>
    <row r="68" spans="2:13" s="59" customFormat="1" ht="13.5">
      <c r="B68" s="50"/>
      <c r="C68" s="51"/>
      <c r="D68" s="51"/>
      <c r="E68" s="51"/>
      <c r="F68" s="51"/>
      <c r="G68" s="51"/>
      <c r="H68" s="51"/>
      <c r="I68" s="51"/>
      <c r="J68" s="51"/>
      <c r="K68" s="51"/>
      <c r="L68" s="51"/>
      <c r="M68" s="52"/>
    </row>
    <row r="69" spans="2:13">
      <c r="B69" s="66"/>
      <c r="C69" s="60" t="s">
        <v>119</v>
      </c>
      <c r="D69" s="67"/>
      <c r="E69" s="67"/>
      <c r="F69" s="67"/>
      <c r="G69" s="67"/>
      <c r="H69" s="67"/>
      <c r="I69" s="67"/>
      <c r="J69" s="67"/>
      <c r="K69" s="67"/>
      <c r="L69" s="67"/>
      <c r="M69" s="58"/>
    </row>
    <row r="70" spans="2:13">
      <c r="B70" s="66"/>
      <c r="C70" s="68" t="s">
        <v>120</v>
      </c>
      <c r="D70" s="69">
        <v>-2</v>
      </c>
      <c r="E70" s="70"/>
      <c r="F70" s="70"/>
      <c r="G70" s="70"/>
      <c r="H70" s="70"/>
      <c r="I70" s="70"/>
      <c r="J70" s="70"/>
      <c r="K70" s="71"/>
      <c r="L70" s="67"/>
      <c r="M70" s="58"/>
    </row>
    <row r="71" spans="2:13">
      <c r="B71" s="66"/>
      <c r="C71" s="72" t="s">
        <v>121</v>
      </c>
      <c r="D71" s="73" t="s">
        <v>122</v>
      </c>
      <c r="E71" s="70"/>
      <c r="F71" s="70"/>
      <c r="G71" s="70"/>
      <c r="H71" s="70"/>
      <c r="I71" s="70"/>
      <c r="J71" s="70"/>
      <c r="K71" s="71"/>
      <c r="L71" s="67"/>
      <c r="M71" s="58"/>
    </row>
    <row r="72" spans="2:13">
      <c r="B72" s="66"/>
      <c r="C72" s="72" t="s">
        <v>123</v>
      </c>
      <c r="D72" s="73" t="s">
        <v>132</v>
      </c>
      <c r="E72" s="70"/>
      <c r="F72" s="70"/>
      <c r="G72" s="70"/>
      <c r="H72" s="70"/>
      <c r="I72" s="70"/>
      <c r="J72" s="70"/>
      <c r="K72" s="71"/>
      <c r="L72" s="67"/>
      <c r="M72" s="58"/>
    </row>
    <row r="73" spans="2:13">
      <c r="B73" s="66"/>
      <c r="C73" s="72" t="s">
        <v>125</v>
      </c>
      <c r="D73" s="73" t="s">
        <v>133</v>
      </c>
      <c r="E73" s="70"/>
      <c r="F73" s="70"/>
      <c r="G73" s="70"/>
      <c r="H73" s="70"/>
      <c r="I73" s="70"/>
      <c r="J73" s="70"/>
      <c r="K73" s="71"/>
      <c r="L73" s="67"/>
      <c r="M73" s="58"/>
    </row>
    <row r="74" spans="2:13">
      <c r="B74" s="66"/>
      <c r="C74" s="37"/>
      <c r="D74" s="67"/>
      <c r="E74" s="67"/>
      <c r="F74" s="67"/>
      <c r="G74" s="67"/>
      <c r="H74" s="67"/>
      <c r="I74" s="67"/>
      <c r="J74" s="67"/>
      <c r="K74" s="67"/>
      <c r="L74" s="67"/>
      <c r="M74" s="58"/>
    </row>
    <row r="75" spans="2:13">
      <c r="B75" s="66"/>
      <c r="C75" s="37"/>
      <c r="D75" s="67"/>
      <c r="E75" s="67"/>
      <c r="F75" s="67"/>
      <c r="G75" s="67"/>
      <c r="H75" s="67"/>
      <c r="I75" s="67"/>
      <c r="J75" s="67"/>
      <c r="K75" s="67"/>
      <c r="L75" s="67"/>
      <c r="M75" s="58"/>
    </row>
    <row r="76" spans="2:13">
      <c r="B76" s="53"/>
      <c r="C76" s="54" t="s">
        <v>91</v>
      </c>
      <c r="D76" s="55" t="s">
        <v>134</v>
      </c>
      <c r="E76" s="56"/>
      <c r="F76" s="57"/>
      <c r="G76" s="57"/>
      <c r="H76" s="57"/>
      <c r="I76" s="57"/>
      <c r="J76" s="57"/>
      <c r="K76" s="57"/>
      <c r="L76" s="57"/>
      <c r="M76" s="58"/>
    </row>
    <row r="77" spans="2:13" s="59" customFormat="1" ht="13.5">
      <c r="B77" s="50"/>
      <c r="C77" s="60" t="s">
        <v>93</v>
      </c>
      <c r="D77" s="51"/>
      <c r="E77" s="51"/>
      <c r="F77" s="51"/>
      <c r="G77" s="51"/>
      <c r="H77" s="51"/>
      <c r="I77" s="51"/>
      <c r="J77" s="51"/>
      <c r="K77" s="51"/>
      <c r="L77" s="51"/>
      <c r="M77" s="52"/>
    </row>
    <row r="78" spans="2:13" s="59" customFormat="1" ht="13.5">
      <c r="B78" s="50"/>
      <c r="C78" s="61"/>
      <c r="D78" s="62"/>
      <c r="E78" s="63" t="s">
        <v>94</v>
      </c>
      <c r="F78" s="63" t="s">
        <v>95</v>
      </c>
      <c r="G78" s="64"/>
      <c r="H78" s="51"/>
      <c r="I78" s="51"/>
      <c r="J78" s="51"/>
      <c r="K78" s="51"/>
      <c r="L78" s="51"/>
      <c r="M78" s="52"/>
    </row>
    <row r="79" spans="2:13" s="59" customFormat="1" ht="13.5">
      <c r="B79" s="50"/>
      <c r="C79" s="61"/>
      <c r="D79" s="62"/>
      <c r="E79" s="63" t="s">
        <v>96</v>
      </c>
      <c r="F79" s="63" t="s">
        <v>97</v>
      </c>
      <c r="G79" s="64"/>
      <c r="H79" s="51"/>
      <c r="I79" s="51"/>
      <c r="J79" s="51"/>
      <c r="K79" s="51"/>
      <c r="L79" s="51"/>
      <c r="M79" s="52"/>
    </row>
    <row r="80" spans="2:13" s="59" customFormat="1" ht="13.5">
      <c r="B80" s="50"/>
      <c r="C80" s="62" t="s">
        <v>98</v>
      </c>
      <c r="D80" s="62"/>
      <c r="E80" s="63" t="s">
        <v>99</v>
      </c>
      <c r="F80" s="63" t="s">
        <v>128</v>
      </c>
      <c r="G80" s="64"/>
      <c r="H80" s="51"/>
      <c r="I80" s="51"/>
      <c r="J80" s="51"/>
      <c r="K80" s="51"/>
      <c r="L80" s="51"/>
      <c r="M80" s="52"/>
    </row>
    <row r="81" spans="2:13" s="59" customFormat="1" ht="13.5">
      <c r="B81" s="50"/>
      <c r="C81" s="62" t="s">
        <v>101</v>
      </c>
      <c r="D81" s="62"/>
      <c r="E81" s="63" t="s">
        <v>102</v>
      </c>
      <c r="F81" s="63" t="s">
        <v>103</v>
      </c>
      <c r="G81" s="64"/>
      <c r="H81" s="51"/>
      <c r="I81" s="51"/>
      <c r="J81" s="51"/>
      <c r="K81" s="51"/>
      <c r="L81" s="51"/>
      <c r="M81" s="52"/>
    </row>
    <row r="82" spans="2:13" s="59" customFormat="1" ht="13.5">
      <c r="B82" s="50"/>
      <c r="C82" s="62" t="s">
        <v>104</v>
      </c>
      <c r="D82" s="62"/>
      <c r="E82" s="63" t="s">
        <v>102</v>
      </c>
      <c r="F82" s="63" t="s">
        <v>105</v>
      </c>
      <c r="G82" s="64"/>
      <c r="H82" s="51"/>
      <c r="I82" s="51"/>
      <c r="J82" s="51"/>
      <c r="K82" s="51"/>
      <c r="L82" s="51"/>
      <c r="M82" s="52"/>
    </row>
    <row r="83" spans="2:13" s="59" customFormat="1" ht="13.5">
      <c r="B83" s="50"/>
      <c r="C83" s="62" t="s">
        <v>106</v>
      </c>
      <c r="D83" s="62"/>
      <c r="E83" s="63" t="s">
        <v>102</v>
      </c>
      <c r="F83" s="65" t="s">
        <v>100</v>
      </c>
      <c r="G83" s="64"/>
      <c r="H83" s="51"/>
      <c r="I83" s="51"/>
      <c r="J83" s="51"/>
      <c r="K83" s="51"/>
      <c r="L83" s="51"/>
      <c r="M83" s="52"/>
    </row>
    <row r="84" spans="2:13" s="59" customFormat="1" ht="13.5">
      <c r="B84" s="50"/>
      <c r="C84" s="62" t="s">
        <v>3</v>
      </c>
      <c r="D84" s="62"/>
      <c r="E84" s="63" t="s">
        <v>102</v>
      </c>
      <c r="F84" s="63" t="s">
        <v>107</v>
      </c>
      <c r="G84" s="64"/>
      <c r="H84" s="51"/>
      <c r="I84" s="51"/>
      <c r="J84" s="51"/>
      <c r="K84" s="51"/>
      <c r="L84" s="51"/>
      <c r="M84" s="52"/>
    </row>
    <row r="85" spans="2:13" s="59" customFormat="1" ht="13.5">
      <c r="B85" s="50"/>
      <c r="C85" s="62" t="s">
        <v>108</v>
      </c>
      <c r="D85" s="62"/>
      <c r="E85" s="63" t="s">
        <v>102</v>
      </c>
      <c r="F85" s="63" t="s">
        <v>109</v>
      </c>
      <c r="G85" s="64"/>
      <c r="H85" s="51"/>
      <c r="I85" s="51"/>
      <c r="J85" s="51"/>
      <c r="K85" s="51"/>
      <c r="L85" s="51"/>
      <c r="M85" s="52"/>
    </row>
    <row r="86" spans="2:13" s="59" customFormat="1" ht="13.5">
      <c r="B86" s="50"/>
      <c r="C86" s="62" t="s">
        <v>110</v>
      </c>
      <c r="D86" s="62"/>
      <c r="E86" s="63" t="s">
        <v>102</v>
      </c>
      <c r="F86" s="63" t="s">
        <v>111</v>
      </c>
      <c r="G86" s="64"/>
      <c r="H86" s="51"/>
      <c r="I86" s="51"/>
      <c r="J86" s="51"/>
      <c r="K86" s="51"/>
      <c r="L86" s="51"/>
      <c r="M86" s="52"/>
    </row>
    <row r="87" spans="2:13" s="59" customFormat="1" ht="13.5">
      <c r="B87" s="50"/>
      <c r="C87" s="62" t="s">
        <v>112</v>
      </c>
      <c r="D87" s="62"/>
      <c r="E87" s="63" t="s">
        <v>102</v>
      </c>
      <c r="F87" s="63" t="s">
        <v>113</v>
      </c>
      <c r="G87" s="64"/>
      <c r="H87" s="51"/>
      <c r="I87" s="51"/>
      <c r="J87" s="51"/>
      <c r="K87" s="51"/>
      <c r="L87" s="51"/>
      <c r="M87" s="52"/>
    </row>
    <row r="88" spans="2:13" s="59" customFormat="1" ht="13.5">
      <c r="B88" s="50"/>
      <c r="C88" s="62" t="s">
        <v>114</v>
      </c>
      <c r="D88" s="62"/>
      <c r="E88" s="63" t="s">
        <v>102</v>
      </c>
      <c r="F88" s="63" t="s">
        <v>115</v>
      </c>
      <c r="G88" s="64"/>
      <c r="H88" s="51"/>
      <c r="I88" s="51"/>
      <c r="J88" s="51"/>
      <c r="K88" s="51"/>
      <c r="L88" s="51"/>
      <c r="M88" s="52"/>
    </row>
    <row r="89" spans="2:13" s="59" customFormat="1" ht="13.5">
      <c r="B89" s="50"/>
      <c r="C89" s="62" t="s">
        <v>116</v>
      </c>
      <c r="D89" s="62"/>
      <c r="E89" s="63" t="s">
        <v>102</v>
      </c>
      <c r="F89" s="63" t="s">
        <v>117</v>
      </c>
      <c r="G89" s="64"/>
      <c r="H89" s="51"/>
      <c r="I89" s="51"/>
      <c r="J89" s="51"/>
      <c r="K89" s="51"/>
      <c r="L89" s="51"/>
      <c r="M89" s="52"/>
    </row>
    <row r="90" spans="2:13" s="59" customFormat="1" ht="13.5">
      <c r="B90" s="50"/>
      <c r="C90" s="62"/>
      <c r="D90" s="62"/>
      <c r="E90" s="63" t="s">
        <v>118</v>
      </c>
      <c r="F90" s="63"/>
      <c r="G90" s="64"/>
      <c r="H90" s="51"/>
      <c r="I90" s="51"/>
      <c r="J90" s="51"/>
      <c r="K90" s="51"/>
      <c r="L90" s="51"/>
      <c r="M90" s="52"/>
    </row>
    <row r="91" spans="2:13" s="59" customFormat="1" ht="13.5">
      <c r="B91" s="50"/>
      <c r="C91" s="51"/>
      <c r="D91" s="51"/>
      <c r="E91" s="51"/>
      <c r="F91" s="51"/>
      <c r="G91" s="51"/>
      <c r="H91" s="51"/>
      <c r="I91" s="51"/>
      <c r="J91" s="51"/>
      <c r="K91" s="51"/>
      <c r="L91" s="51"/>
      <c r="M91" s="52"/>
    </row>
    <row r="92" spans="2:13">
      <c r="B92" s="66"/>
      <c r="C92" s="60" t="s">
        <v>119</v>
      </c>
      <c r="D92" s="67"/>
      <c r="E92" s="67"/>
      <c r="F92" s="67"/>
      <c r="G92" s="67"/>
      <c r="H92" s="67"/>
      <c r="I92" s="67"/>
      <c r="J92" s="67"/>
      <c r="K92" s="67"/>
      <c r="L92" s="67"/>
      <c r="M92" s="58"/>
    </row>
    <row r="93" spans="2:13">
      <c r="B93" s="66"/>
      <c r="C93" s="68" t="s">
        <v>120</v>
      </c>
      <c r="D93" s="69">
        <v>-2</v>
      </c>
      <c r="E93" s="70"/>
      <c r="F93" s="70"/>
      <c r="G93" s="70"/>
      <c r="H93" s="70"/>
      <c r="I93" s="70"/>
      <c r="J93" s="70"/>
      <c r="K93" s="71"/>
      <c r="L93" s="67"/>
      <c r="M93" s="58"/>
    </row>
    <row r="94" spans="2:13">
      <c r="B94" s="66"/>
      <c r="C94" s="72" t="s">
        <v>121</v>
      </c>
      <c r="D94" s="73" t="s">
        <v>122</v>
      </c>
      <c r="E94" s="70"/>
      <c r="F94" s="70"/>
      <c r="G94" s="70"/>
      <c r="H94" s="70"/>
      <c r="I94" s="70"/>
      <c r="J94" s="70"/>
      <c r="K94" s="71"/>
      <c r="L94" s="67"/>
      <c r="M94" s="58"/>
    </row>
    <row r="95" spans="2:13">
      <c r="B95" s="66"/>
      <c r="C95" s="72" t="s">
        <v>123</v>
      </c>
      <c r="D95" s="73" t="s">
        <v>135</v>
      </c>
      <c r="E95" s="70"/>
      <c r="F95" s="70"/>
      <c r="G95" s="70"/>
      <c r="H95" s="70"/>
      <c r="I95" s="70"/>
      <c r="J95" s="70"/>
      <c r="K95" s="71"/>
      <c r="L95" s="67"/>
      <c r="M95" s="58"/>
    </row>
    <row r="96" spans="2:13">
      <c r="B96" s="66"/>
      <c r="C96" s="72" t="s">
        <v>125</v>
      </c>
      <c r="D96" s="73" t="s">
        <v>136</v>
      </c>
      <c r="E96" s="70"/>
      <c r="F96" s="70"/>
      <c r="G96" s="70"/>
      <c r="H96" s="70"/>
      <c r="I96" s="70"/>
      <c r="J96" s="70"/>
      <c r="K96" s="71"/>
      <c r="L96" s="67"/>
      <c r="M96" s="58"/>
    </row>
    <row r="97" spans="2:13">
      <c r="B97" s="66"/>
      <c r="C97" s="37"/>
      <c r="D97" s="67"/>
      <c r="E97" s="67"/>
      <c r="F97" s="67"/>
      <c r="G97" s="67"/>
      <c r="H97" s="67"/>
      <c r="I97" s="67"/>
      <c r="J97" s="67"/>
      <c r="K97" s="67"/>
      <c r="L97" s="67"/>
      <c r="M97" s="58"/>
    </row>
    <row r="98" spans="2:13">
      <c r="B98" s="66"/>
      <c r="C98" s="37"/>
      <c r="D98" s="67"/>
      <c r="E98" s="67"/>
      <c r="F98" s="67"/>
      <c r="G98" s="67"/>
      <c r="H98" s="67"/>
      <c r="I98" s="67"/>
      <c r="J98" s="67"/>
      <c r="K98" s="67"/>
      <c r="L98" s="67"/>
      <c r="M98" s="58"/>
    </row>
    <row r="99" spans="2:13">
      <c r="B99" s="53"/>
      <c r="C99" s="54" t="s">
        <v>91</v>
      </c>
      <c r="D99" s="55" t="s">
        <v>137</v>
      </c>
      <c r="E99" s="56"/>
      <c r="F99" s="57"/>
      <c r="G99" s="57"/>
      <c r="H99" s="57"/>
      <c r="I99" s="76" t="s">
        <v>138</v>
      </c>
      <c r="J99" s="57"/>
      <c r="K99" s="57"/>
      <c r="L99" s="57"/>
      <c r="M99" s="58"/>
    </row>
    <row r="100" spans="2:13" s="59" customFormat="1" ht="13.5">
      <c r="B100" s="50"/>
      <c r="C100" s="60" t="s">
        <v>93</v>
      </c>
      <c r="D100" s="51"/>
      <c r="E100" s="51"/>
      <c r="F100" s="51"/>
      <c r="G100" s="51"/>
      <c r="H100" s="51"/>
      <c r="I100" s="51"/>
      <c r="J100" s="51"/>
      <c r="K100" s="51"/>
      <c r="L100" s="51"/>
      <c r="M100" s="52"/>
    </row>
    <row r="101" spans="2:13" s="59" customFormat="1" ht="13.5">
      <c r="B101" s="50"/>
      <c r="C101" s="61"/>
      <c r="D101" s="62"/>
      <c r="E101" s="63" t="s">
        <v>94</v>
      </c>
      <c r="F101" s="63" t="s">
        <v>95</v>
      </c>
      <c r="G101" s="64"/>
      <c r="H101" s="51"/>
      <c r="I101" s="51"/>
      <c r="J101" s="51"/>
      <c r="K101" s="51"/>
      <c r="L101" s="51"/>
      <c r="M101" s="52"/>
    </row>
    <row r="102" spans="2:13" s="59" customFormat="1" ht="13.5">
      <c r="B102" s="50"/>
      <c r="C102" s="61"/>
      <c r="D102" s="62"/>
      <c r="E102" s="63" t="s">
        <v>96</v>
      </c>
      <c r="F102" s="63" t="s">
        <v>97</v>
      </c>
      <c r="G102" s="64"/>
      <c r="H102" s="51"/>
      <c r="I102" s="51"/>
      <c r="J102" s="51"/>
      <c r="K102" s="51"/>
      <c r="L102" s="51"/>
      <c r="M102" s="52"/>
    </row>
    <row r="103" spans="2:13" s="59" customFormat="1" ht="13.5">
      <c r="B103" s="50"/>
      <c r="C103" s="62" t="s">
        <v>98</v>
      </c>
      <c r="D103" s="62"/>
      <c r="E103" s="63" t="s">
        <v>99</v>
      </c>
      <c r="F103" s="63" t="s">
        <v>128</v>
      </c>
      <c r="G103" s="64"/>
      <c r="H103" s="51"/>
      <c r="I103" s="51"/>
      <c r="J103" s="51"/>
      <c r="K103" s="51"/>
      <c r="L103" s="51"/>
      <c r="M103" s="52"/>
    </row>
    <row r="104" spans="2:13" s="59" customFormat="1" ht="13.5">
      <c r="B104" s="50"/>
      <c r="C104" s="62" t="s">
        <v>101</v>
      </c>
      <c r="D104" s="62"/>
      <c r="E104" s="63" t="s">
        <v>102</v>
      </c>
      <c r="F104" s="63" t="s">
        <v>103</v>
      </c>
      <c r="G104" s="64"/>
      <c r="H104" s="51"/>
      <c r="I104" s="51"/>
      <c r="J104" s="51"/>
      <c r="K104" s="51"/>
      <c r="L104" s="51"/>
      <c r="M104" s="52"/>
    </row>
    <row r="105" spans="2:13" s="59" customFormat="1" ht="13.5">
      <c r="B105" s="50"/>
      <c r="C105" s="62" t="s">
        <v>104</v>
      </c>
      <c r="D105" s="62"/>
      <c r="E105" s="63" t="s">
        <v>102</v>
      </c>
      <c r="F105" s="63" t="s">
        <v>105</v>
      </c>
      <c r="G105" s="64"/>
      <c r="H105" s="51"/>
      <c r="I105" s="51"/>
      <c r="J105" s="51"/>
      <c r="K105" s="51"/>
      <c r="L105" s="51"/>
      <c r="M105" s="52"/>
    </row>
    <row r="106" spans="2:13" s="59" customFormat="1" ht="13.5">
      <c r="B106" s="50"/>
      <c r="C106" s="62" t="s">
        <v>106</v>
      </c>
      <c r="D106" s="62"/>
      <c r="E106" s="63" t="s">
        <v>102</v>
      </c>
      <c r="F106" s="63" t="s">
        <v>139</v>
      </c>
      <c r="G106" s="64"/>
      <c r="H106" s="51"/>
      <c r="I106" s="51"/>
      <c r="J106" s="51"/>
      <c r="K106" s="51"/>
      <c r="L106" s="51"/>
      <c r="M106" s="52"/>
    </row>
    <row r="107" spans="2:13" s="59" customFormat="1" ht="13.5">
      <c r="B107" s="50"/>
      <c r="C107" s="62" t="s">
        <v>3</v>
      </c>
      <c r="D107" s="62"/>
      <c r="E107" s="63" t="s">
        <v>102</v>
      </c>
      <c r="F107" s="65" t="s">
        <v>100</v>
      </c>
      <c r="G107" s="64"/>
      <c r="H107" s="51"/>
      <c r="I107" s="51"/>
      <c r="J107" s="51"/>
      <c r="K107" s="51"/>
      <c r="L107" s="51"/>
      <c r="M107" s="52"/>
    </row>
    <row r="108" spans="2:13" s="59" customFormat="1" ht="13.5">
      <c r="B108" s="50"/>
      <c r="C108" s="62" t="s">
        <v>108</v>
      </c>
      <c r="D108" s="62"/>
      <c r="E108" s="63" t="s">
        <v>102</v>
      </c>
      <c r="F108" s="63" t="s">
        <v>109</v>
      </c>
      <c r="G108" s="64"/>
      <c r="H108" s="51"/>
      <c r="I108" s="51"/>
      <c r="J108" s="51"/>
      <c r="K108" s="51"/>
      <c r="L108" s="51"/>
      <c r="M108" s="52"/>
    </row>
    <row r="109" spans="2:13" s="59" customFormat="1" ht="13.5">
      <c r="B109" s="50"/>
      <c r="C109" s="62" t="s">
        <v>110</v>
      </c>
      <c r="D109" s="62"/>
      <c r="E109" s="63" t="s">
        <v>102</v>
      </c>
      <c r="F109" s="63" t="s">
        <v>111</v>
      </c>
      <c r="G109" s="64"/>
      <c r="H109" s="51"/>
      <c r="I109" s="51"/>
      <c r="J109" s="51"/>
      <c r="K109" s="51"/>
      <c r="L109" s="51"/>
      <c r="M109" s="52"/>
    </row>
    <row r="110" spans="2:13" s="59" customFormat="1" ht="13.5">
      <c r="B110" s="50"/>
      <c r="C110" s="62" t="s">
        <v>112</v>
      </c>
      <c r="D110" s="62"/>
      <c r="E110" s="63" t="s">
        <v>102</v>
      </c>
      <c r="F110" s="63" t="s">
        <v>113</v>
      </c>
      <c r="G110" s="64"/>
      <c r="H110" s="51"/>
      <c r="I110" s="51"/>
      <c r="J110" s="51"/>
      <c r="K110" s="51"/>
      <c r="L110" s="51"/>
      <c r="M110" s="52"/>
    </row>
    <row r="111" spans="2:13" s="59" customFormat="1" ht="13.5">
      <c r="B111" s="50"/>
      <c r="C111" s="62" t="s">
        <v>114</v>
      </c>
      <c r="D111" s="62"/>
      <c r="E111" s="63" t="s">
        <v>102</v>
      </c>
      <c r="F111" s="63" t="s">
        <v>115</v>
      </c>
      <c r="G111" s="64"/>
      <c r="H111" s="51"/>
      <c r="I111" s="51"/>
      <c r="J111" s="51"/>
      <c r="K111" s="51"/>
      <c r="L111" s="51"/>
      <c r="M111" s="52"/>
    </row>
    <row r="112" spans="2:13" s="59" customFormat="1" ht="13.5">
      <c r="B112" s="50"/>
      <c r="C112" s="62" t="s">
        <v>116</v>
      </c>
      <c r="D112" s="62"/>
      <c r="E112" s="63" t="s">
        <v>102</v>
      </c>
      <c r="F112" s="63" t="s">
        <v>117</v>
      </c>
      <c r="G112" s="64"/>
      <c r="H112" s="51"/>
      <c r="I112" s="51"/>
      <c r="J112" s="51"/>
      <c r="K112" s="51"/>
      <c r="L112" s="51"/>
      <c r="M112" s="52"/>
    </row>
    <row r="113" spans="2:13" s="59" customFormat="1" ht="13.5">
      <c r="B113" s="50"/>
      <c r="C113" s="62"/>
      <c r="D113" s="62"/>
      <c r="E113" s="63" t="s">
        <v>118</v>
      </c>
      <c r="F113" s="63"/>
      <c r="G113" s="64"/>
      <c r="H113" s="51"/>
      <c r="I113" s="51"/>
      <c r="J113" s="51"/>
      <c r="K113" s="51"/>
      <c r="L113" s="51"/>
      <c r="M113" s="52"/>
    </row>
    <row r="114" spans="2:13" s="59" customFormat="1" ht="13.5">
      <c r="B114" s="50"/>
      <c r="C114" s="51"/>
      <c r="D114" s="51"/>
      <c r="E114" s="51"/>
      <c r="F114" s="51"/>
      <c r="G114" s="51"/>
      <c r="H114" s="51"/>
      <c r="I114" s="51"/>
      <c r="J114" s="51"/>
      <c r="K114" s="51"/>
      <c r="L114" s="51"/>
      <c r="M114" s="52"/>
    </row>
    <row r="115" spans="2:13">
      <c r="B115" s="66"/>
      <c r="C115" s="60" t="s">
        <v>119</v>
      </c>
      <c r="D115" s="67"/>
      <c r="E115" s="67"/>
      <c r="F115" s="67"/>
      <c r="G115" s="67"/>
      <c r="H115" s="67"/>
      <c r="I115" s="67"/>
      <c r="J115" s="67"/>
      <c r="K115" s="67"/>
      <c r="L115" s="67"/>
      <c r="M115" s="58"/>
    </row>
    <row r="116" spans="2:13">
      <c r="B116" s="66"/>
      <c r="C116" s="68" t="s">
        <v>120</v>
      </c>
      <c r="D116" s="69">
        <v>-2</v>
      </c>
      <c r="E116" s="70"/>
      <c r="F116" s="70"/>
      <c r="G116" s="70"/>
      <c r="H116" s="70"/>
      <c r="I116" s="70"/>
      <c r="J116" s="70"/>
      <c r="K116" s="71"/>
      <c r="L116" s="67"/>
      <c r="M116" s="58"/>
    </row>
    <row r="117" spans="2:13">
      <c r="B117" s="66"/>
      <c r="C117" s="72" t="s">
        <v>121</v>
      </c>
      <c r="D117" s="73" t="s">
        <v>122</v>
      </c>
      <c r="E117" s="70"/>
      <c r="F117" s="70"/>
      <c r="G117" s="70"/>
      <c r="H117" s="70"/>
      <c r="I117" s="70"/>
      <c r="J117" s="70"/>
      <c r="K117" s="71"/>
      <c r="L117" s="67"/>
      <c r="M117" s="58"/>
    </row>
    <row r="118" spans="2:13">
      <c r="B118" s="66"/>
      <c r="C118" s="72" t="s">
        <v>123</v>
      </c>
      <c r="D118" s="73" t="s">
        <v>140</v>
      </c>
      <c r="E118" s="70"/>
      <c r="F118" s="70"/>
      <c r="G118" s="70"/>
      <c r="H118" s="70"/>
      <c r="I118" s="70"/>
      <c r="J118" s="70"/>
      <c r="K118" s="71"/>
      <c r="L118" s="67"/>
      <c r="M118" s="58"/>
    </row>
    <row r="119" spans="2:13">
      <c r="B119" s="66"/>
      <c r="C119" s="72" t="s">
        <v>125</v>
      </c>
      <c r="D119" s="73" t="s">
        <v>141</v>
      </c>
      <c r="E119" s="70"/>
      <c r="F119" s="70"/>
      <c r="G119" s="70"/>
      <c r="H119" s="70"/>
      <c r="I119" s="70"/>
      <c r="J119" s="70"/>
      <c r="K119" s="71"/>
      <c r="L119" s="67"/>
      <c r="M119" s="58"/>
    </row>
    <row r="120" spans="2:13">
      <c r="B120" s="66"/>
      <c r="C120" s="37"/>
      <c r="D120" s="67"/>
      <c r="E120" s="67"/>
      <c r="F120" s="67"/>
      <c r="G120" s="67"/>
      <c r="H120" s="67"/>
      <c r="I120" s="67"/>
      <c r="J120" s="67"/>
      <c r="K120" s="67"/>
      <c r="L120" s="67"/>
      <c r="M120" s="58"/>
    </row>
    <row r="121" spans="2:13">
      <c r="B121" s="66"/>
      <c r="C121" s="37"/>
      <c r="D121" s="67"/>
      <c r="E121" s="67"/>
      <c r="F121" s="67"/>
      <c r="G121" s="67"/>
      <c r="H121" s="67"/>
      <c r="I121" s="67"/>
      <c r="J121" s="67"/>
      <c r="K121" s="67"/>
      <c r="L121" s="67"/>
      <c r="M121" s="58"/>
    </row>
    <row r="122" spans="2:13">
      <c r="B122" s="53"/>
      <c r="C122" s="54" t="s">
        <v>91</v>
      </c>
      <c r="D122" s="55" t="s">
        <v>142</v>
      </c>
      <c r="E122" s="56"/>
      <c r="F122" s="57"/>
      <c r="G122" s="57"/>
      <c r="H122" s="57"/>
      <c r="I122" s="76" t="s">
        <v>138</v>
      </c>
      <c r="J122" s="57"/>
      <c r="K122" s="57"/>
      <c r="L122" s="57"/>
      <c r="M122" s="58"/>
    </row>
    <row r="123" spans="2:13" s="59" customFormat="1" ht="13.5">
      <c r="B123" s="50"/>
      <c r="C123" s="60" t="s">
        <v>93</v>
      </c>
      <c r="D123" s="51"/>
      <c r="E123" s="51"/>
      <c r="F123" s="51"/>
      <c r="G123" s="51"/>
      <c r="H123" s="51"/>
      <c r="I123" s="51"/>
      <c r="J123" s="51"/>
      <c r="K123" s="51"/>
      <c r="L123" s="51"/>
      <c r="M123" s="52"/>
    </row>
    <row r="124" spans="2:13" s="59" customFormat="1" ht="13.5">
      <c r="B124" s="50"/>
      <c r="C124" s="61"/>
      <c r="D124" s="62"/>
      <c r="E124" s="63" t="s">
        <v>94</v>
      </c>
      <c r="F124" s="63" t="s">
        <v>95</v>
      </c>
      <c r="G124" s="64"/>
      <c r="H124" s="51"/>
      <c r="I124" s="51"/>
      <c r="J124" s="51"/>
      <c r="K124" s="51"/>
      <c r="L124" s="51"/>
      <c r="M124" s="52"/>
    </row>
    <row r="125" spans="2:13" s="59" customFormat="1" ht="13.5">
      <c r="B125" s="50"/>
      <c r="C125" s="61"/>
      <c r="D125" s="62"/>
      <c r="E125" s="63" t="s">
        <v>96</v>
      </c>
      <c r="F125" s="63" t="s">
        <v>97</v>
      </c>
      <c r="G125" s="64"/>
      <c r="H125" s="51"/>
      <c r="I125" s="51"/>
      <c r="J125" s="51"/>
      <c r="K125" s="51"/>
      <c r="L125" s="51"/>
      <c r="M125" s="52"/>
    </row>
    <row r="126" spans="2:13" s="59" customFormat="1" ht="13.5">
      <c r="B126" s="50"/>
      <c r="C126" s="62" t="s">
        <v>98</v>
      </c>
      <c r="D126" s="62"/>
      <c r="E126" s="63" t="s">
        <v>99</v>
      </c>
      <c r="F126" s="63" t="s">
        <v>128</v>
      </c>
      <c r="G126" s="64"/>
      <c r="H126" s="51"/>
      <c r="I126" s="51"/>
      <c r="J126" s="51"/>
      <c r="K126" s="51"/>
      <c r="L126" s="51"/>
      <c r="M126" s="52"/>
    </row>
    <row r="127" spans="2:13" s="59" customFormat="1" ht="13.5">
      <c r="B127" s="50"/>
      <c r="C127" s="62" t="s">
        <v>101</v>
      </c>
      <c r="D127" s="62"/>
      <c r="E127" s="63" t="s">
        <v>102</v>
      </c>
      <c r="F127" s="63" t="s">
        <v>103</v>
      </c>
      <c r="G127" s="64"/>
      <c r="H127" s="51"/>
      <c r="I127" s="51"/>
      <c r="J127" s="51"/>
      <c r="K127" s="51"/>
      <c r="L127" s="51"/>
      <c r="M127" s="52"/>
    </row>
    <row r="128" spans="2:13" s="59" customFormat="1" ht="13.5">
      <c r="B128" s="50"/>
      <c r="C128" s="62" t="s">
        <v>104</v>
      </c>
      <c r="D128" s="62"/>
      <c r="E128" s="63" t="s">
        <v>102</v>
      </c>
      <c r="F128" s="63" t="s">
        <v>105</v>
      </c>
      <c r="G128" s="64"/>
      <c r="H128" s="51"/>
      <c r="I128" s="51"/>
      <c r="J128" s="51"/>
      <c r="K128" s="51"/>
      <c r="L128" s="51"/>
      <c r="M128" s="52"/>
    </row>
    <row r="129" spans="2:13" s="59" customFormat="1" ht="13.5">
      <c r="B129" s="50"/>
      <c r="C129" s="62" t="s">
        <v>106</v>
      </c>
      <c r="D129" s="62"/>
      <c r="E129" s="63" t="s">
        <v>102</v>
      </c>
      <c r="F129" s="63" t="s">
        <v>139</v>
      </c>
      <c r="G129" s="64"/>
      <c r="H129" s="51"/>
      <c r="I129" s="51"/>
      <c r="J129" s="51"/>
      <c r="K129" s="51"/>
      <c r="L129" s="51"/>
      <c r="M129" s="52"/>
    </row>
    <row r="130" spans="2:13" s="59" customFormat="1" ht="13.5">
      <c r="B130" s="50"/>
      <c r="C130" s="62" t="s">
        <v>3</v>
      </c>
      <c r="D130" s="62"/>
      <c r="E130" s="63" t="s">
        <v>102</v>
      </c>
      <c r="F130" s="63" t="s">
        <v>107</v>
      </c>
      <c r="G130" s="64"/>
      <c r="H130" s="51"/>
      <c r="I130" s="51"/>
      <c r="J130" s="51"/>
      <c r="K130" s="51"/>
      <c r="L130" s="51"/>
      <c r="M130" s="52"/>
    </row>
    <row r="131" spans="2:13" s="59" customFormat="1" ht="13.5">
      <c r="B131" s="50"/>
      <c r="C131" s="62" t="s">
        <v>108</v>
      </c>
      <c r="D131" s="62"/>
      <c r="E131" s="63" t="s">
        <v>102</v>
      </c>
      <c r="F131" s="65" t="s">
        <v>100</v>
      </c>
      <c r="G131" s="64"/>
      <c r="H131" s="51"/>
      <c r="I131" s="51"/>
      <c r="J131" s="51"/>
      <c r="K131" s="51"/>
      <c r="L131" s="51"/>
      <c r="M131" s="52"/>
    </row>
    <row r="132" spans="2:13" s="59" customFormat="1" ht="13.5">
      <c r="B132" s="50"/>
      <c r="C132" s="62" t="s">
        <v>110</v>
      </c>
      <c r="D132" s="62"/>
      <c r="E132" s="63" t="s">
        <v>102</v>
      </c>
      <c r="F132" s="63" t="s">
        <v>111</v>
      </c>
      <c r="G132" s="64"/>
      <c r="H132" s="51"/>
      <c r="I132" s="51"/>
      <c r="J132" s="51"/>
      <c r="K132" s="51"/>
      <c r="L132" s="51"/>
      <c r="M132" s="52"/>
    </row>
    <row r="133" spans="2:13" s="59" customFormat="1" ht="13.5">
      <c r="B133" s="50"/>
      <c r="C133" s="62" t="s">
        <v>112</v>
      </c>
      <c r="D133" s="62"/>
      <c r="E133" s="63" t="s">
        <v>102</v>
      </c>
      <c r="F133" s="63" t="s">
        <v>113</v>
      </c>
      <c r="G133" s="64"/>
      <c r="H133" s="51"/>
      <c r="I133" s="51"/>
      <c r="J133" s="51"/>
      <c r="K133" s="51"/>
      <c r="L133" s="51"/>
      <c r="M133" s="52"/>
    </row>
    <row r="134" spans="2:13" s="59" customFormat="1" ht="13.5">
      <c r="B134" s="50"/>
      <c r="C134" s="62" t="s">
        <v>114</v>
      </c>
      <c r="D134" s="62"/>
      <c r="E134" s="63" t="s">
        <v>102</v>
      </c>
      <c r="F134" s="63" t="s">
        <v>115</v>
      </c>
      <c r="G134" s="64"/>
      <c r="H134" s="51"/>
      <c r="I134" s="51"/>
      <c r="J134" s="51"/>
      <c r="K134" s="51"/>
      <c r="L134" s="51"/>
      <c r="M134" s="52"/>
    </row>
    <row r="135" spans="2:13" s="59" customFormat="1" ht="13.5">
      <c r="B135" s="50"/>
      <c r="C135" s="62" t="s">
        <v>116</v>
      </c>
      <c r="D135" s="62"/>
      <c r="E135" s="63" t="s">
        <v>102</v>
      </c>
      <c r="F135" s="63" t="s">
        <v>117</v>
      </c>
      <c r="G135" s="64"/>
      <c r="H135" s="51"/>
      <c r="I135" s="51"/>
      <c r="J135" s="51"/>
      <c r="K135" s="51"/>
      <c r="L135" s="51"/>
      <c r="M135" s="52"/>
    </row>
    <row r="136" spans="2:13" s="59" customFormat="1" ht="13.5">
      <c r="B136" s="50"/>
      <c r="C136" s="62"/>
      <c r="D136" s="62"/>
      <c r="E136" s="63" t="s">
        <v>118</v>
      </c>
      <c r="F136" s="63"/>
      <c r="G136" s="64"/>
      <c r="H136" s="51"/>
      <c r="I136" s="51"/>
      <c r="J136" s="51"/>
      <c r="K136" s="51"/>
      <c r="L136" s="51"/>
      <c r="M136" s="52"/>
    </row>
    <row r="137" spans="2:13" s="59" customFormat="1" ht="13.5">
      <c r="B137" s="50"/>
      <c r="C137" s="51"/>
      <c r="D137" s="51"/>
      <c r="E137" s="51"/>
      <c r="F137" s="51"/>
      <c r="G137" s="51"/>
      <c r="H137" s="51"/>
      <c r="I137" s="51"/>
      <c r="J137" s="51"/>
      <c r="K137" s="51"/>
      <c r="L137" s="51"/>
      <c r="M137" s="52"/>
    </row>
    <row r="138" spans="2:13">
      <c r="B138" s="66"/>
      <c r="C138" s="60" t="s">
        <v>119</v>
      </c>
      <c r="D138" s="67"/>
      <c r="E138" s="67"/>
      <c r="F138" s="67"/>
      <c r="G138" s="67"/>
      <c r="H138" s="67"/>
      <c r="I138" s="67"/>
      <c r="J138" s="67"/>
      <c r="K138" s="67"/>
      <c r="L138" s="67"/>
      <c r="M138" s="58"/>
    </row>
    <row r="139" spans="2:13">
      <c r="B139" s="66"/>
      <c r="C139" s="68" t="s">
        <v>120</v>
      </c>
      <c r="D139" s="69">
        <v>-2</v>
      </c>
      <c r="E139" s="70"/>
      <c r="F139" s="70"/>
      <c r="G139" s="70"/>
      <c r="H139" s="70"/>
      <c r="I139" s="70"/>
      <c r="J139" s="70"/>
      <c r="K139" s="71"/>
      <c r="L139" s="67"/>
      <c r="M139" s="58"/>
    </row>
    <row r="140" spans="2:13">
      <c r="B140" s="66"/>
      <c r="C140" s="72" t="s">
        <v>121</v>
      </c>
      <c r="D140" s="73" t="s">
        <v>122</v>
      </c>
      <c r="E140" s="70"/>
      <c r="F140" s="70"/>
      <c r="G140" s="70"/>
      <c r="H140" s="70"/>
      <c r="I140" s="70"/>
      <c r="J140" s="70"/>
      <c r="K140" s="71"/>
      <c r="L140" s="67"/>
      <c r="M140" s="58"/>
    </row>
    <row r="141" spans="2:13">
      <c r="B141" s="66"/>
      <c r="C141" s="72" t="s">
        <v>123</v>
      </c>
      <c r="D141" s="73" t="s">
        <v>143</v>
      </c>
      <c r="E141" s="70"/>
      <c r="F141" s="70"/>
      <c r="G141" s="70"/>
      <c r="H141" s="70"/>
      <c r="I141" s="70"/>
      <c r="J141" s="70"/>
      <c r="K141" s="71"/>
      <c r="L141" s="67"/>
      <c r="M141" s="58"/>
    </row>
    <row r="142" spans="2:13">
      <c r="B142" s="66"/>
      <c r="C142" s="72" t="s">
        <v>125</v>
      </c>
      <c r="D142" s="73" t="s">
        <v>144</v>
      </c>
      <c r="E142" s="70"/>
      <c r="F142" s="70"/>
      <c r="G142" s="70"/>
      <c r="H142" s="70"/>
      <c r="I142" s="70"/>
      <c r="J142" s="70"/>
      <c r="K142" s="71"/>
      <c r="L142" s="67"/>
      <c r="M142" s="58"/>
    </row>
    <row r="143" spans="2:13">
      <c r="B143" s="66"/>
      <c r="C143" s="37"/>
      <c r="D143" s="67"/>
      <c r="E143" s="67"/>
      <c r="F143" s="67"/>
      <c r="G143" s="67"/>
      <c r="H143" s="67"/>
      <c r="I143" s="67"/>
      <c r="J143" s="67"/>
      <c r="K143" s="67"/>
      <c r="L143" s="67"/>
      <c r="M143" s="58"/>
    </row>
    <row r="144" spans="2:13">
      <c r="B144" s="66"/>
      <c r="C144" s="37"/>
      <c r="D144" s="67"/>
      <c r="E144" s="67"/>
      <c r="F144" s="67"/>
      <c r="G144" s="67"/>
      <c r="H144" s="67"/>
      <c r="I144" s="67"/>
      <c r="J144" s="67"/>
      <c r="K144" s="67"/>
      <c r="L144" s="67"/>
      <c r="M144" s="58"/>
    </row>
    <row r="145" spans="2:13">
      <c r="B145" s="53"/>
      <c r="C145" s="54" t="s">
        <v>91</v>
      </c>
      <c r="D145" s="55" t="s">
        <v>145</v>
      </c>
      <c r="E145" s="56"/>
      <c r="F145" s="57"/>
      <c r="G145" s="57"/>
      <c r="H145" s="57"/>
      <c r="I145" s="76"/>
      <c r="J145" s="57"/>
      <c r="K145" s="57"/>
      <c r="L145" s="57"/>
      <c r="M145" s="58"/>
    </row>
    <row r="146" spans="2:13" s="59" customFormat="1" ht="13.5">
      <c r="B146" s="50"/>
      <c r="C146" s="60" t="s">
        <v>93</v>
      </c>
      <c r="D146" s="51"/>
      <c r="E146" s="51"/>
      <c r="F146" s="51"/>
      <c r="G146" s="51"/>
      <c r="H146" s="51"/>
      <c r="I146" s="51"/>
      <c r="J146" s="51"/>
      <c r="K146" s="51"/>
      <c r="L146" s="51"/>
      <c r="M146" s="52"/>
    </row>
    <row r="147" spans="2:13" s="59" customFormat="1" ht="13.5">
      <c r="B147" s="50"/>
      <c r="C147" s="61"/>
      <c r="D147" s="62"/>
      <c r="E147" s="63" t="s">
        <v>94</v>
      </c>
      <c r="F147" s="63" t="s">
        <v>95</v>
      </c>
      <c r="G147" s="64"/>
      <c r="H147" s="51"/>
      <c r="I147" s="51"/>
      <c r="J147" s="51"/>
      <c r="K147" s="51"/>
      <c r="L147" s="51"/>
      <c r="M147" s="52"/>
    </row>
    <row r="148" spans="2:13" s="59" customFormat="1" ht="13.5">
      <c r="B148" s="50"/>
      <c r="C148" s="61"/>
      <c r="D148" s="62"/>
      <c r="E148" s="63" t="s">
        <v>96</v>
      </c>
      <c r="F148" s="63" t="s">
        <v>97</v>
      </c>
      <c r="G148" s="64"/>
      <c r="H148" s="51"/>
      <c r="I148" s="51"/>
      <c r="J148" s="51"/>
      <c r="K148" s="51"/>
      <c r="L148" s="51"/>
      <c r="M148" s="52"/>
    </row>
    <row r="149" spans="2:13" s="59" customFormat="1" ht="13.5">
      <c r="B149" s="50"/>
      <c r="C149" s="62" t="s">
        <v>98</v>
      </c>
      <c r="D149" s="62"/>
      <c r="E149" s="63" t="s">
        <v>99</v>
      </c>
      <c r="F149" s="63" t="s">
        <v>128</v>
      </c>
      <c r="G149" s="64"/>
      <c r="H149" s="51"/>
      <c r="I149" s="51"/>
      <c r="J149" s="51"/>
      <c r="K149" s="51"/>
      <c r="L149" s="51"/>
      <c r="M149" s="52"/>
    </row>
    <row r="150" spans="2:13" s="59" customFormat="1" ht="13.5">
      <c r="B150" s="50"/>
      <c r="C150" s="62" t="s">
        <v>101</v>
      </c>
      <c r="D150" s="62"/>
      <c r="E150" s="63" t="s">
        <v>102</v>
      </c>
      <c r="F150" s="63" t="s">
        <v>103</v>
      </c>
      <c r="G150" s="64"/>
      <c r="H150" s="51"/>
      <c r="I150" s="51"/>
      <c r="J150" s="51"/>
      <c r="K150" s="51"/>
      <c r="L150" s="51"/>
      <c r="M150" s="52"/>
    </row>
    <row r="151" spans="2:13" s="59" customFormat="1" ht="13.5">
      <c r="B151" s="50"/>
      <c r="C151" s="62" t="s">
        <v>104</v>
      </c>
      <c r="D151" s="62"/>
      <c r="E151" s="63" t="s">
        <v>102</v>
      </c>
      <c r="F151" s="63" t="s">
        <v>105</v>
      </c>
      <c r="G151" s="64"/>
      <c r="H151" s="51"/>
      <c r="I151" s="51"/>
      <c r="J151" s="51"/>
      <c r="K151" s="51"/>
      <c r="L151" s="51"/>
      <c r="M151" s="52"/>
    </row>
    <row r="152" spans="2:13" s="59" customFormat="1" ht="13.5">
      <c r="B152" s="50"/>
      <c r="C152" s="62" t="s">
        <v>106</v>
      </c>
      <c r="D152" s="62"/>
      <c r="E152" s="63" t="s">
        <v>102</v>
      </c>
      <c r="F152" s="63" t="s">
        <v>139</v>
      </c>
      <c r="G152" s="64"/>
      <c r="H152" s="51"/>
      <c r="I152" s="51"/>
      <c r="J152" s="51"/>
      <c r="K152" s="51"/>
      <c r="L152" s="51"/>
      <c r="M152" s="52"/>
    </row>
    <row r="153" spans="2:13" s="59" customFormat="1" ht="13.5">
      <c r="B153" s="50"/>
      <c r="C153" s="62" t="s">
        <v>3</v>
      </c>
      <c r="D153" s="62"/>
      <c r="E153" s="63" t="s">
        <v>102</v>
      </c>
      <c r="F153" s="63" t="s">
        <v>107</v>
      </c>
      <c r="G153" s="64"/>
      <c r="H153" s="51"/>
      <c r="I153" s="51"/>
      <c r="J153" s="51"/>
      <c r="K153" s="51"/>
      <c r="L153" s="51"/>
      <c r="M153" s="52"/>
    </row>
    <row r="154" spans="2:13" s="59" customFormat="1" ht="13.5">
      <c r="B154" s="50"/>
      <c r="C154" s="62" t="s">
        <v>108</v>
      </c>
      <c r="D154" s="62"/>
      <c r="E154" s="63" t="s">
        <v>102</v>
      </c>
      <c r="F154" s="63" t="s">
        <v>107</v>
      </c>
      <c r="G154" s="64"/>
      <c r="H154" s="51"/>
      <c r="I154" s="51"/>
      <c r="J154" s="51"/>
      <c r="K154" s="51"/>
      <c r="L154" s="51"/>
      <c r="M154" s="52"/>
    </row>
    <row r="155" spans="2:13" s="59" customFormat="1" ht="13.5">
      <c r="B155" s="50"/>
      <c r="C155" s="62" t="s">
        <v>110</v>
      </c>
      <c r="D155" s="62"/>
      <c r="E155" s="63" t="s">
        <v>102</v>
      </c>
      <c r="F155" s="65" t="s">
        <v>100</v>
      </c>
      <c r="G155" s="64"/>
      <c r="H155" s="51"/>
      <c r="I155" s="51"/>
      <c r="J155" s="51"/>
      <c r="K155" s="51"/>
      <c r="L155" s="51"/>
      <c r="M155" s="52"/>
    </row>
    <row r="156" spans="2:13" s="59" customFormat="1" ht="13.5">
      <c r="B156" s="50"/>
      <c r="C156" s="62" t="s">
        <v>112</v>
      </c>
      <c r="D156" s="62"/>
      <c r="E156" s="63" t="s">
        <v>102</v>
      </c>
      <c r="F156" s="63" t="s">
        <v>113</v>
      </c>
      <c r="G156" s="64"/>
      <c r="H156" s="51"/>
      <c r="I156" s="51"/>
      <c r="J156" s="51"/>
      <c r="K156" s="51"/>
      <c r="L156" s="51"/>
      <c r="M156" s="52"/>
    </row>
    <row r="157" spans="2:13" s="59" customFormat="1" ht="13.5">
      <c r="B157" s="50"/>
      <c r="C157" s="62" t="s">
        <v>114</v>
      </c>
      <c r="D157" s="62"/>
      <c r="E157" s="63" t="s">
        <v>102</v>
      </c>
      <c r="F157" s="63" t="s">
        <v>115</v>
      </c>
      <c r="G157" s="64"/>
      <c r="H157" s="51"/>
      <c r="I157" s="51"/>
      <c r="J157" s="51"/>
      <c r="K157" s="51"/>
      <c r="L157" s="51"/>
      <c r="M157" s="52"/>
    </row>
    <row r="158" spans="2:13" s="59" customFormat="1" ht="13.5">
      <c r="B158" s="50"/>
      <c r="C158" s="62" t="s">
        <v>116</v>
      </c>
      <c r="D158" s="62"/>
      <c r="E158" s="63" t="s">
        <v>102</v>
      </c>
      <c r="F158" s="63" t="s">
        <v>117</v>
      </c>
      <c r="G158" s="64"/>
      <c r="H158" s="51"/>
      <c r="I158" s="51"/>
      <c r="J158" s="51"/>
      <c r="K158" s="51"/>
      <c r="L158" s="51"/>
      <c r="M158" s="52"/>
    </row>
    <row r="159" spans="2:13" s="59" customFormat="1" ht="13.5">
      <c r="B159" s="50"/>
      <c r="C159" s="62"/>
      <c r="D159" s="62"/>
      <c r="E159" s="63" t="s">
        <v>118</v>
      </c>
      <c r="F159" s="63"/>
      <c r="G159" s="64"/>
      <c r="H159" s="51"/>
      <c r="I159" s="51"/>
      <c r="J159" s="51"/>
      <c r="K159" s="51"/>
      <c r="L159" s="51"/>
      <c r="M159" s="52"/>
    </row>
    <row r="160" spans="2:13" s="59" customFormat="1" ht="13.5">
      <c r="B160" s="50"/>
      <c r="C160" s="51"/>
      <c r="D160" s="51"/>
      <c r="E160" s="51"/>
      <c r="F160" s="51"/>
      <c r="G160" s="51"/>
      <c r="H160" s="51"/>
      <c r="I160" s="51"/>
      <c r="J160" s="51"/>
      <c r="K160" s="51"/>
      <c r="L160" s="51"/>
      <c r="M160" s="52"/>
    </row>
    <row r="161" spans="2:13">
      <c r="B161" s="66"/>
      <c r="C161" s="60" t="s">
        <v>119</v>
      </c>
      <c r="D161" s="67"/>
      <c r="E161" s="67"/>
      <c r="F161" s="67"/>
      <c r="G161" s="67"/>
      <c r="H161" s="67"/>
      <c r="I161" s="67"/>
      <c r="J161" s="67"/>
      <c r="K161" s="67"/>
      <c r="L161" s="67"/>
      <c r="M161" s="58"/>
    </row>
    <row r="162" spans="2:13">
      <c r="B162" s="66"/>
      <c r="C162" s="68" t="s">
        <v>120</v>
      </c>
      <c r="D162" s="69">
        <v>-2</v>
      </c>
      <c r="E162" s="70"/>
      <c r="F162" s="70"/>
      <c r="G162" s="70"/>
      <c r="H162" s="70"/>
      <c r="I162" s="70"/>
      <c r="J162" s="70"/>
      <c r="K162" s="71"/>
      <c r="L162" s="67"/>
      <c r="M162" s="58"/>
    </row>
    <row r="163" spans="2:13">
      <c r="B163" s="66"/>
      <c r="C163" s="72" t="s">
        <v>121</v>
      </c>
      <c r="D163" s="73" t="s">
        <v>122</v>
      </c>
      <c r="E163" s="70"/>
      <c r="F163" s="70"/>
      <c r="G163" s="70"/>
      <c r="H163" s="70"/>
      <c r="I163" s="70"/>
      <c r="J163" s="70"/>
      <c r="K163" s="71"/>
      <c r="L163" s="67"/>
      <c r="M163" s="58"/>
    </row>
    <row r="164" spans="2:13">
      <c r="B164" s="66"/>
      <c r="C164" s="72" t="s">
        <v>123</v>
      </c>
      <c r="D164" s="73" t="s">
        <v>143</v>
      </c>
      <c r="E164" s="70"/>
      <c r="F164" s="70"/>
      <c r="G164" s="70"/>
      <c r="H164" s="70"/>
      <c r="I164" s="70"/>
      <c r="J164" s="70"/>
      <c r="K164" s="71"/>
      <c r="L164" s="67"/>
      <c r="M164" s="58"/>
    </row>
    <row r="165" spans="2:13">
      <c r="B165" s="66"/>
      <c r="C165" s="72" t="s">
        <v>125</v>
      </c>
      <c r="D165" s="73" t="s">
        <v>146</v>
      </c>
      <c r="E165" s="70"/>
      <c r="F165" s="70"/>
      <c r="G165" s="70"/>
      <c r="H165" s="70"/>
      <c r="I165" s="70"/>
      <c r="J165" s="70"/>
      <c r="K165" s="71"/>
      <c r="L165" s="67"/>
      <c r="M165" s="58"/>
    </row>
    <row r="166" spans="2:13">
      <c r="B166" s="66"/>
      <c r="C166" s="37"/>
      <c r="D166" s="67"/>
      <c r="E166" s="67"/>
      <c r="F166" s="67"/>
      <c r="G166" s="67"/>
      <c r="H166" s="67"/>
      <c r="I166" s="67"/>
      <c r="J166" s="67"/>
      <c r="K166" s="67"/>
      <c r="L166" s="67"/>
      <c r="M166" s="58"/>
    </row>
    <row r="167" spans="2:13">
      <c r="B167" s="66"/>
      <c r="C167" s="37"/>
      <c r="D167" s="67"/>
      <c r="E167" s="67"/>
      <c r="F167" s="67"/>
      <c r="G167" s="67"/>
      <c r="H167" s="67"/>
      <c r="I167" s="67"/>
      <c r="J167" s="67"/>
      <c r="K167" s="67"/>
      <c r="L167" s="67"/>
      <c r="M167" s="58"/>
    </row>
    <row r="168" spans="2:13">
      <c r="B168" s="53"/>
      <c r="C168" s="54" t="s">
        <v>91</v>
      </c>
      <c r="D168" s="55" t="s">
        <v>147</v>
      </c>
      <c r="E168" s="56"/>
      <c r="F168" s="57"/>
      <c r="G168" s="57"/>
      <c r="H168" s="57"/>
      <c r="I168" s="76"/>
      <c r="J168" s="57"/>
      <c r="K168" s="57"/>
      <c r="L168" s="57"/>
      <c r="M168" s="58"/>
    </row>
    <row r="169" spans="2:13" s="59" customFormat="1" ht="13.5">
      <c r="B169" s="50"/>
      <c r="C169" s="60" t="s">
        <v>93</v>
      </c>
      <c r="D169" s="51"/>
      <c r="E169" s="51"/>
      <c r="F169" s="51"/>
      <c r="G169" s="51"/>
      <c r="H169" s="51"/>
      <c r="I169" s="51"/>
      <c r="J169" s="51"/>
      <c r="K169" s="51"/>
      <c r="L169" s="51"/>
      <c r="M169" s="52"/>
    </row>
    <row r="170" spans="2:13" s="59" customFormat="1" ht="13.5">
      <c r="B170" s="50"/>
      <c r="C170" s="61"/>
      <c r="D170" s="62"/>
      <c r="E170" s="63" t="s">
        <v>94</v>
      </c>
      <c r="F170" s="63" t="s">
        <v>95</v>
      </c>
      <c r="G170" s="64"/>
      <c r="H170" s="51"/>
      <c r="I170" s="51"/>
      <c r="J170" s="51"/>
      <c r="K170" s="51"/>
      <c r="L170" s="51"/>
      <c r="M170" s="52"/>
    </row>
    <row r="171" spans="2:13" s="59" customFormat="1" ht="13.5">
      <c r="B171" s="50"/>
      <c r="C171" s="61"/>
      <c r="D171" s="62"/>
      <c r="E171" s="63" t="s">
        <v>96</v>
      </c>
      <c r="F171" s="63" t="s">
        <v>97</v>
      </c>
      <c r="G171" s="64"/>
      <c r="H171" s="51"/>
      <c r="I171" s="51"/>
      <c r="J171" s="51"/>
      <c r="K171" s="51"/>
      <c r="L171" s="51"/>
      <c r="M171" s="52"/>
    </row>
    <row r="172" spans="2:13" s="59" customFormat="1" ht="13.5">
      <c r="B172" s="50"/>
      <c r="C172" s="62" t="s">
        <v>98</v>
      </c>
      <c r="D172" s="62"/>
      <c r="E172" s="63" t="s">
        <v>99</v>
      </c>
      <c r="F172" s="63" t="s">
        <v>128</v>
      </c>
      <c r="G172" s="64"/>
      <c r="H172" s="51"/>
      <c r="I172" s="51"/>
      <c r="J172" s="51"/>
      <c r="K172" s="51"/>
      <c r="L172" s="51"/>
      <c r="M172" s="52"/>
    </row>
    <row r="173" spans="2:13" s="59" customFormat="1" ht="13.5">
      <c r="B173" s="50"/>
      <c r="C173" s="62" t="s">
        <v>101</v>
      </c>
      <c r="D173" s="62"/>
      <c r="E173" s="63" t="s">
        <v>102</v>
      </c>
      <c r="F173" s="63" t="s">
        <v>103</v>
      </c>
      <c r="G173" s="64"/>
      <c r="H173" s="51"/>
      <c r="I173" s="51"/>
      <c r="J173" s="51"/>
      <c r="K173" s="51"/>
      <c r="L173" s="51"/>
      <c r="M173" s="52"/>
    </row>
    <row r="174" spans="2:13" s="59" customFormat="1" ht="13.5">
      <c r="B174" s="50"/>
      <c r="C174" s="62" t="s">
        <v>104</v>
      </c>
      <c r="D174" s="62"/>
      <c r="E174" s="63" t="s">
        <v>102</v>
      </c>
      <c r="F174" s="63" t="s">
        <v>105</v>
      </c>
      <c r="G174" s="64"/>
      <c r="H174" s="51"/>
      <c r="I174" s="51"/>
      <c r="J174" s="51"/>
      <c r="K174" s="51"/>
      <c r="L174" s="51"/>
      <c r="M174" s="52"/>
    </row>
    <row r="175" spans="2:13" s="59" customFormat="1" ht="13.5">
      <c r="B175" s="50"/>
      <c r="C175" s="62" t="s">
        <v>106</v>
      </c>
      <c r="D175" s="62"/>
      <c r="E175" s="63" t="s">
        <v>102</v>
      </c>
      <c r="F175" s="63" t="s">
        <v>139</v>
      </c>
      <c r="G175" s="64"/>
      <c r="H175" s="51"/>
      <c r="I175" s="51"/>
      <c r="J175" s="51"/>
      <c r="K175" s="51"/>
      <c r="L175" s="51"/>
      <c r="M175" s="52"/>
    </row>
    <row r="176" spans="2:13" s="59" customFormat="1" ht="13.5">
      <c r="B176" s="50"/>
      <c r="C176" s="62" t="s">
        <v>3</v>
      </c>
      <c r="D176" s="62"/>
      <c r="E176" s="63" t="s">
        <v>102</v>
      </c>
      <c r="F176" s="63" t="s">
        <v>107</v>
      </c>
      <c r="G176" s="64"/>
      <c r="H176" s="51"/>
      <c r="I176" s="51"/>
      <c r="J176" s="51"/>
      <c r="K176" s="51"/>
      <c r="L176" s="51"/>
      <c r="M176" s="52"/>
    </row>
    <row r="177" spans="2:13" s="59" customFormat="1" ht="13.5">
      <c r="B177" s="50"/>
      <c r="C177" s="62" t="s">
        <v>108</v>
      </c>
      <c r="D177" s="62"/>
      <c r="E177" s="63" t="s">
        <v>102</v>
      </c>
      <c r="F177" s="63" t="s">
        <v>109</v>
      </c>
      <c r="G177" s="64"/>
      <c r="H177" s="51"/>
      <c r="I177" s="51"/>
      <c r="J177" s="51"/>
      <c r="K177" s="51"/>
      <c r="L177" s="51"/>
      <c r="M177" s="52"/>
    </row>
    <row r="178" spans="2:13" s="59" customFormat="1" ht="13.5">
      <c r="B178" s="50"/>
      <c r="C178" s="62" t="s">
        <v>110</v>
      </c>
      <c r="D178" s="62"/>
      <c r="E178" s="63" t="s">
        <v>102</v>
      </c>
      <c r="F178" s="63" t="s">
        <v>111</v>
      </c>
      <c r="G178" s="64"/>
      <c r="H178" s="51"/>
      <c r="I178" s="51"/>
      <c r="J178" s="51"/>
      <c r="K178" s="51"/>
      <c r="L178" s="51"/>
      <c r="M178" s="52"/>
    </row>
    <row r="179" spans="2:13" s="59" customFormat="1" ht="13.5">
      <c r="B179" s="50"/>
      <c r="C179" s="62" t="s">
        <v>112</v>
      </c>
      <c r="D179" s="62"/>
      <c r="E179" s="63" t="s">
        <v>102</v>
      </c>
      <c r="F179" s="65" t="s">
        <v>100</v>
      </c>
      <c r="G179" s="64"/>
      <c r="H179" s="51"/>
      <c r="I179" s="51"/>
      <c r="J179" s="51"/>
      <c r="K179" s="51"/>
      <c r="L179" s="51"/>
      <c r="M179" s="52"/>
    </row>
    <row r="180" spans="2:13" s="59" customFormat="1" ht="13.5">
      <c r="B180" s="50"/>
      <c r="C180" s="62" t="s">
        <v>114</v>
      </c>
      <c r="D180" s="62"/>
      <c r="E180" s="63" t="s">
        <v>102</v>
      </c>
      <c r="F180" s="63" t="s">
        <v>115</v>
      </c>
      <c r="G180" s="64"/>
      <c r="H180" s="51"/>
      <c r="I180" s="51"/>
      <c r="J180" s="51"/>
      <c r="K180" s="51"/>
      <c r="L180" s="51"/>
      <c r="M180" s="52"/>
    </row>
    <row r="181" spans="2:13" s="59" customFormat="1" ht="13.5">
      <c r="B181" s="50"/>
      <c r="C181" s="62" t="s">
        <v>116</v>
      </c>
      <c r="D181" s="62"/>
      <c r="E181" s="63" t="s">
        <v>102</v>
      </c>
      <c r="F181" s="63" t="s">
        <v>117</v>
      </c>
      <c r="G181" s="64"/>
      <c r="H181" s="51"/>
      <c r="I181" s="51"/>
      <c r="J181" s="51"/>
      <c r="K181" s="51"/>
      <c r="L181" s="51"/>
      <c r="M181" s="52"/>
    </row>
    <row r="182" spans="2:13" s="59" customFormat="1" ht="13.5">
      <c r="B182" s="50"/>
      <c r="C182" s="62"/>
      <c r="D182" s="62"/>
      <c r="E182" s="63" t="s">
        <v>118</v>
      </c>
      <c r="F182" s="63"/>
      <c r="G182" s="64"/>
      <c r="H182" s="51"/>
      <c r="I182" s="51"/>
      <c r="J182" s="51"/>
      <c r="K182" s="51"/>
      <c r="L182" s="51"/>
      <c r="M182" s="52"/>
    </row>
    <row r="183" spans="2:13" s="59" customFormat="1" ht="13.5">
      <c r="B183" s="50"/>
      <c r="C183" s="51"/>
      <c r="D183" s="51"/>
      <c r="E183" s="51"/>
      <c r="F183" s="51"/>
      <c r="G183" s="51"/>
      <c r="H183" s="51"/>
      <c r="I183" s="51"/>
      <c r="J183" s="51"/>
      <c r="K183" s="51"/>
      <c r="L183" s="51"/>
      <c r="M183" s="52"/>
    </row>
    <row r="184" spans="2:13">
      <c r="B184" s="66"/>
      <c r="C184" s="60" t="s">
        <v>119</v>
      </c>
      <c r="D184" s="67"/>
      <c r="E184" s="67"/>
      <c r="F184" s="67"/>
      <c r="G184" s="67"/>
      <c r="H184" s="67"/>
      <c r="I184" s="67"/>
      <c r="J184" s="67"/>
      <c r="K184" s="67"/>
      <c r="L184" s="67"/>
      <c r="M184" s="58"/>
    </row>
    <row r="185" spans="2:13">
      <c r="B185" s="66"/>
      <c r="C185" s="68" t="s">
        <v>120</v>
      </c>
      <c r="D185" s="69">
        <v>-1</v>
      </c>
      <c r="E185" s="70"/>
      <c r="F185" s="70"/>
      <c r="G185" s="70"/>
      <c r="H185" s="70"/>
      <c r="I185" s="70"/>
      <c r="J185" s="70"/>
      <c r="K185" s="71"/>
      <c r="L185" s="67"/>
      <c r="M185" s="58"/>
    </row>
    <row r="186" spans="2:13">
      <c r="B186" s="66"/>
      <c r="C186" s="72" t="s">
        <v>121</v>
      </c>
      <c r="D186" s="73">
        <v>22007</v>
      </c>
      <c r="E186" s="70"/>
      <c r="F186" s="70"/>
      <c r="G186" s="70"/>
      <c r="H186" s="70"/>
      <c r="I186" s="70"/>
      <c r="J186" s="70"/>
      <c r="K186" s="71"/>
      <c r="L186" s="67"/>
      <c r="M186" s="58"/>
    </row>
    <row r="187" spans="2:13">
      <c r="B187" s="66"/>
      <c r="C187" s="72" t="s">
        <v>123</v>
      </c>
      <c r="D187" s="73" t="s">
        <v>122</v>
      </c>
      <c r="E187" s="70"/>
      <c r="F187" s="70"/>
      <c r="G187" s="70"/>
      <c r="H187" s="70"/>
      <c r="I187" s="70"/>
      <c r="J187" s="70"/>
      <c r="K187" s="71"/>
      <c r="L187" s="67"/>
      <c r="M187" s="58"/>
    </row>
    <row r="188" spans="2:13">
      <c r="B188" s="66"/>
      <c r="C188" s="72" t="s">
        <v>125</v>
      </c>
      <c r="D188" s="73" t="s">
        <v>148</v>
      </c>
      <c r="E188" s="70"/>
      <c r="F188" s="70"/>
      <c r="G188" s="70"/>
      <c r="H188" s="70"/>
      <c r="I188" s="70"/>
      <c r="J188" s="70"/>
      <c r="K188" s="71"/>
      <c r="L188" s="67"/>
      <c r="M188" s="58"/>
    </row>
    <row r="189" spans="2:13">
      <c r="B189" s="66"/>
      <c r="C189" s="37"/>
      <c r="D189" s="67"/>
      <c r="E189" s="67"/>
      <c r="F189" s="67"/>
      <c r="G189" s="67"/>
      <c r="H189" s="67"/>
      <c r="I189" s="67"/>
      <c r="J189" s="67"/>
      <c r="K189" s="67"/>
      <c r="L189" s="67"/>
      <c r="M189" s="58"/>
    </row>
    <row r="190" spans="2:13">
      <c r="B190" s="66"/>
      <c r="C190" s="37"/>
      <c r="D190" s="67"/>
      <c r="E190" s="67"/>
      <c r="F190" s="67"/>
      <c r="G190" s="67"/>
      <c r="H190" s="67"/>
      <c r="I190" s="67"/>
      <c r="J190" s="67"/>
      <c r="K190" s="67"/>
      <c r="L190" s="67"/>
      <c r="M190" s="58"/>
    </row>
    <row r="191" spans="2:13">
      <c r="B191" s="53"/>
      <c r="C191" s="54" t="s">
        <v>91</v>
      </c>
      <c r="D191" s="55" t="s">
        <v>149</v>
      </c>
      <c r="E191" s="56"/>
      <c r="F191" s="57"/>
      <c r="G191" s="57"/>
      <c r="H191" s="57"/>
      <c r="I191" s="76"/>
      <c r="J191" s="57"/>
      <c r="K191" s="57"/>
      <c r="L191" s="57"/>
      <c r="M191" s="58"/>
    </row>
    <row r="192" spans="2:13" s="59" customFormat="1" ht="13.5">
      <c r="B192" s="50"/>
      <c r="C192" s="60" t="s">
        <v>93</v>
      </c>
      <c r="D192" s="51"/>
      <c r="E192" s="51"/>
      <c r="F192" s="51"/>
      <c r="G192" s="51"/>
      <c r="H192" s="51"/>
      <c r="I192" s="51"/>
      <c r="J192" s="51"/>
      <c r="K192" s="51"/>
      <c r="L192" s="51"/>
      <c r="M192" s="52"/>
    </row>
    <row r="193" spans="2:13" s="59" customFormat="1" ht="13.5">
      <c r="B193" s="50"/>
      <c r="C193" s="61"/>
      <c r="D193" s="62"/>
      <c r="E193" s="63" t="s">
        <v>94</v>
      </c>
      <c r="F193" s="63" t="s">
        <v>95</v>
      </c>
      <c r="G193" s="64"/>
      <c r="H193" s="51"/>
      <c r="I193" s="51"/>
      <c r="J193" s="51"/>
      <c r="K193" s="51"/>
      <c r="L193" s="51"/>
      <c r="M193" s="52"/>
    </row>
    <row r="194" spans="2:13" s="59" customFormat="1" ht="13.5">
      <c r="B194" s="50"/>
      <c r="C194" s="61"/>
      <c r="D194" s="62"/>
      <c r="E194" s="63" t="s">
        <v>96</v>
      </c>
      <c r="F194" s="63" t="s">
        <v>97</v>
      </c>
      <c r="G194" s="64"/>
      <c r="H194" s="51"/>
      <c r="I194" s="51"/>
      <c r="J194" s="51"/>
      <c r="K194" s="51"/>
      <c r="L194" s="51"/>
      <c r="M194" s="52"/>
    </row>
    <row r="195" spans="2:13" s="59" customFormat="1" ht="13.5">
      <c r="B195" s="50"/>
      <c r="C195" s="62" t="s">
        <v>98</v>
      </c>
      <c r="D195" s="62"/>
      <c r="E195" s="63" t="s">
        <v>99</v>
      </c>
      <c r="F195" s="63" t="s">
        <v>128</v>
      </c>
      <c r="G195" s="64"/>
      <c r="H195" s="51"/>
      <c r="I195" s="51"/>
      <c r="J195" s="51"/>
      <c r="K195" s="51"/>
      <c r="L195" s="51"/>
      <c r="M195" s="52"/>
    </row>
    <row r="196" spans="2:13" s="59" customFormat="1" ht="13.5">
      <c r="B196" s="50"/>
      <c r="C196" s="62" t="s">
        <v>101</v>
      </c>
      <c r="D196" s="62"/>
      <c r="E196" s="63" t="s">
        <v>102</v>
      </c>
      <c r="F196" s="63" t="s">
        <v>103</v>
      </c>
      <c r="G196" s="64"/>
      <c r="H196" s="51"/>
      <c r="I196" s="51"/>
      <c r="J196" s="51"/>
      <c r="K196" s="51"/>
      <c r="L196" s="51"/>
      <c r="M196" s="52"/>
    </row>
    <row r="197" spans="2:13" s="59" customFormat="1" ht="13.5">
      <c r="B197" s="50"/>
      <c r="C197" s="62" t="s">
        <v>104</v>
      </c>
      <c r="D197" s="62"/>
      <c r="E197" s="63" t="s">
        <v>102</v>
      </c>
      <c r="F197" s="63" t="s">
        <v>105</v>
      </c>
      <c r="G197" s="64"/>
      <c r="H197" s="51"/>
      <c r="I197" s="51"/>
      <c r="J197" s="51"/>
      <c r="K197" s="51"/>
      <c r="L197" s="51"/>
      <c r="M197" s="52"/>
    </row>
    <row r="198" spans="2:13" s="59" customFormat="1" ht="13.5">
      <c r="B198" s="50"/>
      <c r="C198" s="62" t="s">
        <v>106</v>
      </c>
      <c r="D198" s="62"/>
      <c r="E198" s="63" t="s">
        <v>102</v>
      </c>
      <c r="F198" s="63" t="s">
        <v>139</v>
      </c>
      <c r="G198" s="64"/>
      <c r="H198" s="51"/>
      <c r="I198" s="51"/>
      <c r="J198" s="51"/>
      <c r="K198" s="51"/>
      <c r="L198" s="51"/>
      <c r="M198" s="52"/>
    </row>
    <row r="199" spans="2:13" s="59" customFormat="1" ht="13.5">
      <c r="B199" s="50"/>
      <c r="C199" s="62" t="s">
        <v>3</v>
      </c>
      <c r="D199" s="62"/>
      <c r="E199" s="63" t="s">
        <v>102</v>
      </c>
      <c r="F199" s="63" t="s">
        <v>107</v>
      </c>
      <c r="G199" s="64"/>
      <c r="H199" s="51"/>
      <c r="I199" s="51"/>
      <c r="J199" s="51"/>
      <c r="K199" s="51"/>
      <c r="L199" s="51"/>
      <c r="M199" s="52"/>
    </row>
    <row r="200" spans="2:13" s="59" customFormat="1" ht="13.5">
      <c r="B200" s="50"/>
      <c r="C200" s="62" t="s">
        <v>108</v>
      </c>
      <c r="D200" s="62"/>
      <c r="E200" s="63" t="s">
        <v>102</v>
      </c>
      <c r="F200" s="63" t="s">
        <v>109</v>
      </c>
      <c r="G200" s="64"/>
      <c r="H200" s="51"/>
      <c r="I200" s="51"/>
      <c r="J200" s="51"/>
      <c r="K200" s="51"/>
      <c r="L200" s="51"/>
      <c r="M200" s="52"/>
    </row>
    <row r="201" spans="2:13" s="59" customFormat="1" ht="13.5">
      <c r="B201" s="50"/>
      <c r="C201" s="62" t="s">
        <v>110</v>
      </c>
      <c r="D201" s="62"/>
      <c r="E201" s="63" t="s">
        <v>102</v>
      </c>
      <c r="F201" s="63" t="s">
        <v>111</v>
      </c>
      <c r="G201" s="64"/>
      <c r="H201" s="51"/>
      <c r="I201" s="51"/>
      <c r="J201" s="51"/>
      <c r="K201" s="51"/>
      <c r="L201" s="51"/>
      <c r="M201" s="52"/>
    </row>
    <row r="202" spans="2:13" s="59" customFormat="1" ht="13.5">
      <c r="B202" s="50"/>
      <c r="C202" s="62" t="s">
        <v>112</v>
      </c>
      <c r="D202" s="62"/>
      <c r="E202" s="63" t="s">
        <v>102</v>
      </c>
      <c r="F202" s="63" t="s">
        <v>113</v>
      </c>
      <c r="G202" s="64"/>
      <c r="H202" s="51"/>
      <c r="I202" s="51"/>
      <c r="J202" s="51"/>
      <c r="K202" s="51"/>
      <c r="L202" s="51"/>
      <c r="M202" s="52"/>
    </row>
    <row r="203" spans="2:13" s="59" customFormat="1" ht="13.5">
      <c r="B203" s="50"/>
      <c r="C203" s="62" t="s">
        <v>114</v>
      </c>
      <c r="D203" s="62"/>
      <c r="E203" s="63" t="s">
        <v>102</v>
      </c>
      <c r="F203" s="65" t="s">
        <v>100</v>
      </c>
      <c r="G203" s="64"/>
      <c r="H203" s="51"/>
      <c r="I203" s="51"/>
      <c r="J203" s="51"/>
      <c r="K203" s="51"/>
      <c r="L203" s="51"/>
      <c r="M203" s="52"/>
    </row>
    <row r="204" spans="2:13" s="59" customFormat="1" ht="13.5">
      <c r="B204" s="50"/>
      <c r="C204" s="62" t="s">
        <v>116</v>
      </c>
      <c r="D204" s="62"/>
      <c r="E204" s="63" t="s">
        <v>102</v>
      </c>
      <c r="F204" s="63" t="s">
        <v>117</v>
      </c>
      <c r="G204" s="64"/>
      <c r="H204" s="51"/>
      <c r="I204" s="51"/>
      <c r="J204" s="51"/>
      <c r="K204" s="51"/>
      <c r="L204" s="51"/>
      <c r="M204" s="52"/>
    </row>
    <row r="205" spans="2:13" s="59" customFormat="1" ht="13.5">
      <c r="B205" s="50"/>
      <c r="C205" s="62"/>
      <c r="D205" s="62"/>
      <c r="E205" s="63" t="s">
        <v>118</v>
      </c>
      <c r="F205" s="63"/>
      <c r="G205" s="64"/>
      <c r="H205" s="51"/>
      <c r="I205" s="51"/>
      <c r="J205" s="51"/>
      <c r="K205" s="51"/>
      <c r="L205" s="51"/>
      <c r="M205" s="52"/>
    </row>
    <row r="206" spans="2:13" s="59" customFormat="1" ht="13.5">
      <c r="B206" s="50"/>
      <c r="C206" s="51"/>
      <c r="D206" s="51"/>
      <c r="E206" s="51"/>
      <c r="F206" s="51"/>
      <c r="G206" s="51"/>
      <c r="H206" s="51"/>
      <c r="I206" s="51"/>
      <c r="J206" s="51"/>
      <c r="K206" s="51"/>
      <c r="L206" s="51"/>
      <c r="M206" s="52"/>
    </row>
    <row r="207" spans="2:13">
      <c r="B207" s="66"/>
      <c r="C207" s="60" t="s">
        <v>119</v>
      </c>
      <c r="D207" s="67"/>
      <c r="E207" s="67"/>
      <c r="F207" s="67"/>
      <c r="G207" s="67"/>
      <c r="H207" s="67"/>
      <c r="I207" s="67"/>
      <c r="J207" s="67"/>
      <c r="K207" s="67"/>
      <c r="L207" s="67"/>
      <c r="M207" s="58"/>
    </row>
    <row r="208" spans="2:13">
      <c r="B208" s="66"/>
      <c r="C208" s="68" t="s">
        <v>120</v>
      </c>
      <c r="D208" s="69">
        <v>-2</v>
      </c>
      <c r="E208" s="70"/>
      <c r="F208" s="70"/>
      <c r="G208" s="70"/>
      <c r="H208" s="70"/>
      <c r="I208" s="70"/>
      <c r="J208" s="70"/>
      <c r="K208" s="71"/>
      <c r="L208" s="67"/>
      <c r="M208" s="58"/>
    </row>
    <row r="209" spans="2:13">
      <c r="B209" s="66"/>
      <c r="C209" s="72" t="s">
        <v>121</v>
      </c>
      <c r="D209" s="73" t="s">
        <v>122</v>
      </c>
      <c r="E209" s="70"/>
      <c r="F209" s="70"/>
      <c r="G209" s="70"/>
      <c r="H209" s="70"/>
      <c r="I209" s="70"/>
      <c r="J209" s="70"/>
      <c r="K209" s="71"/>
      <c r="L209" s="67"/>
      <c r="M209" s="58"/>
    </row>
    <row r="210" spans="2:13">
      <c r="B210" s="66"/>
      <c r="C210" s="72" t="s">
        <v>123</v>
      </c>
      <c r="D210" s="73" t="s">
        <v>150</v>
      </c>
      <c r="E210" s="70"/>
      <c r="F210" s="70"/>
      <c r="G210" s="70"/>
      <c r="H210" s="70"/>
      <c r="I210" s="70"/>
      <c r="J210" s="70"/>
      <c r="K210" s="71"/>
      <c r="L210" s="67"/>
      <c r="M210" s="58"/>
    </row>
    <row r="211" spans="2:13">
      <c r="B211" s="66"/>
      <c r="C211" s="72" t="s">
        <v>125</v>
      </c>
      <c r="D211" s="73" t="s">
        <v>151</v>
      </c>
      <c r="E211" s="70"/>
      <c r="F211" s="70"/>
      <c r="G211" s="70"/>
      <c r="H211" s="70"/>
      <c r="I211" s="70"/>
      <c r="J211" s="70"/>
      <c r="K211" s="71"/>
      <c r="L211" s="67"/>
      <c r="M211" s="58"/>
    </row>
    <row r="212" spans="2:13">
      <c r="B212" s="66"/>
      <c r="C212" s="37"/>
      <c r="D212" s="67"/>
      <c r="E212" s="67"/>
      <c r="F212" s="67"/>
      <c r="G212" s="67"/>
      <c r="H212" s="67"/>
      <c r="I212" s="67"/>
      <c r="J212" s="67"/>
      <c r="K212" s="67"/>
      <c r="L212" s="67"/>
      <c r="M212" s="58"/>
    </row>
    <row r="213" spans="2:13">
      <c r="B213" s="66"/>
      <c r="C213" s="37"/>
      <c r="D213" s="67"/>
      <c r="E213" s="67"/>
      <c r="F213" s="67"/>
      <c r="G213" s="67"/>
      <c r="H213" s="67"/>
      <c r="I213" s="67"/>
      <c r="J213" s="67"/>
      <c r="K213" s="67"/>
      <c r="L213" s="67"/>
      <c r="M213" s="58"/>
    </row>
    <row r="214" spans="2:13">
      <c r="B214" s="53"/>
      <c r="C214" s="54" t="s">
        <v>91</v>
      </c>
      <c r="D214" s="55" t="s">
        <v>152</v>
      </c>
      <c r="E214" s="56"/>
      <c r="F214" s="57"/>
      <c r="G214" s="57"/>
      <c r="H214" s="57"/>
      <c r="I214" s="76"/>
      <c r="J214" s="57"/>
      <c r="K214" s="57"/>
      <c r="L214" s="57"/>
      <c r="M214" s="58"/>
    </row>
    <row r="215" spans="2:13" s="59" customFormat="1" ht="13.5">
      <c r="B215" s="50"/>
      <c r="C215" s="60" t="s">
        <v>93</v>
      </c>
      <c r="D215" s="51"/>
      <c r="E215" s="51"/>
      <c r="F215" s="51"/>
      <c r="G215" s="51"/>
      <c r="H215" s="51"/>
      <c r="I215" s="51"/>
      <c r="J215" s="51"/>
      <c r="K215" s="51"/>
      <c r="L215" s="51"/>
      <c r="M215" s="52"/>
    </row>
    <row r="216" spans="2:13" s="59" customFormat="1" ht="13.5">
      <c r="B216" s="50"/>
      <c r="C216" s="61"/>
      <c r="D216" s="62"/>
      <c r="E216" s="63" t="s">
        <v>94</v>
      </c>
      <c r="F216" s="63" t="s">
        <v>95</v>
      </c>
      <c r="G216" s="64"/>
      <c r="H216" s="51"/>
      <c r="I216" s="51"/>
      <c r="J216" s="51"/>
      <c r="K216" s="51"/>
      <c r="L216" s="51"/>
      <c r="M216" s="52"/>
    </row>
    <row r="217" spans="2:13" s="59" customFormat="1" ht="13.5">
      <c r="B217" s="50"/>
      <c r="C217" s="61"/>
      <c r="D217" s="62"/>
      <c r="E217" s="63" t="s">
        <v>96</v>
      </c>
      <c r="F217" s="63" t="s">
        <v>97</v>
      </c>
      <c r="G217" s="64"/>
      <c r="H217" s="51"/>
      <c r="I217" s="51"/>
      <c r="J217" s="51"/>
      <c r="K217" s="51"/>
      <c r="L217" s="51"/>
      <c r="M217" s="52"/>
    </row>
    <row r="218" spans="2:13" s="59" customFormat="1" ht="13.5">
      <c r="B218" s="50"/>
      <c r="C218" s="62" t="s">
        <v>98</v>
      </c>
      <c r="D218" s="62"/>
      <c r="E218" s="63" t="s">
        <v>99</v>
      </c>
      <c r="F218" s="63" t="s">
        <v>128</v>
      </c>
      <c r="G218" s="64"/>
      <c r="H218" s="51"/>
      <c r="I218" s="51"/>
      <c r="J218" s="51"/>
      <c r="K218" s="51"/>
      <c r="L218" s="51"/>
      <c r="M218" s="52"/>
    </row>
    <row r="219" spans="2:13" s="59" customFormat="1" ht="13.5">
      <c r="B219" s="50"/>
      <c r="C219" s="62" t="s">
        <v>101</v>
      </c>
      <c r="D219" s="62"/>
      <c r="E219" s="63" t="s">
        <v>102</v>
      </c>
      <c r="F219" s="63" t="s">
        <v>103</v>
      </c>
      <c r="G219" s="64"/>
      <c r="H219" s="51"/>
      <c r="I219" s="51"/>
      <c r="J219" s="51"/>
      <c r="K219" s="51"/>
      <c r="L219" s="51"/>
      <c r="M219" s="52"/>
    </row>
    <row r="220" spans="2:13" s="59" customFormat="1" ht="13.5">
      <c r="B220" s="50"/>
      <c r="C220" s="62" t="s">
        <v>104</v>
      </c>
      <c r="D220" s="62"/>
      <c r="E220" s="63" t="s">
        <v>102</v>
      </c>
      <c r="F220" s="63" t="s">
        <v>105</v>
      </c>
      <c r="G220" s="64"/>
      <c r="H220" s="51"/>
      <c r="I220" s="51"/>
      <c r="J220" s="51"/>
      <c r="K220" s="51"/>
      <c r="L220" s="51"/>
      <c r="M220" s="52"/>
    </row>
    <row r="221" spans="2:13" s="59" customFormat="1" ht="13.5">
      <c r="B221" s="50"/>
      <c r="C221" s="62" t="s">
        <v>106</v>
      </c>
      <c r="D221" s="62"/>
      <c r="E221" s="63" t="s">
        <v>102</v>
      </c>
      <c r="F221" s="63" t="s">
        <v>139</v>
      </c>
      <c r="G221" s="64"/>
      <c r="H221" s="51"/>
      <c r="I221" s="51"/>
      <c r="J221" s="51"/>
      <c r="K221" s="51"/>
      <c r="L221" s="51"/>
      <c r="M221" s="52"/>
    </row>
    <row r="222" spans="2:13" s="59" customFormat="1" ht="13.5">
      <c r="B222" s="50"/>
      <c r="C222" s="62" t="s">
        <v>3</v>
      </c>
      <c r="D222" s="62"/>
      <c r="E222" s="63" t="s">
        <v>102</v>
      </c>
      <c r="F222" s="63" t="s">
        <v>107</v>
      </c>
      <c r="G222" s="64"/>
      <c r="H222" s="51"/>
      <c r="I222" s="51"/>
      <c r="J222" s="51"/>
      <c r="K222" s="51"/>
      <c r="L222" s="51"/>
      <c r="M222" s="52"/>
    </row>
    <row r="223" spans="2:13" s="59" customFormat="1" ht="13.5">
      <c r="B223" s="50"/>
      <c r="C223" s="62" t="s">
        <v>108</v>
      </c>
      <c r="D223" s="62"/>
      <c r="E223" s="63" t="s">
        <v>102</v>
      </c>
      <c r="F223" s="63" t="s">
        <v>109</v>
      </c>
      <c r="G223" s="64"/>
      <c r="H223" s="51"/>
      <c r="I223" s="51"/>
      <c r="J223" s="51"/>
      <c r="K223" s="51"/>
      <c r="L223" s="51"/>
      <c r="M223" s="52"/>
    </row>
    <row r="224" spans="2:13" s="59" customFormat="1" ht="13.5">
      <c r="B224" s="50"/>
      <c r="C224" s="62" t="s">
        <v>110</v>
      </c>
      <c r="D224" s="62"/>
      <c r="E224" s="63" t="s">
        <v>102</v>
      </c>
      <c r="F224" s="63" t="s">
        <v>111</v>
      </c>
      <c r="G224" s="64"/>
      <c r="H224" s="51"/>
      <c r="I224" s="51"/>
      <c r="J224" s="51"/>
      <c r="K224" s="51"/>
      <c r="L224" s="51"/>
      <c r="M224" s="52"/>
    </row>
    <row r="225" spans="2:13" s="59" customFormat="1" ht="13.5">
      <c r="B225" s="50"/>
      <c r="C225" s="62" t="s">
        <v>112</v>
      </c>
      <c r="D225" s="62"/>
      <c r="E225" s="63" t="s">
        <v>102</v>
      </c>
      <c r="F225" s="63" t="s">
        <v>113</v>
      </c>
      <c r="G225" s="64"/>
      <c r="H225" s="51"/>
      <c r="I225" s="51"/>
      <c r="J225" s="51"/>
      <c r="K225" s="51"/>
      <c r="L225" s="51"/>
      <c r="M225" s="52"/>
    </row>
    <row r="226" spans="2:13" s="59" customFormat="1" ht="13.5">
      <c r="B226" s="50"/>
      <c r="C226" s="62" t="s">
        <v>114</v>
      </c>
      <c r="D226" s="62"/>
      <c r="E226" s="63" t="s">
        <v>102</v>
      </c>
      <c r="F226" s="63" t="s">
        <v>115</v>
      </c>
      <c r="G226" s="64"/>
      <c r="H226" s="51"/>
      <c r="I226" s="51"/>
      <c r="J226" s="51"/>
      <c r="K226" s="51"/>
      <c r="L226" s="51"/>
      <c r="M226" s="52"/>
    </row>
    <row r="227" spans="2:13" s="59" customFormat="1" ht="13.5">
      <c r="B227" s="50"/>
      <c r="C227" s="62" t="s">
        <v>116</v>
      </c>
      <c r="D227" s="62"/>
      <c r="E227" s="63" t="s">
        <v>102</v>
      </c>
      <c r="F227" s="65" t="s">
        <v>100</v>
      </c>
      <c r="G227" s="64"/>
      <c r="H227" s="51"/>
      <c r="I227" s="51"/>
      <c r="J227" s="51"/>
      <c r="K227" s="51"/>
      <c r="L227" s="51"/>
      <c r="M227" s="52"/>
    </row>
    <row r="228" spans="2:13" s="59" customFormat="1" ht="13.5">
      <c r="B228" s="50"/>
      <c r="C228" s="62"/>
      <c r="D228" s="62"/>
      <c r="E228" s="63" t="s">
        <v>118</v>
      </c>
      <c r="F228" s="63"/>
      <c r="G228" s="64"/>
      <c r="H228" s="51"/>
      <c r="I228" s="51"/>
      <c r="J228" s="51"/>
      <c r="K228" s="51"/>
      <c r="L228" s="51"/>
      <c r="M228" s="52"/>
    </row>
    <row r="229" spans="2:13" s="59" customFormat="1" ht="13.5">
      <c r="B229" s="50"/>
      <c r="C229" s="51"/>
      <c r="D229" s="51"/>
      <c r="E229" s="51"/>
      <c r="F229" s="51"/>
      <c r="G229" s="51"/>
      <c r="H229" s="51"/>
      <c r="I229" s="51"/>
      <c r="J229" s="51"/>
      <c r="K229" s="51"/>
      <c r="L229" s="51"/>
      <c r="M229" s="52"/>
    </row>
    <row r="230" spans="2:13">
      <c r="B230" s="66"/>
      <c r="C230" s="60" t="s">
        <v>119</v>
      </c>
      <c r="D230" s="67"/>
      <c r="E230" s="67"/>
      <c r="F230" s="67"/>
      <c r="G230" s="67"/>
      <c r="H230" s="67"/>
      <c r="I230" s="67"/>
      <c r="J230" s="67"/>
      <c r="K230" s="67"/>
      <c r="L230" s="67"/>
      <c r="M230" s="58"/>
    </row>
    <row r="231" spans="2:13">
      <c r="B231" s="66"/>
      <c r="C231" s="68" t="s">
        <v>120</v>
      </c>
      <c r="D231" s="69">
        <v>-2</v>
      </c>
      <c r="E231" s="70"/>
      <c r="F231" s="70"/>
      <c r="G231" s="70"/>
      <c r="H231" s="70"/>
      <c r="I231" s="70"/>
      <c r="J231" s="70"/>
      <c r="K231" s="71"/>
      <c r="L231" s="67"/>
      <c r="M231" s="58"/>
    </row>
    <row r="232" spans="2:13">
      <c r="B232" s="66"/>
      <c r="C232" s="72" t="s">
        <v>121</v>
      </c>
      <c r="D232" s="73" t="s">
        <v>122</v>
      </c>
      <c r="E232" s="70"/>
      <c r="F232" s="70"/>
      <c r="G232" s="70"/>
      <c r="H232" s="70"/>
      <c r="I232" s="70"/>
      <c r="J232" s="70"/>
      <c r="K232" s="71"/>
      <c r="L232" s="67"/>
      <c r="M232" s="58"/>
    </row>
    <row r="233" spans="2:13">
      <c r="B233" s="66"/>
      <c r="C233" s="72" t="s">
        <v>123</v>
      </c>
      <c r="D233" s="73" t="s">
        <v>153</v>
      </c>
      <c r="E233" s="70"/>
      <c r="F233" s="70"/>
      <c r="G233" s="70"/>
      <c r="H233" s="70"/>
      <c r="I233" s="70"/>
      <c r="J233" s="70"/>
      <c r="K233" s="71"/>
      <c r="L233" s="67"/>
      <c r="M233" s="58"/>
    </row>
    <row r="234" spans="2:13">
      <c r="B234" s="66"/>
      <c r="C234" s="72" t="s">
        <v>125</v>
      </c>
      <c r="D234" s="73" t="s">
        <v>154</v>
      </c>
      <c r="E234" s="70"/>
      <c r="F234" s="70"/>
      <c r="G234" s="70"/>
      <c r="H234" s="70"/>
      <c r="I234" s="70"/>
      <c r="J234" s="70"/>
      <c r="K234" s="71"/>
      <c r="L234" s="67"/>
      <c r="M234" s="58"/>
    </row>
    <row r="235" spans="2:13">
      <c r="B235" s="66"/>
      <c r="C235" s="37"/>
      <c r="D235" s="67"/>
      <c r="E235" s="67"/>
      <c r="F235" s="67"/>
      <c r="G235" s="67"/>
      <c r="H235" s="67"/>
      <c r="I235" s="67"/>
      <c r="J235" s="67"/>
      <c r="K235" s="67"/>
      <c r="L235" s="67"/>
      <c r="M235" s="58"/>
    </row>
    <row r="236" spans="2:13">
      <c r="B236" s="66"/>
      <c r="C236" s="37"/>
      <c r="D236" s="67"/>
      <c r="E236" s="67"/>
      <c r="F236" s="67"/>
      <c r="G236" s="67"/>
      <c r="H236" s="67"/>
      <c r="I236" s="67"/>
      <c r="J236" s="67"/>
      <c r="K236" s="67"/>
      <c r="L236" s="67"/>
      <c r="M236" s="58"/>
    </row>
    <row r="237" spans="2:13">
      <c r="B237" s="66"/>
      <c r="C237" s="37"/>
      <c r="D237" s="67"/>
      <c r="E237" s="67"/>
      <c r="F237" s="67"/>
      <c r="G237" s="67"/>
      <c r="H237" s="67"/>
      <c r="I237" s="67"/>
      <c r="J237" s="67"/>
      <c r="K237" s="67"/>
      <c r="L237" s="67"/>
      <c r="M237" s="58"/>
    </row>
    <row r="238" spans="2:13">
      <c r="B238" s="66"/>
      <c r="C238" s="37"/>
      <c r="D238" s="67"/>
      <c r="E238" s="67"/>
      <c r="F238" s="67"/>
      <c r="G238" s="67"/>
      <c r="H238" s="67"/>
      <c r="I238" s="67"/>
      <c r="J238" s="67"/>
      <c r="K238" s="67"/>
      <c r="L238" s="67"/>
      <c r="M238" s="58"/>
    </row>
    <row r="239" spans="2:13">
      <c r="B239" s="66"/>
      <c r="C239" s="77" t="s">
        <v>155</v>
      </c>
      <c r="D239" s="78" t="s">
        <v>156</v>
      </c>
      <c r="E239" s="78"/>
      <c r="F239" s="78"/>
      <c r="G239" s="78"/>
      <c r="H239" s="78"/>
      <c r="J239" s="78"/>
      <c r="K239" s="78"/>
      <c r="L239" s="78"/>
      <c r="M239" s="58"/>
    </row>
    <row r="240" spans="2:13">
      <c r="B240" s="66"/>
      <c r="C240" s="77"/>
      <c r="D240" s="78"/>
      <c r="E240" s="78"/>
      <c r="F240" s="78"/>
      <c r="G240" s="78"/>
      <c r="H240" s="78"/>
      <c r="J240" s="78"/>
      <c r="K240" s="78"/>
      <c r="L240" s="78"/>
      <c r="M240" s="58"/>
    </row>
    <row r="241" spans="2:13" ht="15.5" thickBot="1">
      <c r="B241" s="79"/>
      <c r="C241" s="80"/>
      <c r="D241" s="81"/>
      <c r="E241" s="81"/>
      <c r="F241" s="81"/>
      <c r="G241" s="81"/>
      <c r="H241" s="81"/>
      <c r="I241" s="81"/>
      <c r="J241" s="81"/>
      <c r="K241" s="81"/>
      <c r="L241" s="81"/>
      <c r="M241" s="82"/>
    </row>
    <row r="242" spans="2:13">
      <c r="B242" s="43">
        <v>2</v>
      </c>
      <c r="C242" s="44" t="s">
        <v>157</v>
      </c>
      <c r="D242" s="44"/>
      <c r="E242" s="44"/>
      <c r="F242" s="44"/>
      <c r="G242" s="44"/>
      <c r="H242" s="44"/>
      <c r="I242" s="44"/>
      <c r="J242" s="44"/>
      <c r="K242" s="44"/>
      <c r="L242" s="44"/>
      <c r="M242" s="45"/>
    </row>
    <row r="243" spans="2:13" ht="15.5" thickBot="1">
      <c r="B243" s="46" t="s">
        <v>158</v>
      </c>
      <c r="C243" s="47"/>
      <c r="D243" s="48"/>
      <c r="E243" s="48"/>
      <c r="F243" s="48"/>
      <c r="G243" s="48"/>
      <c r="H243" s="48"/>
      <c r="I243" s="48"/>
      <c r="J243" s="48"/>
      <c r="K243" s="48"/>
      <c r="L243" s="48"/>
      <c r="M243" s="49"/>
    </row>
    <row r="244" spans="2:13">
      <c r="B244" s="50"/>
      <c r="C244" s="51"/>
      <c r="D244" s="51"/>
      <c r="E244" s="51"/>
      <c r="F244" s="51"/>
      <c r="G244" s="51"/>
      <c r="H244" s="51"/>
      <c r="I244" s="51"/>
      <c r="J244" s="51"/>
      <c r="K244" s="51"/>
      <c r="L244" s="51"/>
      <c r="M244" s="52"/>
    </row>
    <row r="245" spans="2:13">
      <c r="B245" s="53"/>
      <c r="C245" s="54" t="s">
        <v>91</v>
      </c>
      <c r="D245" s="55" t="s">
        <v>92</v>
      </c>
      <c r="E245" s="56"/>
      <c r="F245" s="57"/>
      <c r="G245" s="57"/>
      <c r="H245" s="57"/>
      <c r="I245" s="57"/>
      <c r="J245" s="57"/>
      <c r="K245" s="57"/>
      <c r="L245" s="57"/>
      <c r="M245" s="58"/>
    </row>
    <row r="246" spans="2:13" s="59" customFormat="1" ht="13.5">
      <c r="B246" s="50"/>
      <c r="C246" s="60" t="s">
        <v>93</v>
      </c>
      <c r="D246" s="51"/>
      <c r="E246" s="51"/>
      <c r="F246" s="51"/>
      <c r="G246" s="51"/>
      <c r="H246" s="51"/>
      <c r="I246" s="51"/>
      <c r="J246" s="51"/>
      <c r="K246" s="51"/>
      <c r="L246" s="51"/>
      <c r="M246" s="52"/>
    </row>
    <row r="247" spans="2:13" s="59" customFormat="1" ht="13.5">
      <c r="B247" s="50"/>
      <c r="C247" s="61"/>
      <c r="D247" s="62"/>
      <c r="E247" s="63" t="s">
        <v>94</v>
      </c>
      <c r="F247" s="63" t="s">
        <v>95</v>
      </c>
      <c r="G247" s="64"/>
      <c r="H247" s="51"/>
      <c r="I247" s="51"/>
      <c r="J247" s="51"/>
      <c r="K247" s="51"/>
      <c r="L247" s="51"/>
      <c r="M247" s="52"/>
    </row>
    <row r="248" spans="2:13" s="59" customFormat="1" ht="13.5">
      <c r="B248" s="50"/>
      <c r="C248" s="61"/>
      <c r="D248" s="62"/>
      <c r="E248" s="63" t="s">
        <v>96</v>
      </c>
      <c r="F248" s="63" t="s">
        <v>97</v>
      </c>
      <c r="G248" s="64"/>
      <c r="H248" s="51"/>
      <c r="I248" s="51"/>
      <c r="J248" s="51"/>
      <c r="K248" s="51"/>
      <c r="L248" s="51"/>
      <c r="M248" s="52"/>
    </row>
    <row r="249" spans="2:13" s="59" customFormat="1" ht="13.5">
      <c r="B249" s="50"/>
      <c r="C249" s="62" t="s">
        <v>98</v>
      </c>
      <c r="D249" s="62"/>
      <c r="E249" s="63" t="s">
        <v>99</v>
      </c>
      <c r="F249" s="65" t="s">
        <v>159</v>
      </c>
      <c r="G249" s="64"/>
      <c r="H249" s="51"/>
      <c r="I249" s="51"/>
      <c r="J249" s="51"/>
      <c r="K249" s="51"/>
      <c r="L249" s="51"/>
      <c r="M249" s="52"/>
    </row>
    <row r="250" spans="2:13" s="59" customFormat="1" ht="13.5">
      <c r="B250" s="50"/>
      <c r="C250" s="62" t="s">
        <v>101</v>
      </c>
      <c r="D250" s="62"/>
      <c r="E250" s="63" t="s">
        <v>102</v>
      </c>
      <c r="F250" s="63" t="s">
        <v>103</v>
      </c>
      <c r="G250" s="64"/>
      <c r="H250" s="51"/>
      <c r="I250" s="51"/>
      <c r="J250" s="51"/>
      <c r="K250" s="51"/>
      <c r="L250" s="51"/>
      <c r="M250" s="52"/>
    </row>
    <row r="251" spans="2:13" s="59" customFormat="1" ht="13.5">
      <c r="B251" s="50"/>
      <c r="C251" s="62" t="s">
        <v>104</v>
      </c>
      <c r="D251" s="62"/>
      <c r="E251" s="63" t="s">
        <v>102</v>
      </c>
      <c r="F251" s="63" t="s">
        <v>105</v>
      </c>
      <c r="G251" s="64"/>
      <c r="H251" s="51"/>
      <c r="I251" s="51"/>
      <c r="J251" s="51"/>
      <c r="K251" s="51"/>
      <c r="L251" s="51"/>
      <c r="M251" s="52"/>
    </row>
    <row r="252" spans="2:13" s="59" customFormat="1" ht="13.5">
      <c r="B252" s="50"/>
      <c r="C252" s="62" t="s">
        <v>106</v>
      </c>
      <c r="D252" s="62"/>
      <c r="E252" s="63" t="s">
        <v>102</v>
      </c>
      <c r="F252" s="63" t="s">
        <v>105</v>
      </c>
      <c r="G252" s="64"/>
      <c r="H252" s="51"/>
      <c r="I252" s="51"/>
      <c r="J252" s="51"/>
      <c r="K252" s="51"/>
      <c r="L252" s="51"/>
      <c r="M252" s="52"/>
    </row>
    <row r="253" spans="2:13" s="59" customFormat="1" ht="13.5">
      <c r="B253" s="50"/>
      <c r="C253" s="62" t="s">
        <v>3</v>
      </c>
      <c r="D253" s="62"/>
      <c r="E253" s="63" t="s">
        <v>102</v>
      </c>
      <c r="F253" s="63" t="s">
        <v>107</v>
      </c>
      <c r="G253" s="64"/>
      <c r="H253" s="51"/>
      <c r="I253" s="51"/>
      <c r="J253" s="51"/>
      <c r="K253" s="51"/>
      <c r="L253" s="51"/>
      <c r="M253" s="52"/>
    </row>
    <row r="254" spans="2:13" s="59" customFormat="1" ht="13.5">
      <c r="B254" s="50"/>
      <c r="C254" s="62" t="s">
        <v>108</v>
      </c>
      <c r="D254" s="62"/>
      <c r="E254" s="63" t="s">
        <v>102</v>
      </c>
      <c r="F254" s="63" t="s">
        <v>109</v>
      </c>
      <c r="G254" s="64"/>
      <c r="H254" s="51"/>
      <c r="I254" s="51"/>
      <c r="J254" s="51"/>
      <c r="K254" s="51"/>
      <c r="L254" s="51"/>
      <c r="M254" s="52"/>
    </row>
    <row r="255" spans="2:13" s="59" customFormat="1" ht="13.5">
      <c r="B255" s="50"/>
      <c r="C255" s="62" t="s">
        <v>110</v>
      </c>
      <c r="D255" s="62"/>
      <c r="E255" s="63" t="s">
        <v>102</v>
      </c>
      <c r="F255" s="63" t="s">
        <v>111</v>
      </c>
      <c r="G255" s="64"/>
      <c r="H255" s="51"/>
      <c r="I255" s="51"/>
      <c r="J255" s="51"/>
      <c r="K255" s="51"/>
      <c r="L255" s="51"/>
      <c r="M255" s="52"/>
    </row>
    <row r="256" spans="2:13" s="59" customFormat="1" ht="13.5">
      <c r="B256" s="50"/>
      <c r="C256" s="62" t="s">
        <v>112</v>
      </c>
      <c r="D256" s="62"/>
      <c r="E256" s="63" t="s">
        <v>102</v>
      </c>
      <c r="F256" s="63" t="s">
        <v>113</v>
      </c>
      <c r="G256" s="64"/>
      <c r="H256" s="51"/>
      <c r="I256" s="51"/>
      <c r="J256" s="51"/>
      <c r="K256" s="51"/>
      <c r="L256" s="51"/>
      <c r="M256" s="52"/>
    </row>
    <row r="257" spans="2:13" s="59" customFormat="1" ht="13.5">
      <c r="B257" s="50"/>
      <c r="C257" s="62" t="s">
        <v>114</v>
      </c>
      <c r="D257" s="62"/>
      <c r="E257" s="63" t="s">
        <v>102</v>
      </c>
      <c r="F257" s="63" t="s">
        <v>115</v>
      </c>
      <c r="G257" s="64"/>
      <c r="H257" s="51"/>
      <c r="I257" s="51"/>
      <c r="J257" s="51"/>
      <c r="K257" s="51"/>
      <c r="L257" s="51"/>
      <c r="M257" s="52"/>
    </row>
    <row r="258" spans="2:13" s="59" customFormat="1" ht="13.5">
      <c r="B258" s="50"/>
      <c r="C258" s="62" t="s">
        <v>116</v>
      </c>
      <c r="D258" s="62"/>
      <c r="E258" s="63" t="s">
        <v>102</v>
      </c>
      <c r="F258" s="63" t="s">
        <v>117</v>
      </c>
      <c r="G258" s="64"/>
      <c r="H258" s="51"/>
      <c r="I258" s="51"/>
      <c r="J258" s="51"/>
      <c r="K258" s="51"/>
      <c r="L258" s="51"/>
      <c r="M258" s="52"/>
    </row>
    <row r="259" spans="2:13" s="59" customFormat="1" ht="13.5">
      <c r="B259" s="50"/>
      <c r="C259" s="62"/>
      <c r="D259" s="62"/>
      <c r="E259" s="63" t="s">
        <v>118</v>
      </c>
      <c r="F259" s="63"/>
      <c r="G259" s="64"/>
      <c r="H259" s="51"/>
      <c r="I259" s="51"/>
      <c r="J259" s="51"/>
      <c r="K259" s="51"/>
      <c r="L259" s="51"/>
      <c r="M259" s="52"/>
    </row>
    <row r="260" spans="2:13" s="59" customFormat="1" ht="13.5">
      <c r="B260" s="50"/>
      <c r="C260" s="51"/>
      <c r="D260" s="51"/>
      <c r="E260" s="51"/>
      <c r="F260" s="51"/>
      <c r="G260" s="51"/>
      <c r="H260" s="51"/>
      <c r="I260" s="51"/>
      <c r="J260" s="51"/>
      <c r="K260" s="51"/>
      <c r="L260" s="51"/>
      <c r="M260" s="52"/>
    </row>
    <row r="261" spans="2:13">
      <c r="B261" s="66"/>
      <c r="C261" s="60" t="s">
        <v>119</v>
      </c>
      <c r="D261" s="67"/>
      <c r="E261" s="67"/>
      <c r="F261" s="67"/>
      <c r="G261" s="67"/>
      <c r="H261" s="67"/>
      <c r="I261" s="67"/>
      <c r="J261" s="67"/>
      <c r="K261" s="67"/>
      <c r="L261" s="67"/>
      <c r="M261" s="58"/>
    </row>
    <row r="262" spans="2:13">
      <c r="B262" s="66"/>
      <c r="C262" s="68" t="s">
        <v>120</v>
      </c>
      <c r="D262" s="69">
        <v>-2</v>
      </c>
      <c r="E262" s="70"/>
      <c r="F262" s="70"/>
      <c r="G262" s="70"/>
      <c r="H262" s="70"/>
      <c r="I262" s="70"/>
      <c r="J262" s="70"/>
      <c r="K262" s="71"/>
      <c r="L262" s="67"/>
      <c r="M262" s="58"/>
    </row>
    <row r="263" spans="2:13">
      <c r="B263" s="66"/>
      <c r="C263" s="72" t="s">
        <v>121</v>
      </c>
      <c r="D263" s="73" t="s">
        <v>122</v>
      </c>
      <c r="E263" s="70"/>
      <c r="F263" s="70"/>
      <c r="G263" s="70"/>
      <c r="H263" s="70"/>
      <c r="I263" s="70"/>
      <c r="J263" s="70"/>
      <c r="K263" s="71"/>
      <c r="L263" s="67"/>
      <c r="M263" s="58"/>
    </row>
    <row r="264" spans="2:13">
      <c r="B264" s="66"/>
      <c r="C264" s="72" t="s">
        <v>123</v>
      </c>
      <c r="D264" s="73" t="s">
        <v>124</v>
      </c>
      <c r="E264" s="70"/>
      <c r="F264" s="70"/>
      <c r="G264" s="70"/>
      <c r="H264" s="70"/>
      <c r="I264" s="70"/>
      <c r="J264" s="70"/>
      <c r="K264" s="71"/>
      <c r="L264" s="67"/>
      <c r="M264" s="58"/>
    </row>
    <row r="265" spans="2:13">
      <c r="B265" s="66"/>
      <c r="C265" s="72" t="s">
        <v>125</v>
      </c>
      <c r="D265" s="73" t="s">
        <v>160</v>
      </c>
      <c r="E265" s="70"/>
      <c r="F265" s="70"/>
      <c r="G265" s="70"/>
      <c r="H265" s="70"/>
      <c r="I265" s="70"/>
      <c r="J265" s="70"/>
      <c r="K265" s="71"/>
      <c r="L265" s="67"/>
      <c r="M265" s="58"/>
    </row>
    <row r="266" spans="2:13">
      <c r="B266" s="66"/>
      <c r="C266" s="74"/>
      <c r="D266" s="75"/>
      <c r="E266" s="67"/>
      <c r="F266" s="67"/>
      <c r="G266" s="67"/>
      <c r="H266" s="67"/>
      <c r="I266" s="67"/>
      <c r="J266" s="67"/>
      <c r="K266" s="67"/>
      <c r="L266" s="67"/>
      <c r="M266" s="58"/>
    </row>
    <row r="267" spans="2:13">
      <c r="B267" s="66"/>
      <c r="C267" s="37"/>
      <c r="D267" s="67"/>
      <c r="E267" s="67"/>
      <c r="F267" s="67"/>
      <c r="G267" s="67"/>
      <c r="H267" s="67"/>
      <c r="I267" s="67"/>
      <c r="J267" s="67"/>
      <c r="K267" s="67"/>
      <c r="L267" s="67"/>
      <c r="M267" s="58"/>
    </row>
    <row r="268" spans="2:13">
      <c r="B268" s="53"/>
      <c r="C268" s="54" t="s">
        <v>91</v>
      </c>
      <c r="D268" s="55" t="s">
        <v>127</v>
      </c>
      <c r="E268" s="56"/>
      <c r="F268" s="57"/>
      <c r="G268" s="57"/>
      <c r="H268" s="57"/>
      <c r="I268" s="57"/>
      <c r="J268" s="57"/>
      <c r="K268" s="57"/>
      <c r="L268" s="57"/>
      <c r="M268" s="58"/>
    </row>
    <row r="269" spans="2:13" s="59" customFormat="1" ht="13.5">
      <c r="B269" s="50"/>
      <c r="C269" s="60" t="s">
        <v>93</v>
      </c>
      <c r="D269" s="51"/>
      <c r="E269" s="51"/>
      <c r="F269" s="51"/>
      <c r="G269" s="51"/>
      <c r="H269" s="51"/>
      <c r="I269" s="51"/>
      <c r="J269" s="51"/>
      <c r="K269" s="51"/>
      <c r="L269" s="51"/>
      <c r="M269" s="52"/>
    </row>
    <row r="270" spans="2:13" s="59" customFormat="1" ht="13.5">
      <c r="B270" s="50"/>
      <c r="C270" s="61"/>
      <c r="D270" s="62"/>
      <c r="E270" s="63" t="s">
        <v>94</v>
      </c>
      <c r="F270" s="63" t="s">
        <v>95</v>
      </c>
      <c r="G270" s="64"/>
      <c r="H270" s="51"/>
      <c r="I270" s="51"/>
      <c r="J270" s="51"/>
      <c r="K270" s="51"/>
      <c r="L270" s="51"/>
      <c r="M270" s="52"/>
    </row>
    <row r="271" spans="2:13" s="59" customFormat="1" ht="13.5">
      <c r="B271" s="50"/>
      <c r="C271" s="61"/>
      <c r="D271" s="62"/>
      <c r="E271" s="63" t="s">
        <v>96</v>
      </c>
      <c r="F271" s="63" t="s">
        <v>97</v>
      </c>
      <c r="G271" s="64"/>
      <c r="H271" s="51"/>
      <c r="I271" s="51"/>
      <c r="J271" s="51"/>
      <c r="K271" s="51"/>
      <c r="L271" s="51"/>
      <c r="M271" s="52"/>
    </row>
    <row r="272" spans="2:13" s="59" customFormat="1" ht="13.5">
      <c r="B272" s="50"/>
      <c r="C272" s="62" t="s">
        <v>98</v>
      </c>
      <c r="D272" s="62"/>
      <c r="E272" s="63" t="s">
        <v>99</v>
      </c>
      <c r="F272" s="63" t="s">
        <v>128</v>
      </c>
      <c r="G272" s="64"/>
      <c r="H272" s="51"/>
      <c r="I272" s="51"/>
      <c r="J272" s="51"/>
      <c r="K272" s="51"/>
      <c r="L272" s="51"/>
      <c r="M272" s="52"/>
    </row>
    <row r="273" spans="2:13" s="59" customFormat="1" ht="13.5">
      <c r="B273" s="50"/>
      <c r="C273" s="62" t="s">
        <v>101</v>
      </c>
      <c r="D273" s="62"/>
      <c r="E273" s="63" t="s">
        <v>102</v>
      </c>
      <c r="F273" s="65" t="s">
        <v>159</v>
      </c>
      <c r="G273" s="64"/>
      <c r="H273" s="51"/>
      <c r="I273" s="51"/>
      <c r="J273" s="51"/>
      <c r="K273" s="51"/>
      <c r="L273" s="51"/>
      <c r="M273" s="52"/>
    </row>
    <row r="274" spans="2:13" s="59" customFormat="1" ht="13.5">
      <c r="B274" s="50"/>
      <c r="C274" s="62" t="s">
        <v>104</v>
      </c>
      <c r="D274" s="62"/>
      <c r="E274" s="63" t="s">
        <v>102</v>
      </c>
      <c r="F274" s="63" t="s">
        <v>105</v>
      </c>
      <c r="G274" s="64"/>
      <c r="H274" s="51"/>
      <c r="I274" s="51"/>
      <c r="J274" s="51"/>
      <c r="K274" s="51"/>
      <c r="L274" s="51"/>
      <c r="M274" s="52"/>
    </row>
    <row r="275" spans="2:13" s="59" customFormat="1" ht="13.5">
      <c r="B275" s="50"/>
      <c r="C275" s="62" t="s">
        <v>106</v>
      </c>
      <c r="D275" s="62"/>
      <c r="E275" s="63" t="s">
        <v>102</v>
      </c>
      <c r="F275" s="63" t="s">
        <v>105</v>
      </c>
      <c r="G275" s="64"/>
      <c r="H275" s="51"/>
      <c r="I275" s="51"/>
      <c r="J275" s="51"/>
      <c r="K275" s="51"/>
      <c r="L275" s="51"/>
      <c r="M275" s="52"/>
    </row>
    <row r="276" spans="2:13" s="59" customFormat="1" ht="13.5">
      <c r="B276" s="50"/>
      <c r="C276" s="62" t="s">
        <v>3</v>
      </c>
      <c r="D276" s="62"/>
      <c r="E276" s="63" t="s">
        <v>102</v>
      </c>
      <c r="F276" s="63" t="s">
        <v>107</v>
      </c>
      <c r="G276" s="64"/>
      <c r="H276" s="51"/>
      <c r="I276" s="51"/>
      <c r="J276" s="51"/>
      <c r="K276" s="51"/>
      <c r="L276" s="51"/>
      <c r="M276" s="52"/>
    </row>
    <row r="277" spans="2:13" s="59" customFormat="1" ht="13.5">
      <c r="B277" s="50"/>
      <c r="C277" s="62" t="s">
        <v>108</v>
      </c>
      <c r="D277" s="62"/>
      <c r="E277" s="63" t="s">
        <v>102</v>
      </c>
      <c r="F277" s="63" t="s">
        <v>109</v>
      </c>
      <c r="G277" s="64"/>
      <c r="H277" s="51"/>
      <c r="I277" s="51"/>
      <c r="J277" s="51"/>
      <c r="K277" s="51"/>
      <c r="L277" s="51"/>
      <c r="M277" s="52"/>
    </row>
    <row r="278" spans="2:13" s="59" customFormat="1" ht="13.5">
      <c r="B278" s="50"/>
      <c r="C278" s="62" t="s">
        <v>110</v>
      </c>
      <c r="D278" s="62"/>
      <c r="E278" s="63" t="s">
        <v>102</v>
      </c>
      <c r="F278" s="63" t="s">
        <v>111</v>
      </c>
      <c r="G278" s="64"/>
      <c r="H278" s="51"/>
      <c r="I278" s="51"/>
      <c r="J278" s="51"/>
      <c r="K278" s="51"/>
      <c r="L278" s="51"/>
      <c r="M278" s="52"/>
    </row>
    <row r="279" spans="2:13" s="59" customFormat="1" ht="13.5">
      <c r="B279" s="50"/>
      <c r="C279" s="62" t="s">
        <v>112</v>
      </c>
      <c r="D279" s="62"/>
      <c r="E279" s="63" t="s">
        <v>102</v>
      </c>
      <c r="F279" s="63" t="s">
        <v>113</v>
      </c>
      <c r="G279" s="64"/>
      <c r="H279" s="51"/>
      <c r="I279" s="51"/>
      <c r="J279" s="51"/>
      <c r="K279" s="51"/>
      <c r="L279" s="51"/>
      <c r="M279" s="52"/>
    </row>
    <row r="280" spans="2:13" s="59" customFormat="1" ht="13.5">
      <c r="B280" s="50"/>
      <c r="C280" s="62" t="s">
        <v>114</v>
      </c>
      <c r="D280" s="62"/>
      <c r="E280" s="63" t="s">
        <v>102</v>
      </c>
      <c r="F280" s="63" t="s">
        <v>115</v>
      </c>
      <c r="G280" s="64"/>
      <c r="H280" s="51"/>
      <c r="I280" s="51"/>
      <c r="J280" s="51"/>
      <c r="K280" s="51"/>
      <c r="L280" s="51"/>
      <c r="M280" s="52"/>
    </row>
    <row r="281" spans="2:13" s="59" customFormat="1" ht="13.5">
      <c r="B281" s="50"/>
      <c r="C281" s="62" t="s">
        <v>116</v>
      </c>
      <c r="D281" s="62"/>
      <c r="E281" s="63" t="s">
        <v>102</v>
      </c>
      <c r="F281" s="63" t="s">
        <v>117</v>
      </c>
      <c r="G281" s="64"/>
      <c r="H281" s="51"/>
      <c r="I281" s="51"/>
      <c r="J281" s="51"/>
      <c r="K281" s="51"/>
      <c r="L281" s="51"/>
      <c r="M281" s="52"/>
    </row>
    <row r="282" spans="2:13" s="59" customFormat="1" ht="13.5">
      <c r="B282" s="50"/>
      <c r="C282" s="62"/>
      <c r="D282" s="62"/>
      <c r="E282" s="63" t="s">
        <v>118</v>
      </c>
      <c r="F282" s="63"/>
      <c r="G282" s="64"/>
      <c r="H282" s="51"/>
      <c r="I282" s="51"/>
      <c r="J282" s="51"/>
      <c r="K282" s="51"/>
      <c r="L282" s="51"/>
      <c r="M282" s="52"/>
    </row>
    <row r="283" spans="2:13" s="59" customFormat="1" ht="13.5">
      <c r="B283" s="50"/>
      <c r="C283" s="51"/>
      <c r="D283" s="51"/>
      <c r="E283" s="51"/>
      <c r="F283" s="51"/>
      <c r="G283" s="51"/>
      <c r="H283" s="51"/>
      <c r="I283" s="51"/>
      <c r="J283" s="51"/>
      <c r="K283" s="51"/>
      <c r="L283" s="51"/>
      <c r="M283" s="52"/>
    </row>
    <row r="284" spans="2:13">
      <c r="B284" s="66"/>
      <c r="C284" s="60" t="s">
        <v>119</v>
      </c>
      <c r="D284" s="67"/>
      <c r="E284" s="67"/>
      <c r="F284" s="67"/>
      <c r="G284" s="67"/>
      <c r="H284" s="67"/>
      <c r="I284" s="67"/>
      <c r="J284" s="67"/>
      <c r="K284" s="67"/>
      <c r="L284" s="67"/>
      <c r="M284" s="58"/>
    </row>
    <row r="285" spans="2:13">
      <c r="B285" s="66"/>
      <c r="C285" s="68" t="s">
        <v>120</v>
      </c>
      <c r="D285" s="69">
        <v>-2</v>
      </c>
      <c r="E285" s="70" t="s">
        <v>123</v>
      </c>
      <c r="F285" s="70" t="s">
        <v>125</v>
      </c>
      <c r="G285" s="70"/>
      <c r="H285" s="70"/>
      <c r="I285" s="70"/>
      <c r="J285" s="70"/>
      <c r="K285" s="71"/>
      <c r="L285" s="67"/>
      <c r="M285" s="58"/>
    </row>
    <row r="286" spans="2:13">
      <c r="B286" s="66"/>
      <c r="C286" s="72" t="s">
        <v>121</v>
      </c>
      <c r="D286" s="73" t="s">
        <v>122</v>
      </c>
      <c r="E286" s="70" t="s">
        <v>129</v>
      </c>
      <c r="F286" s="70" t="s">
        <v>161</v>
      </c>
      <c r="G286" s="70"/>
      <c r="H286" s="70"/>
      <c r="I286" s="70"/>
      <c r="J286" s="70"/>
      <c r="K286" s="71"/>
      <c r="L286" s="67"/>
      <c r="M286" s="58"/>
    </row>
    <row r="287" spans="2:13">
      <c r="B287" s="66"/>
      <c r="C287" s="72" t="s">
        <v>123</v>
      </c>
      <c r="D287" s="73" t="s">
        <v>129</v>
      </c>
      <c r="E287" s="70"/>
      <c r="F287" s="70"/>
      <c r="G287" s="70"/>
      <c r="H287" s="70"/>
      <c r="I287" s="70"/>
      <c r="J287" s="70"/>
      <c r="K287" s="71"/>
      <c r="L287" s="67"/>
      <c r="M287" s="58"/>
    </row>
    <row r="288" spans="2:13">
      <c r="B288" s="66"/>
      <c r="C288" s="72" t="s">
        <v>125</v>
      </c>
      <c r="D288" s="73" t="s">
        <v>161</v>
      </c>
      <c r="E288" s="70"/>
      <c r="F288" s="70"/>
      <c r="G288" s="70"/>
      <c r="H288" s="70"/>
      <c r="I288" s="70"/>
      <c r="J288" s="70"/>
      <c r="K288" s="71"/>
      <c r="L288" s="67"/>
      <c r="M288" s="58"/>
    </row>
    <row r="289" spans="2:13">
      <c r="B289" s="66"/>
      <c r="C289" s="37"/>
      <c r="D289" s="67"/>
      <c r="E289" s="67"/>
      <c r="F289" s="67"/>
      <c r="G289" s="67"/>
      <c r="H289" s="67"/>
      <c r="I289" s="67"/>
      <c r="J289" s="67"/>
      <c r="K289" s="67"/>
      <c r="L289" s="67"/>
      <c r="M289" s="58"/>
    </row>
    <row r="290" spans="2:13">
      <c r="B290" s="66"/>
      <c r="C290" s="37"/>
      <c r="D290" s="67"/>
      <c r="E290" s="67"/>
      <c r="F290" s="67"/>
      <c r="G290" s="67"/>
      <c r="H290" s="67"/>
      <c r="I290" s="67"/>
      <c r="J290" s="67"/>
      <c r="K290" s="67"/>
      <c r="L290" s="67"/>
      <c r="M290" s="58"/>
    </row>
    <row r="291" spans="2:13">
      <c r="B291" s="53"/>
      <c r="C291" s="54" t="s">
        <v>91</v>
      </c>
      <c r="D291" s="55" t="s">
        <v>131</v>
      </c>
      <c r="E291" s="56"/>
      <c r="F291" s="57"/>
      <c r="G291" s="57"/>
      <c r="H291" s="57"/>
      <c r="I291" s="57"/>
      <c r="J291" s="57"/>
      <c r="K291" s="57"/>
      <c r="L291" s="57"/>
      <c r="M291" s="58"/>
    </row>
    <row r="292" spans="2:13" s="59" customFormat="1" ht="13.5">
      <c r="B292" s="50"/>
      <c r="C292" s="60" t="s">
        <v>93</v>
      </c>
      <c r="D292" s="51"/>
      <c r="E292" s="51"/>
      <c r="F292" s="51"/>
      <c r="G292" s="51"/>
      <c r="H292" s="51"/>
      <c r="I292" s="51"/>
      <c r="J292" s="51"/>
      <c r="K292" s="51"/>
      <c r="L292" s="51"/>
      <c r="M292" s="52"/>
    </row>
    <row r="293" spans="2:13" s="59" customFormat="1" ht="13.5">
      <c r="B293" s="50"/>
      <c r="C293" s="61"/>
      <c r="D293" s="62"/>
      <c r="E293" s="63" t="s">
        <v>94</v>
      </c>
      <c r="F293" s="63" t="s">
        <v>95</v>
      </c>
      <c r="G293" s="64"/>
      <c r="H293" s="51"/>
      <c r="I293" s="51"/>
      <c r="J293" s="51"/>
      <c r="K293" s="51"/>
      <c r="L293" s="51"/>
      <c r="M293" s="52"/>
    </row>
    <row r="294" spans="2:13" s="59" customFormat="1" ht="13.5">
      <c r="B294" s="50"/>
      <c r="C294" s="61"/>
      <c r="D294" s="62"/>
      <c r="E294" s="63" t="s">
        <v>96</v>
      </c>
      <c r="F294" s="63" t="s">
        <v>97</v>
      </c>
      <c r="G294" s="64"/>
      <c r="H294" s="51"/>
      <c r="I294" s="51"/>
      <c r="J294" s="51"/>
      <c r="K294" s="51"/>
      <c r="L294" s="51"/>
      <c r="M294" s="52"/>
    </row>
    <row r="295" spans="2:13" s="59" customFormat="1" ht="13.5">
      <c r="B295" s="50"/>
      <c r="C295" s="62" t="s">
        <v>98</v>
      </c>
      <c r="D295" s="62"/>
      <c r="E295" s="63" t="s">
        <v>99</v>
      </c>
      <c r="F295" s="63" t="s">
        <v>128</v>
      </c>
      <c r="G295" s="64"/>
      <c r="H295" s="51"/>
      <c r="I295" s="51"/>
      <c r="J295" s="51"/>
      <c r="K295" s="51"/>
      <c r="L295" s="51"/>
      <c r="M295" s="52"/>
    </row>
    <row r="296" spans="2:13" s="59" customFormat="1" ht="13.5">
      <c r="B296" s="50"/>
      <c r="C296" s="62" t="s">
        <v>101</v>
      </c>
      <c r="D296" s="62"/>
      <c r="E296" s="63" t="s">
        <v>102</v>
      </c>
      <c r="F296" s="63" t="s">
        <v>103</v>
      </c>
      <c r="G296" s="64"/>
      <c r="H296" s="51"/>
      <c r="I296" s="51"/>
      <c r="J296" s="51"/>
      <c r="K296" s="51"/>
      <c r="L296" s="51"/>
      <c r="M296" s="52"/>
    </row>
    <row r="297" spans="2:13" s="59" customFormat="1" ht="13.5">
      <c r="B297" s="50"/>
      <c r="C297" s="62" t="s">
        <v>104</v>
      </c>
      <c r="D297" s="62"/>
      <c r="E297" s="63" t="s">
        <v>102</v>
      </c>
      <c r="F297" s="65" t="s">
        <v>159</v>
      </c>
      <c r="G297" s="64"/>
      <c r="H297" s="51"/>
      <c r="I297" s="51"/>
      <c r="J297" s="51"/>
      <c r="K297" s="51"/>
      <c r="L297" s="51"/>
      <c r="M297" s="52"/>
    </row>
    <row r="298" spans="2:13" s="59" customFormat="1" ht="13.5">
      <c r="B298" s="50"/>
      <c r="C298" s="62" t="s">
        <v>106</v>
      </c>
      <c r="D298" s="62"/>
      <c r="E298" s="63" t="s">
        <v>102</v>
      </c>
      <c r="F298" s="63" t="s">
        <v>105</v>
      </c>
      <c r="G298" s="64"/>
      <c r="H298" s="51"/>
      <c r="I298" s="51"/>
      <c r="J298" s="51"/>
      <c r="K298" s="51"/>
      <c r="L298" s="51"/>
      <c r="M298" s="52"/>
    </row>
    <row r="299" spans="2:13" s="59" customFormat="1" ht="13.5">
      <c r="B299" s="50"/>
      <c r="C299" s="62" t="s">
        <v>3</v>
      </c>
      <c r="D299" s="62"/>
      <c r="E299" s="63" t="s">
        <v>102</v>
      </c>
      <c r="F299" s="63" t="s">
        <v>107</v>
      </c>
      <c r="G299" s="64"/>
      <c r="H299" s="51"/>
      <c r="I299" s="51"/>
      <c r="J299" s="51"/>
      <c r="K299" s="51"/>
      <c r="L299" s="51"/>
      <c r="M299" s="52"/>
    </row>
    <row r="300" spans="2:13" s="59" customFormat="1" ht="13.5">
      <c r="B300" s="50"/>
      <c r="C300" s="62" t="s">
        <v>108</v>
      </c>
      <c r="D300" s="62"/>
      <c r="E300" s="63" t="s">
        <v>102</v>
      </c>
      <c r="F300" s="63" t="s">
        <v>109</v>
      </c>
      <c r="G300" s="64"/>
      <c r="H300" s="51"/>
      <c r="I300" s="51"/>
      <c r="J300" s="51"/>
      <c r="K300" s="51"/>
      <c r="L300" s="51"/>
      <c r="M300" s="52"/>
    </row>
    <row r="301" spans="2:13" s="59" customFormat="1" ht="13.5">
      <c r="B301" s="50"/>
      <c r="C301" s="62" t="s">
        <v>110</v>
      </c>
      <c r="D301" s="62"/>
      <c r="E301" s="63" t="s">
        <v>102</v>
      </c>
      <c r="F301" s="63" t="s">
        <v>111</v>
      </c>
      <c r="G301" s="64"/>
      <c r="H301" s="51"/>
      <c r="I301" s="51"/>
      <c r="J301" s="51"/>
      <c r="K301" s="51"/>
      <c r="L301" s="51"/>
      <c r="M301" s="52"/>
    </row>
    <row r="302" spans="2:13" s="59" customFormat="1" ht="13.5">
      <c r="B302" s="50"/>
      <c r="C302" s="62" t="s">
        <v>112</v>
      </c>
      <c r="D302" s="62"/>
      <c r="E302" s="63" t="s">
        <v>102</v>
      </c>
      <c r="F302" s="63" t="s">
        <v>113</v>
      </c>
      <c r="G302" s="64"/>
      <c r="H302" s="51"/>
      <c r="I302" s="51"/>
      <c r="J302" s="51"/>
      <c r="K302" s="51"/>
      <c r="L302" s="51"/>
      <c r="M302" s="52"/>
    </row>
    <row r="303" spans="2:13" s="59" customFormat="1" ht="13.5">
      <c r="B303" s="50"/>
      <c r="C303" s="62" t="s">
        <v>114</v>
      </c>
      <c r="D303" s="62"/>
      <c r="E303" s="63" t="s">
        <v>102</v>
      </c>
      <c r="F303" s="63" t="s">
        <v>115</v>
      </c>
      <c r="G303" s="64"/>
      <c r="H303" s="51"/>
      <c r="I303" s="51"/>
      <c r="J303" s="51"/>
      <c r="K303" s="51"/>
      <c r="L303" s="51"/>
      <c r="M303" s="52"/>
    </row>
    <row r="304" spans="2:13" s="59" customFormat="1" ht="13.5">
      <c r="B304" s="50"/>
      <c r="C304" s="62" t="s">
        <v>116</v>
      </c>
      <c r="D304" s="62"/>
      <c r="E304" s="63" t="s">
        <v>102</v>
      </c>
      <c r="F304" s="63" t="s">
        <v>117</v>
      </c>
      <c r="G304" s="64"/>
      <c r="H304" s="51"/>
      <c r="I304" s="51"/>
      <c r="J304" s="51"/>
      <c r="K304" s="51"/>
      <c r="L304" s="51"/>
      <c r="M304" s="52"/>
    </row>
    <row r="305" spans="2:13" s="59" customFormat="1" ht="13.5">
      <c r="B305" s="50"/>
      <c r="C305" s="62"/>
      <c r="D305" s="62"/>
      <c r="E305" s="63" t="s">
        <v>118</v>
      </c>
      <c r="F305" s="63"/>
      <c r="G305" s="64"/>
      <c r="H305" s="51"/>
      <c r="I305" s="51"/>
      <c r="J305" s="51"/>
      <c r="K305" s="51"/>
      <c r="L305" s="51"/>
      <c r="M305" s="52"/>
    </row>
    <row r="306" spans="2:13" s="59" customFormat="1" ht="13.5">
      <c r="B306" s="50"/>
      <c r="C306" s="51"/>
      <c r="D306" s="51"/>
      <c r="E306" s="51"/>
      <c r="F306" s="51"/>
      <c r="G306" s="51"/>
      <c r="H306" s="51"/>
      <c r="I306" s="51"/>
      <c r="J306" s="51"/>
      <c r="K306" s="51"/>
      <c r="L306" s="51"/>
      <c r="M306" s="52"/>
    </row>
    <row r="307" spans="2:13">
      <c r="B307" s="66"/>
      <c r="C307" s="60" t="s">
        <v>119</v>
      </c>
      <c r="D307" s="67"/>
      <c r="E307" s="67"/>
      <c r="F307" s="67"/>
      <c r="G307" s="67"/>
      <c r="H307" s="67"/>
      <c r="I307" s="67"/>
      <c r="J307" s="67"/>
      <c r="K307" s="67"/>
      <c r="L307" s="67"/>
      <c r="M307" s="58"/>
    </row>
    <row r="308" spans="2:13">
      <c r="B308" s="66"/>
      <c r="C308" s="68" t="s">
        <v>120</v>
      </c>
      <c r="D308" s="69">
        <v>-2</v>
      </c>
      <c r="E308" s="70"/>
      <c r="F308" s="70"/>
      <c r="G308" s="70"/>
      <c r="H308" s="70"/>
      <c r="I308" s="70"/>
      <c r="J308" s="70"/>
      <c r="K308" s="71"/>
      <c r="L308" s="67"/>
      <c r="M308" s="58"/>
    </row>
    <row r="309" spans="2:13">
      <c r="B309" s="66"/>
      <c r="C309" s="72" t="s">
        <v>121</v>
      </c>
      <c r="D309" s="73" t="s">
        <v>122</v>
      </c>
      <c r="E309" s="70"/>
      <c r="F309" s="70"/>
      <c r="G309" s="70"/>
      <c r="H309" s="70"/>
      <c r="I309" s="70"/>
      <c r="J309" s="70"/>
      <c r="K309" s="71"/>
      <c r="L309" s="67"/>
      <c r="M309" s="58"/>
    </row>
    <row r="310" spans="2:13">
      <c r="B310" s="66"/>
      <c r="C310" s="72" t="s">
        <v>123</v>
      </c>
      <c r="D310" s="73" t="s">
        <v>132</v>
      </c>
      <c r="E310" s="70"/>
      <c r="F310" s="70"/>
      <c r="G310" s="70"/>
      <c r="H310" s="70"/>
      <c r="I310" s="70"/>
      <c r="J310" s="70"/>
      <c r="K310" s="71"/>
      <c r="L310" s="67"/>
      <c r="M310" s="58"/>
    </row>
    <row r="311" spans="2:13">
      <c r="B311" s="66"/>
      <c r="C311" s="72" t="s">
        <v>125</v>
      </c>
      <c r="D311" s="73" t="s">
        <v>162</v>
      </c>
      <c r="E311" s="70"/>
      <c r="F311" s="70"/>
      <c r="G311" s="70"/>
      <c r="H311" s="70"/>
      <c r="I311" s="70"/>
      <c r="J311" s="70"/>
      <c r="K311" s="71"/>
      <c r="L311" s="67"/>
      <c r="M311" s="58"/>
    </row>
    <row r="312" spans="2:13">
      <c r="B312" s="66"/>
      <c r="C312" s="37"/>
      <c r="D312" s="67"/>
      <c r="E312" s="67"/>
      <c r="F312" s="67"/>
      <c r="G312" s="67"/>
      <c r="H312" s="67"/>
      <c r="I312" s="67"/>
      <c r="J312" s="67"/>
      <c r="K312" s="67"/>
      <c r="L312" s="67"/>
      <c r="M312" s="58"/>
    </row>
    <row r="313" spans="2:13">
      <c r="B313" s="66"/>
      <c r="C313" s="37"/>
      <c r="D313" s="67"/>
      <c r="E313" s="67"/>
      <c r="F313" s="67"/>
      <c r="G313" s="67"/>
      <c r="H313" s="67"/>
      <c r="I313" s="67"/>
      <c r="J313" s="67"/>
      <c r="K313" s="67"/>
      <c r="L313" s="67"/>
      <c r="M313" s="58"/>
    </row>
    <row r="314" spans="2:13">
      <c r="B314" s="53"/>
      <c r="C314" s="54" t="s">
        <v>91</v>
      </c>
      <c r="D314" s="55" t="s">
        <v>134</v>
      </c>
      <c r="E314" s="56"/>
      <c r="F314" s="57"/>
      <c r="G314" s="57"/>
      <c r="H314" s="57"/>
      <c r="I314" s="57"/>
      <c r="J314" s="57"/>
      <c r="K314" s="57"/>
      <c r="L314" s="57"/>
      <c r="M314" s="58"/>
    </row>
    <row r="315" spans="2:13" s="59" customFormat="1" ht="13.5">
      <c r="B315" s="50"/>
      <c r="C315" s="60" t="s">
        <v>93</v>
      </c>
      <c r="D315" s="51"/>
      <c r="E315" s="51"/>
      <c r="F315" s="51"/>
      <c r="G315" s="51"/>
      <c r="H315" s="51"/>
      <c r="I315" s="51"/>
      <c r="J315" s="51"/>
      <c r="K315" s="51"/>
      <c r="L315" s="51"/>
      <c r="M315" s="52"/>
    </row>
    <row r="316" spans="2:13" s="59" customFormat="1" ht="13.5">
      <c r="B316" s="50"/>
      <c r="C316" s="61"/>
      <c r="D316" s="62"/>
      <c r="E316" s="63" t="s">
        <v>94</v>
      </c>
      <c r="F316" s="63" t="s">
        <v>95</v>
      </c>
      <c r="G316" s="64"/>
      <c r="H316" s="51"/>
      <c r="I316" s="51"/>
      <c r="J316" s="51"/>
      <c r="K316" s="51"/>
      <c r="L316" s="51"/>
      <c r="M316" s="52"/>
    </row>
    <row r="317" spans="2:13" s="59" customFormat="1" ht="13.5">
      <c r="B317" s="50"/>
      <c r="C317" s="61"/>
      <c r="D317" s="62"/>
      <c r="E317" s="63" t="s">
        <v>96</v>
      </c>
      <c r="F317" s="63" t="s">
        <v>97</v>
      </c>
      <c r="G317" s="64"/>
      <c r="H317" s="51"/>
      <c r="I317" s="51"/>
      <c r="J317" s="51"/>
      <c r="K317" s="51"/>
      <c r="L317" s="51"/>
      <c r="M317" s="52"/>
    </row>
    <row r="318" spans="2:13" s="59" customFormat="1" ht="13.5">
      <c r="B318" s="50"/>
      <c r="C318" s="62" t="s">
        <v>98</v>
      </c>
      <c r="D318" s="62"/>
      <c r="E318" s="63" t="s">
        <v>99</v>
      </c>
      <c r="F318" s="63" t="s">
        <v>128</v>
      </c>
      <c r="G318" s="64"/>
      <c r="H318" s="51"/>
      <c r="I318" s="51"/>
      <c r="J318" s="51"/>
      <c r="K318" s="51"/>
      <c r="L318" s="51"/>
      <c r="M318" s="52"/>
    </row>
    <row r="319" spans="2:13" s="59" customFormat="1" ht="13.5">
      <c r="B319" s="50"/>
      <c r="C319" s="62" t="s">
        <v>101</v>
      </c>
      <c r="D319" s="62"/>
      <c r="E319" s="63" t="s">
        <v>102</v>
      </c>
      <c r="F319" s="63" t="s">
        <v>103</v>
      </c>
      <c r="G319" s="64"/>
      <c r="H319" s="51"/>
      <c r="I319" s="51"/>
      <c r="J319" s="51"/>
      <c r="K319" s="51"/>
      <c r="L319" s="51"/>
      <c r="M319" s="52"/>
    </row>
    <row r="320" spans="2:13" s="59" customFormat="1" ht="13.5">
      <c r="B320" s="50"/>
      <c r="C320" s="62" t="s">
        <v>104</v>
      </c>
      <c r="D320" s="62"/>
      <c r="E320" s="63" t="s">
        <v>102</v>
      </c>
      <c r="F320" s="63" t="s">
        <v>105</v>
      </c>
      <c r="G320" s="64"/>
      <c r="H320" s="51"/>
      <c r="I320" s="51"/>
      <c r="J320" s="51"/>
      <c r="K320" s="51"/>
      <c r="L320" s="51"/>
      <c r="M320" s="52"/>
    </row>
    <row r="321" spans="2:13" s="59" customFormat="1" ht="13.5">
      <c r="B321" s="50"/>
      <c r="C321" s="62" t="s">
        <v>106</v>
      </c>
      <c r="D321" s="62"/>
      <c r="E321" s="63" t="s">
        <v>102</v>
      </c>
      <c r="F321" s="65" t="s">
        <v>159</v>
      </c>
      <c r="G321" s="64"/>
      <c r="H321" s="51"/>
      <c r="I321" s="51"/>
      <c r="J321" s="51"/>
      <c r="K321" s="51"/>
      <c r="L321" s="51"/>
      <c r="M321" s="52"/>
    </row>
    <row r="322" spans="2:13" s="59" customFormat="1" ht="13.5">
      <c r="B322" s="50"/>
      <c r="C322" s="62" t="s">
        <v>3</v>
      </c>
      <c r="D322" s="62"/>
      <c r="E322" s="63" t="s">
        <v>102</v>
      </c>
      <c r="F322" s="63" t="s">
        <v>107</v>
      </c>
      <c r="G322" s="64"/>
      <c r="H322" s="51"/>
      <c r="I322" s="51"/>
      <c r="J322" s="51"/>
      <c r="K322" s="51"/>
      <c r="L322" s="51"/>
      <c r="M322" s="52"/>
    </row>
    <row r="323" spans="2:13" s="59" customFormat="1" ht="13.5">
      <c r="B323" s="50"/>
      <c r="C323" s="62" t="s">
        <v>108</v>
      </c>
      <c r="D323" s="62"/>
      <c r="E323" s="63" t="s">
        <v>102</v>
      </c>
      <c r="F323" s="63" t="s">
        <v>109</v>
      </c>
      <c r="G323" s="64"/>
      <c r="H323" s="51"/>
      <c r="I323" s="51"/>
      <c r="J323" s="51"/>
      <c r="K323" s="51"/>
      <c r="L323" s="51"/>
      <c r="M323" s="52"/>
    </row>
    <row r="324" spans="2:13" s="59" customFormat="1" ht="13.5">
      <c r="B324" s="50"/>
      <c r="C324" s="62" t="s">
        <v>110</v>
      </c>
      <c r="D324" s="62"/>
      <c r="E324" s="63" t="s">
        <v>102</v>
      </c>
      <c r="F324" s="63" t="s">
        <v>111</v>
      </c>
      <c r="G324" s="64"/>
      <c r="H324" s="51"/>
      <c r="I324" s="51"/>
      <c r="J324" s="51"/>
      <c r="K324" s="51"/>
      <c r="L324" s="51"/>
      <c r="M324" s="52"/>
    </row>
    <row r="325" spans="2:13" s="59" customFormat="1" ht="13.5">
      <c r="B325" s="50"/>
      <c r="C325" s="62" t="s">
        <v>112</v>
      </c>
      <c r="D325" s="62"/>
      <c r="E325" s="63" t="s">
        <v>102</v>
      </c>
      <c r="F325" s="63" t="s">
        <v>113</v>
      </c>
      <c r="G325" s="64"/>
      <c r="H325" s="51"/>
      <c r="I325" s="51"/>
      <c r="J325" s="51"/>
      <c r="K325" s="51"/>
      <c r="L325" s="51"/>
      <c r="M325" s="52"/>
    </row>
    <row r="326" spans="2:13" s="59" customFormat="1" ht="13.5">
      <c r="B326" s="50"/>
      <c r="C326" s="62" t="s">
        <v>114</v>
      </c>
      <c r="D326" s="62"/>
      <c r="E326" s="63" t="s">
        <v>102</v>
      </c>
      <c r="F326" s="63" t="s">
        <v>115</v>
      </c>
      <c r="G326" s="64"/>
      <c r="H326" s="51"/>
      <c r="I326" s="51"/>
      <c r="J326" s="51"/>
      <c r="K326" s="51"/>
      <c r="L326" s="51"/>
      <c r="M326" s="52"/>
    </row>
    <row r="327" spans="2:13" s="59" customFormat="1" ht="13.5">
      <c r="B327" s="50"/>
      <c r="C327" s="62" t="s">
        <v>116</v>
      </c>
      <c r="D327" s="62"/>
      <c r="E327" s="63" t="s">
        <v>102</v>
      </c>
      <c r="F327" s="63" t="s">
        <v>117</v>
      </c>
      <c r="G327" s="64"/>
      <c r="H327" s="51"/>
      <c r="I327" s="51"/>
      <c r="J327" s="51"/>
      <c r="K327" s="51"/>
      <c r="L327" s="51"/>
      <c r="M327" s="52"/>
    </row>
    <row r="328" spans="2:13" s="59" customFormat="1" ht="13.5">
      <c r="B328" s="50"/>
      <c r="C328" s="62"/>
      <c r="D328" s="62"/>
      <c r="E328" s="63" t="s">
        <v>118</v>
      </c>
      <c r="F328" s="63"/>
      <c r="G328" s="64"/>
      <c r="H328" s="51"/>
      <c r="I328" s="51"/>
      <c r="J328" s="51"/>
      <c r="K328" s="51"/>
      <c r="L328" s="51"/>
      <c r="M328" s="52"/>
    </row>
    <row r="329" spans="2:13" s="59" customFormat="1" ht="13.5">
      <c r="B329" s="50"/>
      <c r="C329" s="51"/>
      <c r="D329" s="51"/>
      <c r="E329" s="51"/>
      <c r="F329" s="51"/>
      <c r="G329" s="51"/>
      <c r="H329" s="51"/>
      <c r="I329" s="51"/>
      <c r="J329" s="51"/>
      <c r="K329" s="51"/>
      <c r="L329" s="51"/>
      <c r="M329" s="52"/>
    </row>
    <row r="330" spans="2:13">
      <c r="B330" s="66"/>
      <c r="C330" s="60" t="s">
        <v>119</v>
      </c>
      <c r="D330" s="67"/>
      <c r="E330" s="67"/>
      <c r="F330" s="67"/>
      <c r="G330" s="67"/>
      <c r="H330" s="67"/>
      <c r="I330" s="67"/>
      <c r="J330" s="67"/>
      <c r="K330" s="67"/>
      <c r="L330" s="67"/>
      <c r="M330" s="58"/>
    </row>
    <row r="331" spans="2:13">
      <c r="B331" s="66"/>
      <c r="C331" s="68" t="s">
        <v>120</v>
      </c>
      <c r="D331" s="69">
        <v>-2</v>
      </c>
      <c r="E331" s="70"/>
      <c r="F331" s="70"/>
      <c r="G331" s="70"/>
      <c r="H331" s="70"/>
      <c r="I331" s="70"/>
      <c r="J331" s="70"/>
      <c r="K331" s="71"/>
      <c r="L331" s="67"/>
      <c r="M331" s="58"/>
    </row>
    <row r="332" spans="2:13">
      <c r="B332" s="66"/>
      <c r="C332" s="72" t="s">
        <v>121</v>
      </c>
      <c r="D332" s="73" t="s">
        <v>122</v>
      </c>
      <c r="E332" s="70"/>
      <c r="F332" s="70"/>
      <c r="G332" s="70"/>
      <c r="H332" s="70"/>
      <c r="I332" s="70"/>
      <c r="J332" s="70"/>
      <c r="K332" s="71"/>
      <c r="L332" s="67"/>
      <c r="M332" s="58"/>
    </row>
    <row r="333" spans="2:13">
      <c r="B333" s="66"/>
      <c r="C333" s="72" t="s">
        <v>123</v>
      </c>
      <c r="D333" s="73" t="s">
        <v>135</v>
      </c>
      <c r="E333" s="70"/>
      <c r="F333" s="70"/>
      <c r="G333" s="70"/>
      <c r="H333" s="70"/>
      <c r="I333" s="70"/>
      <c r="J333" s="70"/>
      <c r="K333" s="71"/>
      <c r="L333" s="67"/>
      <c r="M333" s="58"/>
    </row>
    <row r="334" spans="2:13">
      <c r="B334" s="66"/>
      <c r="C334" s="72" t="s">
        <v>125</v>
      </c>
      <c r="D334" s="73" t="s">
        <v>163</v>
      </c>
      <c r="E334" s="70"/>
      <c r="F334" s="70"/>
      <c r="G334" s="70"/>
      <c r="H334" s="70"/>
      <c r="I334" s="70"/>
      <c r="J334" s="70"/>
      <c r="K334" s="71"/>
      <c r="L334" s="67"/>
      <c r="M334" s="58"/>
    </row>
    <row r="335" spans="2:13">
      <c r="B335" s="66"/>
      <c r="C335" s="37"/>
      <c r="D335" s="67"/>
      <c r="E335" s="67"/>
      <c r="F335" s="67"/>
      <c r="G335" s="67"/>
      <c r="H335" s="67"/>
      <c r="I335" s="67"/>
      <c r="J335" s="67"/>
      <c r="K335" s="67"/>
      <c r="L335" s="67"/>
      <c r="M335" s="58"/>
    </row>
    <row r="336" spans="2:13">
      <c r="B336" s="66"/>
      <c r="C336" s="37"/>
      <c r="D336" s="67"/>
      <c r="E336" s="67"/>
      <c r="F336" s="67"/>
      <c r="G336" s="67"/>
      <c r="H336" s="67"/>
      <c r="I336" s="67"/>
      <c r="J336" s="67"/>
      <c r="K336" s="67"/>
      <c r="L336" s="67"/>
      <c r="M336" s="58"/>
    </row>
    <row r="337" spans="2:13">
      <c r="B337" s="53"/>
      <c r="C337" s="54" t="s">
        <v>91</v>
      </c>
      <c r="D337" s="55" t="s">
        <v>137</v>
      </c>
      <c r="E337" s="56"/>
      <c r="F337" s="57"/>
      <c r="G337" s="57"/>
      <c r="H337" s="57"/>
      <c r="I337" s="76" t="s">
        <v>138</v>
      </c>
      <c r="J337" s="57"/>
      <c r="K337" s="57"/>
      <c r="L337" s="57"/>
      <c r="M337" s="58"/>
    </row>
    <row r="338" spans="2:13" s="59" customFormat="1" ht="13.5">
      <c r="B338" s="50"/>
      <c r="C338" s="60" t="s">
        <v>93</v>
      </c>
      <c r="D338" s="51"/>
      <c r="E338" s="51"/>
      <c r="F338" s="51"/>
      <c r="G338" s="51"/>
      <c r="H338" s="51"/>
      <c r="I338" s="51"/>
      <c r="J338" s="51"/>
      <c r="K338" s="51"/>
      <c r="L338" s="51"/>
      <c r="M338" s="52"/>
    </row>
    <row r="339" spans="2:13" s="59" customFormat="1" ht="13.5">
      <c r="B339" s="50"/>
      <c r="C339" s="61"/>
      <c r="D339" s="62"/>
      <c r="E339" s="63" t="s">
        <v>94</v>
      </c>
      <c r="F339" s="63" t="s">
        <v>95</v>
      </c>
      <c r="G339" s="64"/>
      <c r="H339" s="51"/>
      <c r="I339" s="51"/>
      <c r="J339" s="51"/>
      <c r="K339" s="51"/>
      <c r="L339" s="51"/>
      <c r="M339" s="52"/>
    </row>
    <row r="340" spans="2:13" s="59" customFormat="1" ht="13.5">
      <c r="B340" s="50"/>
      <c r="C340" s="61"/>
      <c r="D340" s="62"/>
      <c r="E340" s="63" t="s">
        <v>96</v>
      </c>
      <c r="F340" s="63" t="s">
        <v>97</v>
      </c>
      <c r="G340" s="64"/>
      <c r="H340" s="51"/>
      <c r="I340" s="51"/>
      <c r="J340" s="51"/>
      <c r="K340" s="51"/>
      <c r="L340" s="51"/>
      <c r="M340" s="52"/>
    </row>
    <row r="341" spans="2:13" s="59" customFormat="1" ht="13.5">
      <c r="B341" s="50"/>
      <c r="C341" s="62" t="s">
        <v>98</v>
      </c>
      <c r="D341" s="62"/>
      <c r="E341" s="63" t="s">
        <v>99</v>
      </c>
      <c r="F341" s="63" t="s">
        <v>128</v>
      </c>
      <c r="G341" s="64"/>
      <c r="H341" s="51"/>
      <c r="I341" s="51"/>
      <c r="J341" s="51"/>
      <c r="K341" s="51"/>
      <c r="L341" s="51"/>
      <c r="M341" s="52"/>
    </row>
    <row r="342" spans="2:13" s="59" customFormat="1" ht="13.5">
      <c r="B342" s="50"/>
      <c r="C342" s="62" t="s">
        <v>101</v>
      </c>
      <c r="D342" s="62"/>
      <c r="E342" s="63" t="s">
        <v>102</v>
      </c>
      <c r="F342" s="63" t="s">
        <v>103</v>
      </c>
      <c r="G342" s="64"/>
      <c r="H342" s="51"/>
      <c r="I342" s="51"/>
      <c r="J342" s="51"/>
      <c r="K342" s="51"/>
      <c r="L342" s="51"/>
      <c r="M342" s="52"/>
    </row>
    <row r="343" spans="2:13" s="59" customFormat="1" ht="13.5">
      <c r="B343" s="50"/>
      <c r="C343" s="62" t="s">
        <v>104</v>
      </c>
      <c r="D343" s="62"/>
      <c r="E343" s="63" t="s">
        <v>102</v>
      </c>
      <c r="F343" s="63" t="s">
        <v>105</v>
      </c>
      <c r="G343" s="64"/>
      <c r="H343" s="51"/>
      <c r="I343" s="51"/>
      <c r="J343" s="51"/>
      <c r="K343" s="51"/>
      <c r="L343" s="51"/>
      <c r="M343" s="52"/>
    </row>
    <row r="344" spans="2:13" s="59" customFormat="1" ht="13.5">
      <c r="B344" s="50"/>
      <c r="C344" s="62" t="s">
        <v>106</v>
      </c>
      <c r="D344" s="62"/>
      <c r="E344" s="63" t="s">
        <v>102</v>
      </c>
      <c r="F344" s="63" t="s">
        <v>139</v>
      </c>
      <c r="G344" s="64"/>
      <c r="H344" s="51"/>
      <c r="I344" s="51"/>
      <c r="J344" s="51"/>
      <c r="K344" s="51"/>
      <c r="L344" s="51"/>
      <c r="M344" s="52"/>
    </row>
    <row r="345" spans="2:13" s="59" customFormat="1" ht="13.5">
      <c r="B345" s="50"/>
      <c r="C345" s="62" t="s">
        <v>3</v>
      </c>
      <c r="D345" s="62"/>
      <c r="E345" s="63" t="s">
        <v>102</v>
      </c>
      <c r="F345" s="65" t="s">
        <v>159</v>
      </c>
      <c r="G345" s="64"/>
      <c r="H345" s="51"/>
      <c r="I345" s="51"/>
      <c r="J345" s="51"/>
      <c r="K345" s="51"/>
      <c r="L345" s="51"/>
      <c r="M345" s="52"/>
    </row>
    <row r="346" spans="2:13" s="59" customFormat="1" ht="13.5">
      <c r="B346" s="50"/>
      <c r="C346" s="62" t="s">
        <v>108</v>
      </c>
      <c r="D346" s="62"/>
      <c r="E346" s="63" t="s">
        <v>102</v>
      </c>
      <c r="F346" s="63" t="s">
        <v>109</v>
      </c>
      <c r="G346" s="64"/>
      <c r="H346" s="51"/>
      <c r="I346" s="51"/>
      <c r="J346" s="51"/>
      <c r="K346" s="51"/>
      <c r="L346" s="51"/>
      <c r="M346" s="52"/>
    </row>
    <row r="347" spans="2:13" s="59" customFormat="1" ht="13.5">
      <c r="B347" s="50"/>
      <c r="C347" s="62" t="s">
        <v>110</v>
      </c>
      <c r="D347" s="62"/>
      <c r="E347" s="63" t="s">
        <v>102</v>
      </c>
      <c r="F347" s="63" t="s">
        <v>111</v>
      </c>
      <c r="G347" s="64"/>
      <c r="H347" s="51"/>
      <c r="I347" s="51"/>
      <c r="J347" s="51"/>
      <c r="K347" s="51"/>
      <c r="L347" s="51"/>
      <c r="M347" s="52"/>
    </row>
    <row r="348" spans="2:13" s="59" customFormat="1" ht="13.5">
      <c r="B348" s="50"/>
      <c r="C348" s="62" t="s">
        <v>112</v>
      </c>
      <c r="D348" s="62"/>
      <c r="E348" s="63" t="s">
        <v>102</v>
      </c>
      <c r="F348" s="63" t="s">
        <v>113</v>
      </c>
      <c r="G348" s="64"/>
      <c r="H348" s="51"/>
      <c r="I348" s="51"/>
      <c r="J348" s="51"/>
      <c r="K348" s="51"/>
      <c r="L348" s="51"/>
      <c r="M348" s="52"/>
    </row>
    <row r="349" spans="2:13" s="59" customFormat="1" ht="13.5">
      <c r="B349" s="50"/>
      <c r="C349" s="62" t="s">
        <v>114</v>
      </c>
      <c r="D349" s="62"/>
      <c r="E349" s="63" t="s">
        <v>102</v>
      </c>
      <c r="F349" s="63" t="s">
        <v>115</v>
      </c>
      <c r="G349" s="64"/>
      <c r="H349" s="51"/>
      <c r="I349" s="51"/>
      <c r="J349" s="51"/>
      <c r="K349" s="51"/>
      <c r="L349" s="51"/>
      <c r="M349" s="52"/>
    </row>
    <row r="350" spans="2:13" s="59" customFormat="1" ht="13.5">
      <c r="B350" s="50"/>
      <c r="C350" s="62" t="s">
        <v>116</v>
      </c>
      <c r="D350" s="62"/>
      <c r="E350" s="63" t="s">
        <v>102</v>
      </c>
      <c r="F350" s="63" t="s">
        <v>117</v>
      </c>
      <c r="G350" s="64"/>
      <c r="H350" s="51"/>
      <c r="I350" s="51"/>
      <c r="J350" s="51"/>
      <c r="K350" s="51"/>
      <c r="L350" s="51"/>
      <c r="M350" s="52"/>
    </row>
    <row r="351" spans="2:13" s="59" customFormat="1" ht="13.5">
      <c r="B351" s="50"/>
      <c r="C351" s="62"/>
      <c r="D351" s="62"/>
      <c r="E351" s="63" t="s">
        <v>118</v>
      </c>
      <c r="F351" s="63"/>
      <c r="G351" s="64"/>
      <c r="H351" s="51"/>
      <c r="I351" s="51"/>
      <c r="J351" s="51"/>
      <c r="K351" s="51"/>
      <c r="L351" s="51"/>
      <c r="M351" s="52"/>
    </row>
    <row r="352" spans="2:13">
      <c r="B352" s="66"/>
      <c r="C352" s="37"/>
      <c r="D352" s="35"/>
      <c r="E352" s="78"/>
      <c r="F352" s="67"/>
      <c r="G352" s="67"/>
      <c r="H352" s="67"/>
      <c r="I352" s="67"/>
      <c r="J352" s="67"/>
      <c r="K352" s="67"/>
      <c r="L352" s="67"/>
      <c r="M352" s="58"/>
    </row>
    <row r="353" spans="2:13">
      <c r="B353" s="66"/>
      <c r="C353" s="60" t="s">
        <v>119</v>
      </c>
      <c r="D353" s="77" t="s">
        <v>164</v>
      </c>
      <c r="E353" s="67"/>
      <c r="F353" s="67"/>
      <c r="G353" s="67"/>
      <c r="H353" s="67"/>
      <c r="I353" s="67"/>
      <c r="J353" s="67"/>
      <c r="K353" s="67"/>
      <c r="L353" s="67"/>
      <c r="M353" s="58"/>
    </row>
    <row r="354" spans="2:13">
      <c r="B354" s="66"/>
      <c r="C354" s="68" t="s">
        <v>120</v>
      </c>
      <c r="D354" s="69">
        <v>0</v>
      </c>
      <c r="E354" s="70"/>
      <c r="F354" s="70"/>
      <c r="G354" s="70"/>
      <c r="H354" s="70"/>
      <c r="I354" s="70"/>
      <c r="J354" s="70"/>
      <c r="K354" s="71"/>
      <c r="L354" s="67"/>
      <c r="M354" s="58"/>
    </row>
    <row r="355" spans="2:13">
      <c r="B355" s="66"/>
      <c r="C355" s="72" t="s">
        <v>121</v>
      </c>
      <c r="D355" s="73" t="s">
        <v>122</v>
      </c>
      <c r="E355" s="70"/>
      <c r="F355" s="70"/>
      <c r="G355" s="70"/>
      <c r="H355" s="70"/>
      <c r="I355" s="70"/>
      <c r="J355" s="70"/>
      <c r="K355" s="71"/>
      <c r="L355" s="67"/>
      <c r="M355" s="58"/>
    </row>
    <row r="356" spans="2:13">
      <c r="B356" s="66"/>
      <c r="C356" s="72" t="s">
        <v>123</v>
      </c>
      <c r="D356" s="73" t="s">
        <v>122</v>
      </c>
      <c r="E356" s="70"/>
      <c r="F356" s="70"/>
      <c r="G356" s="70"/>
      <c r="H356" s="70"/>
      <c r="I356" s="70"/>
      <c r="J356" s="70"/>
      <c r="K356" s="71"/>
      <c r="L356" s="67"/>
      <c r="M356" s="58"/>
    </row>
    <row r="357" spans="2:13">
      <c r="B357" s="66"/>
      <c r="C357" s="72" t="s">
        <v>125</v>
      </c>
      <c r="D357" s="73" t="s">
        <v>165</v>
      </c>
      <c r="E357" s="70"/>
      <c r="F357" s="70"/>
      <c r="G357" s="70"/>
      <c r="H357" s="70"/>
      <c r="I357" s="70"/>
      <c r="J357" s="70"/>
      <c r="K357" s="71"/>
      <c r="L357" s="67"/>
      <c r="M357" s="58"/>
    </row>
    <row r="358" spans="2:13">
      <c r="B358" s="66"/>
      <c r="C358" s="37"/>
      <c r="D358" s="67"/>
      <c r="E358" s="67"/>
      <c r="F358" s="67"/>
      <c r="G358" s="67"/>
      <c r="H358" s="67"/>
      <c r="I358" s="67"/>
      <c r="J358" s="67"/>
      <c r="K358" s="67"/>
      <c r="L358" s="67"/>
      <c r="M358" s="58"/>
    </row>
    <row r="359" spans="2:13">
      <c r="B359" s="66"/>
      <c r="C359" s="37"/>
      <c r="D359" s="67"/>
      <c r="E359" s="67"/>
      <c r="F359" s="67"/>
      <c r="G359" s="67"/>
      <c r="H359" s="67"/>
      <c r="I359" s="67"/>
      <c r="J359" s="67"/>
      <c r="K359" s="67"/>
      <c r="L359" s="67"/>
      <c r="M359" s="58"/>
    </row>
    <row r="360" spans="2:13">
      <c r="B360" s="53"/>
      <c r="C360" s="54" t="s">
        <v>91</v>
      </c>
      <c r="D360" s="55" t="s">
        <v>142</v>
      </c>
      <c r="E360" s="56"/>
      <c r="F360" s="57"/>
      <c r="G360" s="57"/>
      <c r="H360" s="57"/>
      <c r="I360" s="76" t="s">
        <v>138</v>
      </c>
      <c r="J360" s="57"/>
      <c r="K360" s="57"/>
      <c r="L360" s="57"/>
      <c r="M360" s="58"/>
    </row>
    <row r="361" spans="2:13" s="59" customFormat="1" ht="13.5">
      <c r="B361" s="50"/>
      <c r="C361" s="60" t="s">
        <v>93</v>
      </c>
      <c r="D361" s="51"/>
      <c r="E361" s="51"/>
      <c r="F361" s="51"/>
      <c r="G361" s="51"/>
      <c r="H361" s="51"/>
      <c r="I361" s="51"/>
      <c r="J361" s="51"/>
      <c r="K361" s="51"/>
      <c r="L361" s="51"/>
      <c r="M361" s="52"/>
    </row>
    <row r="362" spans="2:13" s="59" customFormat="1" ht="13.5">
      <c r="B362" s="50"/>
      <c r="C362" s="61"/>
      <c r="D362" s="62"/>
      <c r="E362" s="63" t="s">
        <v>94</v>
      </c>
      <c r="F362" s="63" t="s">
        <v>95</v>
      </c>
      <c r="G362" s="64"/>
      <c r="H362" s="51"/>
      <c r="I362" s="51"/>
      <c r="J362" s="51"/>
      <c r="K362" s="51"/>
      <c r="L362" s="51"/>
      <c r="M362" s="52"/>
    </row>
    <row r="363" spans="2:13" s="59" customFormat="1" ht="13.5">
      <c r="B363" s="50"/>
      <c r="C363" s="61"/>
      <c r="D363" s="62"/>
      <c r="E363" s="63" t="s">
        <v>96</v>
      </c>
      <c r="F363" s="63" t="s">
        <v>97</v>
      </c>
      <c r="G363" s="64"/>
      <c r="H363" s="51"/>
      <c r="I363" s="51"/>
      <c r="J363" s="51"/>
      <c r="K363" s="51"/>
      <c r="L363" s="51"/>
      <c r="M363" s="52"/>
    </row>
    <row r="364" spans="2:13" s="59" customFormat="1" ht="13.5">
      <c r="B364" s="50"/>
      <c r="C364" s="62" t="s">
        <v>98</v>
      </c>
      <c r="D364" s="62"/>
      <c r="E364" s="63" t="s">
        <v>99</v>
      </c>
      <c r="F364" s="63" t="s">
        <v>128</v>
      </c>
      <c r="G364" s="64"/>
      <c r="H364" s="51"/>
      <c r="I364" s="51"/>
      <c r="J364" s="51"/>
      <c r="K364" s="51"/>
      <c r="L364" s="51"/>
      <c r="M364" s="52"/>
    </row>
    <row r="365" spans="2:13" s="59" customFormat="1" ht="13.5">
      <c r="B365" s="50"/>
      <c r="C365" s="62" t="s">
        <v>101</v>
      </c>
      <c r="D365" s="62"/>
      <c r="E365" s="63" t="s">
        <v>102</v>
      </c>
      <c r="F365" s="63" t="s">
        <v>103</v>
      </c>
      <c r="G365" s="64"/>
      <c r="H365" s="51"/>
      <c r="I365" s="51"/>
      <c r="J365" s="51"/>
      <c r="K365" s="51"/>
      <c r="L365" s="51"/>
      <c r="M365" s="52"/>
    </row>
    <row r="366" spans="2:13" s="59" customFormat="1" ht="13.5">
      <c r="B366" s="50"/>
      <c r="C366" s="62" t="s">
        <v>104</v>
      </c>
      <c r="D366" s="62"/>
      <c r="E366" s="63" t="s">
        <v>102</v>
      </c>
      <c r="F366" s="63" t="s">
        <v>105</v>
      </c>
      <c r="G366" s="64"/>
      <c r="H366" s="51"/>
      <c r="I366" s="51"/>
      <c r="J366" s="51"/>
      <c r="K366" s="51"/>
      <c r="L366" s="51"/>
      <c r="M366" s="52"/>
    </row>
    <row r="367" spans="2:13" s="59" customFormat="1" ht="13.5">
      <c r="B367" s="50"/>
      <c r="C367" s="62" t="s">
        <v>106</v>
      </c>
      <c r="D367" s="62"/>
      <c r="E367" s="63" t="s">
        <v>102</v>
      </c>
      <c r="F367" s="63" t="s">
        <v>139</v>
      </c>
      <c r="G367" s="64"/>
      <c r="H367" s="51"/>
      <c r="I367" s="51"/>
      <c r="J367" s="51"/>
      <c r="K367" s="51"/>
      <c r="L367" s="51"/>
      <c r="M367" s="52"/>
    </row>
    <row r="368" spans="2:13" s="59" customFormat="1" ht="13.5">
      <c r="B368" s="50"/>
      <c r="C368" s="62" t="s">
        <v>3</v>
      </c>
      <c r="D368" s="62"/>
      <c r="E368" s="63" t="s">
        <v>102</v>
      </c>
      <c r="F368" s="63" t="s">
        <v>107</v>
      </c>
      <c r="G368" s="64"/>
      <c r="H368" s="51"/>
      <c r="I368" s="51"/>
      <c r="J368" s="51"/>
      <c r="K368" s="51"/>
      <c r="L368" s="51"/>
      <c r="M368" s="52"/>
    </row>
    <row r="369" spans="2:13" s="59" customFormat="1" ht="13.5">
      <c r="B369" s="50"/>
      <c r="C369" s="62" t="s">
        <v>108</v>
      </c>
      <c r="D369" s="62"/>
      <c r="E369" s="63" t="s">
        <v>102</v>
      </c>
      <c r="F369" s="65" t="s">
        <v>159</v>
      </c>
      <c r="G369" s="64"/>
      <c r="H369" s="51"/>
      <c r="I369" s="51"/>
      <c r="J369" s="51"/>
      <c r="K369" s="51"/>
      <c r="L369" s="51"/>
      <c r="M369" s="52"/>
    </row>
    <row r="370" spans="2:13" s="59" customFormat="1" ht="13.5">
      <c r="B370" s="50"/>
      <c r="C370" s="62" t="s">
        <v>110</v>
      </c>
      <c r="D370" s="62"/>
      <c r="E370" s="63" t="s">
        <v>102</v>
      </c>
      <c r="F370" s="63" t="s">
        <v>111</v>
      </c>
      <c r="G370" s="64"/>
      <c r="H370" s="51"/>
      <c r="I370" s="51"/>
      <c r="J370" s="51"/>
      <c r="K370" s="51"/>
      <c r="L370" s="51"/>
      <c r="M370" s="52"/>
    </row>
    <row r="371" spans="2:13" s="59" customFormat="1" ht="13.5">
      <c r="B371" s="50"/>
      <c r="C371" s="62" t="s">
        <v>112</v>
      </c>
      <c r="D371" s="62"/>
      <c r="E371" s="63" t="s">
        <v>102</v>
      </c>
      <c r="F371" s="63" t="s">
        <v>113</v>
      </c>
      <c r="G371" s="64"/>
      <c r="H371" s="51"/>
      <c r="I371" s="51"/>
      <c r="J371" s="51"/>
      <c r="K371" s="51"/>
      <c r="L371" s="51"/>
      <c r="M371" s="52"/>
    </row>
    <row r="372" spans="2:13" s="59" customFormat="1" ht="13.5">
      <c r="B372" s="50"/>
      <c r="C372" s="62" t="s">
        <v>114</v>
      </c>
      <c r="D372" s="62"/>
      <c r="E372" s="63" t="s">
        <v>102</v>
      </c>
      <c r="F372" s="63" t="s">
        <v>115</v>
      </c>
      <c r="G372" s="64"/>
      <c r="H372" s="51"/>
      <c r="I372" s="51"/>
      <c r="J372" s="51"/>
      <c r="K372" s="51"/>
      <c r="L372" s="51"/>
      <c r="M372" s="52"/>
    </row>
    <row r="373" spans="2:13" s="59" customFormat="1" ht="13.5">
      <c r="B373" s="50"/>
      <c r="C373" s="62" t="s">
        <v>116</v>
      </c>
      <c r="D373" s="62"/>
      <c r="E373" s="63" t="s">
        <v>102</v>
      </c>
      <c r="F373" s="63" t="s">
        <v>117</v>
      </c>
      <c r="G373" s="64"/>
      <c r="H373" s="51"/>
      <c r="I373" s="51"/>
      <c r="J373" s="51"/>
      <c r="K373" s="51"/>
      <c r="L373" s="51"/>
      <c r="M373" s="52"/>
    </row>
    <row r="374" spans="2:13" s="59" customFormat="1" ht="13.5">
      <c r="B374" s="50"/>
      <c r="C374" s="62"/>
      <c r="D374" s="62"/>
      <c r="E374" s="63" t="s">
        <v>118</v>
      </c>
      <c r="F374" s="63"/>
      <c r="G374" s="64"/>
      <c r="H374" s="51"/>
      <c r="I374" s="51"/>
      <c r="J374" s="51"/>
      <c r="K374" s="51"/>
      <c r="L374" s="51"/>
      <c r="M374" s="52"/>
    </row>
    <row r="375" spans="2:13" s="59" customFormat="1" ht="13.5">
      <c r="B375" s="50"/>
      <c r="C375" s="51"/>
      <c r="D375" s="51"/>
      <c r="E375" s="51"/>
      <c r="F375" s="51"/>
      <c r="G375" s="51"/>
      <c r="H375" s="51"/>
      <c r="I375" s="51"/>
      <c r="J375" s="51"/>
      <c r="K375" s="51"/>
      <c r="L375" s="51"/>
      <c r="M375" s="52"/>
    </row>
    <row r="376" spans="2:13">
      <c r="B376" s="66"/>
      <c r="C376" s="60" t="s">
        <v>119</v>
      </c>
      <c r="D376" s="77" t="s">
        <v>164</v>
      </c>
      <c r="E376" s="67"/>
      <c r="F376" s="67"/>
      <c r="G376" s="67"/>
      <c r="H376" s="67"/>
      <c r="I376" s="67"/>
      <c r="J376" s="67"/>
      <c r="K376" s="67"/>
      <c r="L376" s="67"/>
      <c r="M376" s="58"/>
    </row>
    <row r="377" spans="2:13">
      <c r="B377" s="66"/>
      <c r="C377" s="68" t="s">
        <v>120</v>
      </c>
      <c r="D377" s="69">
        <v>0</v>
      </c>
      <c r="E377" s="70"/>
      <c r="F377" s="70"/>
      <c r="G377" s="70"/>
      <c r="H377" s="70"/>
      <c r="I377" s="70"/>
      <c r="J377" s="70"/>
      <c r="K377" s="71"/>
      <c r="L377" s="67"/>
      <c r="M377" s="58"/>
    </row>
    <row r="378" spans="2:13">
      <c r="B378" s="66"/>
      <c r="C378" s="72" t="s">
        <v>121</v>
      </c>
      <c r="D378" s="73" t="s">
        <v>122</v>
      </c>
      <c r="E378" s="70"/>
      <c r="F378" s="70"/>
      <c r="G378" s="70"/>
      <c r="H378" s="70"/>
      <c r="I378" s="70"/>
      <c r="J378" s="70"/>
      <c r="K378" s="71"/>
      <c r="L378" s="67"/>
      <c r="M378" s="58"/>
    </row>
    <row r="379" spans="2:13">
      <c r="B379" s="66"/>
      <c r="C379" s="72" t="s">
        <v>123</v>
      </c>
      <c r="D379" s="73" t="s">
        <v>122</v>
      </c>
      <c r="E379" s="70"/>
      <c r="F379" s="70"/>
      <c r="G379" s="70"/>
      <c r="H379" s="70"/>
      <c r="I379" s="70"/>
      <c r="J379" s="70"/>
      <c r="K379" s="71"/>
      <c r="L379" s="67"/>
      <c r="M379" s="58"/>
    </row>
    <row r="380" spans="2:13">
      <c r="B380" s="66"/>
      <c r="C380" s="72" t="s">
        <v>125</v>
      </c>
      <c r="D380" s="73" t="s">
        <v>165</v>
      </c>
      <c r="E380" s="70"/>
      <c r="F380" s="70"/>
      <c r="G380" s="70"/>
      <c r="H380" s="70"/>
      <c r="I380" s="70"/>
      <c r="J380" s="70"/>
      <c r="K380" s="71"/>
      <c r="L380" s="67"/>
      <c r="M380" s="58"/>
    </row>
    <row r="381" spans="2:13">
      <c r="B381" s="66"/>
      <c r="C381" s="37"/>
      <c r="D381" s="67"/>
      <c r="E381" s="67"/>
      <c r="F381" s="67"/>
      <c r="G381" s="67"/>
      <c r="H381" s="67"/>
      <c r="I381" s="67"/>
      <c r="J381" s="67"/>
      <c r="K381" s="67"/>
      <c r="L381" s="67"/>
      <c r="M381" s="58"/>
    </row>
    <row r="382" spans="2:13">
      <c r="B382" s="66"/>
      <c r="C382" s="37"/>
      <c r="D382" s="67"/>
      <c r="E382" s="67"/>
      <c r="F382" s="67"/>
      <c r="G382" s="67"/>
      <c r="H382" s="67"/>
      <c r="I382" s="67"/>
      <c r="J382" s="67"/>
      <c r="K382" s="67"/>
      <c r="L382" s="67"/>
      <c r="M382" s="58"/>
    </row>
    <row r="383" spans="2:13">
      <c r="B383" s="53"/>
      <c r="C383" s="54" t="s">
        <v>91</v>
      </c>
      <c r="D383" s="55" t="s">
        <v>145</v>
      </c>
      <c r="E383" s="56"/>
      <c r="F383" s="57"/>
      <c r="G383" s="57"/>
      <c r="H383" s="57"/>
      <c r="I383" s="76"/>
      <c r="J383" s="57"/>
      <c r="K383" s="57"/>
      <c r="L383" s="57"/>
      <c r="M383" s="58"/>
    </row>
    <row r="384" spans="2:13" s="59" customFormat="1" ht="13.5">
      <c r="B384" s="50"/>
      <c r="C384" s="60" t="s">
        <v>93</v>
      </c>
      <c r="D384" s="51"/>
      <c r="E384" s="51"/>
      <c r="F384" s="51"/>
      <c r="G384" s="51"/>
      <c r="H384" s="51"/>
      <c r="I384" s="51"/>
      <c r="J384" s="51"/>
      <c r="K384" s="51"/>
      <c r="L384" s="51"/>
      <c r="M384" s="52"/>
    </row>
    <row r="385" spans="2:13" s="59" customFormat="1" ht="13.5">
      <c r="B385" s="50"/>
      <c r="C385" s="61"/>
      <c r="D385" s="62"/>
      <c r="E385" s="63" t="s">
        <v>94</v>
      </c>
      <c r="F385" s="63" t="s">
        <v>95</v>
      </c>
      <c r="G385" s="64"/>
      <c r="H385" s="51"/>
      <c r="I385" s="51"/>
      <c r="J385" s="51"/>
      <c r="K385" s="51"/>
      <c r="L385" s="51"/>
      <c r="M385" s="52"/>
    </row>
    <row r="386" spans="2:13" s="59" customFormat="1" ht="13.5">
      <c r="B386" s="50"/>
      <c r="C386" s="61"/>
      <c r="D386" s="62"/>
      <c r="E386" s="63" t="s">
        <v>96</v>
      </c>
      <c r="F386" s="63" t="s">
        <v>97</v>
      </c>
      <c r="G386" s="64"/>
      <c r="H386" s="51"/>
      <c r="I386" s="51"/>
      <c r="J386" s="51"/>
      <c r="K386" s="51"/>
      <c r="L386" s="51"/>
      <c r="M386" s="52"/>
    </row>
    <row r="387" spans="2:13" s="59" customFormat="1" ht="13.5">
      <c r="B387" s="50"/>
      <c r="C387" s="62" t="s">
        <v>98</v>
      </c>
      <c r="D387" s="62"/>
      <c r="E387" s="63" t="s">
        <v>99</v>
      </c>
      <c r="F387" s="63" t="s">
        <v>128</v>
      </c>
      <c r="G387" s="64"/>
      <c r="H387" s="51"/>
      <c r="I387" s="51"/>
      <c r="J387" s="51"/>
      <c r="K387" s="51"/>
      <c r="L387" s="51"/>
      <c r="M387" s="52"/>
    </row>
    <row r="388" spans="2:13" s="59" customFormat="1" ht="13.5">
      <c r="B388" s="50"/>
      <c r="C388" s="62" t="s">
        <v>101</v>
      </c>
      <c r="D388" s="62"/>
      <c r="E388" s="63" t="s">
        <v>102</v>
      </c>
      <c r="F388" s="63" t="s">
        <v>103</v>
      </c>
      <c r="G388" s="64"/>
      <c r="H388" s="51"/>
      <c r="I388" s="51"/>
      <c r="J388" s="51"/>
      <c r="K388" s="51"/>
      <c r="L388" s="51"/>
      <c r="M388" s="52"/>
    </row>
    <row r="389" spans="2:13" s="59" customFormat="1" ht="13.5">
      <c r="B389" s="50"/>
      <c r="C389" s="62" t="s">
        <v>104</v>
      </c>
      <c r="D389" s="62"/>
      <c r="E389" s="63" t="s">
        <v>102</v>
      </c>
      <c r="F389" s="63" t="s">
        <v>105</v>
      </c>
      <c r="G389" s="64"/>
      <c r="H389" s="51"/>
      <c r="I389" s="51"/>
      <c r="J389" s="51"/>
      <c r="K389" s="51"/>
      <c r="L389" s="51"/>
      <c r="M389" s="52"/>
    </row>
    <row r="390" spans="2:13" s="59" customFormat="1" ht="13.5">
      <c r="B390" s="50"/>
      <c r="C390" s="62" t="s">
        <v>106</v>
      </c>
      <c r="D390" s="62"/>
      <c r="E390" s="63" t="s">
        <v>102</v>
      </c>
      <c r="F390" s="63" t="s">
        <v>139</v>
      </c>
      <c r="G390" s="64"/>
      <c r="H390" s="51"/>
      <c r="I390" s="51"/>
      <c r="J390" s="51"/>
      <c r="K390" s="51"/>
      <c r="L390" s="51"/>
      <c r="M390" s="52"/>
    </row>
    <row r="391" spans="2:13" s="59" customFormat="1" ht="13.5">
      <c r="B391" s="50"/>
      <c r="C391" s="62" t="s">
        <v>3</v>
      </c>
      <c r="D391" s="62"/>
      <c r="E391" s="63" t="s">
        <v>102</v>
      </c>
      <c r="F391" s="63" t="s">
        <v>107</v>
      </c>
      <c r="G391" s="64"/>
      <c r="H391" s="51"/>
      <c r="I391" s="51"/>
      <c r="J391" s="51"/>
      <c r="K391" s="51"/>
      <c r="L391" s="51"/>
      <c r="M391" s="52"/>
    </row>
    <row r="392" spans="2:13" s="59" customFormat="1" ht="13.5">
      <c r="B392" s="50"/>
      <c r="C392" s="62" t="s">
        <v>108</v>
      </c>
      <c r="D392" s="62"/>
      <c r="E392" s="63" t="s">
        <v>102</v>
      </c>
      <c r="F392" s="63" t="s">
        <v>107</v>
      </c>
      <c r="G392" s="64"/>
      <c r="H392" s="51"/>
      <c r="I392" s="51"/>
      <c r="J392" s="51"/>
      <c r="K392" s="51"/>
      <c r="L392" s="51"/>
      <c r="M392" s="52"/>
    </row>
    <row r="393" spans="2:13" s="59" customFormat="1" ht="13.5">
      <c r="B393" s="50"/>
      <c r="C393" s="62" t="s">
        <v>110</v>
      </c>
      <c r="D393" s="62"/>
      <c r="E393" s="63" t="s">
        <v>102</v>
      </c>
      <c r="F393" s="65" t="s">
        <v>159</v>
      </c>
      <c r="G393" s="64"/>
      <c r="H393" s="51"/>
      <c r="I393" s="51"/>
      <c r="J393" s="51"/>
      <c r="K393" s="51"/>
      <c r="L393" s="51"/>
      <c r="M393" s="52"/>
    </row>
    <row r="394" spans="2:13" s="59" customFormat="1" ht="13.5">
      <c r="B394" s="50"/>
      <c r="C394" s="62" t="s">
        <v>112</v>
      </c>
      <c r="D394" s="62"/>
      <c r="E394" s="63" t="s">
        <v>102</v>
      </c>
      <c r="F394" s="63" t="s">
        <v>113</v>
      </c>
      <c r="G394" s="64"/>
      <c r="H394" s="51"/>
      <c r="I394" s="51"/>
      <c r="J394" s="51"/>
      <c r="K394" s="51"/>
      <c r="L394" s="51"/>
      <c r="M394" s="52"/>
    </row>
    <row r="395" spans="2:13" s="59" customFormat="1" ht="13.5">
      <c r="B395" s="50"/>
      <c r="C395" s="62" t="s">
        <v>114</v>
      </c>
      <c r="D395" s="62"/>
      <c r="E395" s="63" t="s">
        <v>102</v>
      </c>
      <c r="F395" s="63" t="s">
        <v>115</v>
      </c>
      <c r="G395" s="64"/>
      <c r="H395" s="51"/>
      <c r="I395" s="51"/>
      <c r="J395" s="51"/>
      <c r="K395" s="51"/>
      <c r="L395" s="51"/>
      <c r="M395" s="52"/>
    </row>
    <row r="396" spans="2:13" s="59" customFormat="1" ht="13.5">
      <c r="B396" s="50"/>
      <c r="C396" s="62" t="s">
        <v>116</v>
      </c>
      <c r="D396" s="62"/>
      <c r="E396" s="63" t="s">
        <v>102</v>
      </c>
      <c r="F396" s="63" t="s">
        <v>117</v>
      </c>
      <c r="G396" s="64"/>
      <c r="H396" s="51"/>
      <c r="I396" s="51"/>
      <c r="J396" s="51"/>
      <c r="K396" s="51"/>
      <c r="L396" s="51"/>
      <c r="M396" s="52"/>
    </row>
    <row r="397" spans="2:13" s="59" customFormat="1" ht="13.5">
      <c r="B397" s="50"/>
      <c r="C397" s="62"/>
      <c r="D397" s="62"/>
      <c r="E397" s="63" t="s">
        <v>118</v>
      </c>
      <c r="F397" s="63"/>
      <c r="G397" s="64"/>
      <c r="H397" s="51"/>
      <c r="I397" s="51"/>
      <c r="J397" s="51"/>
      <c r="K397" s="51"/>
      <c r="L397" s="51"/>
      <c r="M397" s="52"/>
    </row>
    <row r="398" spans="2:13" s="59" customFormat="1" ht="13.5">
      <c r="B398" s="50"/>
      <c r="C398" s="51"/>
      <c r="D398" s="51"/>
      <c r="E398" s="51"/>
      <c r="F398" s="51"/>
      <c r="G398" s="51"/>
      <c r="H398" s="51"/>
      <c r="I398" s="51"/>
      <c r="J398" s="51"/>
      <c r="K398" s="51"/>
      <c r="L398" s="51"/>
      <c r="M398" s="52"/>
    </row>
    <row r="399" spans="2:13">
      <c r="B399" s="66"/>
      <c r="C399" s="60" t="s">
        <v>119</v>
      </c>
      <c r="D399" s="67"/>
      <c r="E399" s="67"/>
      <c r="F399" s="67"/>
      <c r="G399" s="67"/>
      <c r="H399" s="67"/>
      <c r="I399" s="67"/>
      <c r="J399" s="67"/>
      <c r="K399" s="67"/>
      <c r="L399" s="67"/>
      <c r="M399" s="58"/>
    </row>
    <row r="400" spans="2:13">
      <c r="B400" s="66"/>
      <c r="C400" s="68" t="s">
        <v>120</v>
      </c>
      <c r="D400" s="69">
        <v>-2</v>
      </c>
      <c r="E400" s="70"/>
      <c r="F400" s="70"/>
      <c r="G400" s="70"/>
      <c r="H400" s="70"/>
      <c r="I400" s="70"/>
      <c r="J400" s="70"/>
      <c r="K400" s="71"/>
      <c r="L400" s="67"/>
      <c r="M400" s="58"/>
    </row>
    <row r="401" spans="2:13">
      <c r="B401" s="66"/>
      <c r="C401" s="72" t="s">
        <v>121</v>
      </c>
      <c r="D401" s="73" t="s">
        <v>122</v>
      </c>
      <c r="E401" s="70"/>
      <c r="F401" s="70"/>
      <c r="G401" s="70"/>
      <c r="H401" s="70"/>
      <c r="I401" s="70"/>
      <c r="J401" s="70"/>
      <c r="K401" s="71"/>
      <c r="L401" s="67"/>
      <c r="M401" s="58"/>
    </row>
    <row r="402" spans="2:13">
      <c r="B402" s="66"/>
      <c r="C402" s="72" t="s">
        <v>123</v>
      </c>
      <c r="D402" s="73" t="s">
        <v>143</v>
      </c>
      <c r="E402" s="70"/>
      <c r="F402" s="70"/>
      <c r="G402" s="70"/>
      <c r="H402" s="70"/>
      <c r="I402" s="70"/>
      <c r="J402" s="70"/>
      <c r="K402" s="71"/>
      <c r="L402" s="67"/>
      <c r="M402" s="58"/>
    </row>
    <row r="403" spans="2:13">
      <c r="B403" s="66"/>
      <c r="C403" s="72" t="s">
        <v>125</v>
      </c>
      <c r="D403" s="73" t="s">
        <v>166</v>
      </c>
      <c r="E403" s="70"/>
      <c r="F403" s="70"/>
      <c r="G403" s="70"/>
      <c r="H403" s="70"/>
      <c r="I403" s="70"/>
      <c r="J403" s="70"/>
      <c r="K403" s="71"/>
      <c r="L403" s="67"/>
      <c r="M403" s="58"/>
    </row>
    <row r="404" spans="2:13">
      <c r="B404" s="66"/>
      <c r="C404" s="37"/>
      <c r="D404" s="67"/>
      <c r="E404" s="67"/>
      <c r="F404" s="67"/>
      <c r="G404" s="67"/>
      <c r="H404" s="67"/>
      <c r="I404" s="67"/>
      <c r="J404" s="67"/>
      <c r="K404" s="67"/>
      <c r="L404" s="67"/>
      <c r="M404" s="58"/>
    </row>
    <row r="405" spans="2:13">
      <c r="B405" s="66"/>
      <c r="C405" s="37"/>
      <c r="D405" s="67"/>
      <c r="E405" s="67"/>
      <c r="F405" s="67"/>
      <c r="G405" s="67"/>
      <c r="H405" s="67"/>
      <c r="I405" s="67"/>
      <c r="J405" s="67"/>
      <c r="K405" s="67"/>
      <c r="L405" s="67"/>
      <c r="M405" s="58"/>
    </row>
    <row r="406" spans="2:13">
      <c r="B406" s="53"/>
      <c r="C406" s="54" t="s">
        <v>91</v>
      </c>
      <c r="D406" s="55" t="s">
        <v>147</v>
      </c>
      <c r="E406" s="56"/>
      <c r="F406" s="57"/>
      <c r="G406" s="57"/>
      <c r="H406" s="57"/>
      <c r="I406" s="76"/>
      <c r="J406" s="57"/>
      <c r="K406" s="57"/>
      <c r="L406" s="57"/>
      <c r="M406" s="58"/>
    </row>
    <row r="407" spans="2:13" s="59" customFormat="1" ht="13.5">
      <c r="B407" s="50"/>
      <c r="C407" s="60" t="s">
        <v>93</v>
      </c>
      <c r="D407" s="51"/>
      <c r="E407" s="51"/>
      <c r="F407" s="51"/>
      <c r="G407" s="51"/>
      <c r="H407" s="51"/>
      <c r="I407" s="51"/>
      <c r="J407" s="51"/>
      <c r="K407" s="51"/>
      <c r="L407" s="51"/>
      <c r="M407" s="52"/>
    </row>
    <row r="408" spans="2:13" s="59" customFormat="1" ht="13.5">
      <c r="B408" s="50"/>
      <c r="C408" s="61"/>
      <c r="D408" s="62"/>
      <c r="E408" s="63" t="s">
        <v>94</v>
      </c>
      <c r="F408" s="63" t="s">
        <v>95</v>
      </c>
      <c r="G408" s="64"/>
      <c r="H408" s="51"/>
      <c r="I408" s="51"/>
      <c r="J408" s="51"/>
      <c r="K408" s="51"/>
      <c r="L408" s="51"/>
      <c r="M408" s="52"/>
    </row>
    <row r="409" spans="2:13" s="59" customFormat="1" ht="13.5">
      <c r="B409" s="50"/>
      <c r="C409" s="61"/>
      <c r="D409" s="62"/>
      <c r="E409" s="63" t="s">
        <v>96</v>
      </c>
      <c r="F409" s="63" t="s">
        <v>97</v>
      </c>
      <c r="G409" s="64"/>
      <c r="H409" s="51"/>
      <c r="I409" s="51"/>
      <c r="J409" s="51"/>
      <c r="K409" s="51"/>
      <c r="L409" s="51"/>
      <c r="M409" s="52"/>
    </row>
    <row r="410" spans="2:13" s="59" customFormat="1" ht="13.5">
      <c r="B410" s="50"/>
      <c r="C410" s="62" t="s">
        <v>98</v>
      </c>
      <c r="D410" s="62"/>
      <c r="E410" s="63" t="s">
        <v>99</v>
      </c>
      <c r="F410" s="63" t="s">
        <v>128</v>
      </c>
      <c r="G410" s="64"/>
      <c r="H410" s="51"/>
      <c r="I410" s="51"/>
      <c r="J410" s="51"/>
      <c r="K410" s="51"/>
      <c r="L410" s="51"/>
      <c r="M410" s="52"/>
    </row>
    <row r="411" spans="2:13" s="59" customFormat="1" ht="13.5">
      <c r="B411" s="50"/>
      <c r="C411" s="62" t="s">
        <v>101</v>
      </c>
      <c r="D411" s="62"/>
      <c r="E411" s="63" t="s">
        <v>102</v>
      </c>
      <c r="F411" s="63" t="s">
        <v>103</v>
      </c>
      <c r="G411" s="64"/>
      <c r="H411" s="51"/>
      <c r="I411" s="51"/>
      <c r="J411" s="51"/>
      <c r="K411" s="51"/>
      <c r="L411" s="51"/>
      <c r="M411" s="52"/>
    </row>
    <row r="412" spans="2:13" s="59" customFormat="1" ht="13.5">
      <c r="B412" s="50"/>
      <c r="C412" s="62" t="s">
        <v>104</v>
      </c>
      <c r="D412" s="62"/>
      <c r="E412" s="63" t="s">
        <v>102</v>
      </c>
      <c r="F412" s="63" t="s">
        <v>105</v>
      </c>
      <c r="G412" s="64"/>
      <c r="H412" s="51"/>
      <c r="I412" s="51"/>
      <c r="J412" s="51"/>
      <c r="K412" s="51"/>
      <c r="L412" s="51"/>
      <c r="M412" s="52"/>
    </row>
    <row r="413" spans="2:13" s="59" customFormat="1" ht="13.5">
      <c r="B413" s="50"/>
      <c r="C413" s="62" t="s">
        <v>106</v>
      </c>
      <c r="D413" s="62"/>
      <c r="E413" s="63" t="s">
        <v>102</v>
      </c>
      <c r="F413" s="63" t="s">
        <v>139</v>
      </c>
      <c r="G413" s="64"/>
      <c r="H413" s="51"/>
      <c r="I413" s="51"/>
      <c r="J413" s="51"/>
      <c r="K413" s="51"/>
      <c r="L413" s="51"/>
      <c r="M413" s="52"/>
    </row>
    <row r="414" spans="2:13" s="59" customFormat="1" ht="13.5">
      <c r="B414" s="50"/>
      <c r="C414" s="62" t="s">
        <v>3</v>
      </c>
      <c r="D414" s="62"/>
      <c r="E414" s="63" t="s">
        <v>102</v>
      </c>
      <c r="F414" s="63" t="s">
        <v>107</v>
      </c>
      <c r="G414" s="64"/>
      <c r="H414" s="51"/>
      <c r="I414" s="51"/>
      <c r="J414" s="51"/>
      <c r="K414" s="51"/>
      <c r="L414" s="51"/>
      <c r="M414" s="52"/>
    </row>
    <row r="415" spans="2:13" s="59" customFormat="1" ht="13.5">
      <c r="B415" s="50"/>
      <c r="C415" s="62" t="s">
        <v>108</v>
      </c>
      <c r="D415" s="62"/>
      <c r="E415" s="63" t="s">
        <v>102</v>
      </c>
      <c r="F415" s="63" t="s">
        <v>109</v>
      </c>
      <c r="G415" s="64"/>
      <c r="H415" s="51"/>
      <c r="I415" s="51"/>
      <c r="J415" s="51"/>
      <c r="K415" s="51"/>
      <c r="L415" s="51"/>
      <c r="M415" s="52"/>
    </row>
    <row r="416" spans="2:13" s="59" customFormat="1" ht="13.5">
      <c r="B416" s="50"/>
      <c r="C416" s="62" t="s">
        <v>110</v>
      </c>
      <c r="D416" s="62"/>
      <c r="E416" s="63" t="s">
        <v>102</v>
      </c>
      <c r="F416" s="63" t="s">
        <v>111</v>
      </c>
      <c r="G416" s="64"/>
      <c r="H416" s="51"/>
      <c r="I416" s="51"/>
      <c r="J416" s="51"/>
      <c r="K416" s="51"/>
      <c r="L416" s="51"/>
      <c r="M416" s="52"/>
    </row>
    <row r="417" spans="2:13" s="59" customFormat="1" ht="13.5">
      <c r="B417" s="50"/>
      <c r="C417" s="62" t="s">
        <v>112</v>
      </c>
      <c r="D417" s="62"/>
      <c r="E417" s="63" t="s">
        <v>102</v>
      </c>
      <c r="F417" s="65" t="s">
        <v>159</v>
      </c>
      <c r="G417" s="64"/>
      <c r="H417" s="51"/>
      <c r="I417" s="51"/>
      <c r="J417" s="51"/>
      <c r="K417" s="51"/>
      <c r="L417" s="51"/>
      <c r="M417" s="52"/>
    </row>
    <row r="418" spans="2:13" s="59" customFormat="1" ht="13.5">
      <c r="B418" s="50"/>
      <c r="C418" s="62" t="s">
        <v>114</v>
      </c>
      <c r="D418" s="62"/>
      <c r="E418" s="63" t="s">
        <v>102</v>
      </c>
      <c r="F418" s="63" t="s">
        <v>115</v>
      </c>
      <c r="G418" s="64"/>
      <c r="H418" s="51"/>
      <c r="I418" s="51"/>
      <c r="J418" s="51"/>
      <c r="K418" s="51"/>
      <c r="L418" s="51"/>
      <c r="M418" s="52"/>
    </row>
    <row r="419" spans="2:13" s="59" customFormat="1" ht="13.5">
      <c r="B419" s="50"/>
      <c r="C419" s="62" t="s">
        <v>116</v>
      </c>
      <c r="D419" s="62"/>
      <c r="E419" s="63" t="s">
        <v>102</v>
      </c>
      <c r="F419" s="63" t="s">
        <v>117</v>
      </c>
      <c r="G419" s="64"/>
      <c r="H419" s="51"/>
      <c r="I419" s="51"/>
      <c r="J419" s="51"/>
      <c r="K419" s="51"/>
      <c r="L419" s="51"/>
      <c r="M419" s="52"/>
    </row>
    <row r="420" spans="2:13" s="59" customFormat="1" ht="13.5">
      <c r="B420" s="50"/>
      <c r="C420" s="62"/>
      <c r="D420" s="62"/>
      <c r="E420" s="63" t="s">
        <v>118</v>
      </c>
      <c r="F420" s="63"/>
      <c r="G420" s="64"/>
      <c r="H420" s="51"/>
      <c r="I420" s="51"/>
      <c r="J420" s="51"/>
      <c r="K420" s="51"/>
      <c r="L420" s="51"/>
      <c r="M420" s="52"/>
    </row>
    <row r="421" spans="2:13" s="59" customFormat="1" ht="13.5">
      <c r="B421" s="50"/>
      <c r="C421" s="51"/>
      <c r="D421" s="51"/>
      <c r="E421" s="51"/>
      <c r="F421" s="51"/>
      <c r="G421" s="51"/>
      <c r="H421" s="51"/>
      <c r="I421" s="51"/>
      <c r="J421" s="51"/>
      <c r="K421" s="51"/>
      <c r="L421" s="51"/>
      <c r="M421" s="52"/>
    </row>
    <row r="422" spans="2:13">
      <c r="B422" s="66"/>
      <c r="C422" s="60" t="s">
        <v>119</v>
      </c>
      <c r="D422" s="77" t="s">
        <v>167</v>
      </c>
      <c r="E422" s="67"/>
      <c r="F422" s="67"/>
      <c r="G422" s="67"/>
      <c r="H422" s="67"/>
      <c r="I422" s="67"/>
      <c r="J422" s="67"/>
      <c r="K422" s="67"/>
      <c r="L422" s="67"/>
      <c r="M422" s="58"/>
    </row>
    <row r="423" spans="2:13">
      <c r="B423" s="66"/>
      <c r="C423" s="37"/>
      <c r="D423" s="35"/>
      <c r="E423" s="67"/>
      <c r="F423" s="67"/>
      <c r="G423" s="67"/>
      <c r="H423" s="67"/>
      <c r="I423" s="67"/>
      <c r="J423" s="67"/>
      <c r="K423" s="67"/>
      <c r="L423" s="67"/>
      <c r="M423" s="58"/>
    </row>
    <row r="424" spans="2:13">
      <c r="B424" s="66"/>
      <c r="C424" s="37"/>
      <c r="D424" s="67"/>
      <c r="E424" s="67"/>
      <c r="F424" s="67"/>
      <c r="G424" s="67"/>
      <c r="H424" s="67"/>
      <c r="I424" s="67"/>
      <c r="J424" s="67"/>
      <c r="K424" s="67"/>
      <c r="L424" s="67"/>
      <c r="M424" s="58"/>
    </row>
    <row r="425" spans="2:13">
      <c r="B425" s="53"/>
      <c r="C425" s="54" t="s">
        <v>91</v>
      </c>
      <c r="D425" s="55" t="s">
        <v>149</v>
      </c>
      <c r="E425" s="56"/>
      <c r="F425" s="57"/>
      <c r="G425" s="57"/>
      <c r="H425" s="57"/>
      <c r="I425" s="76"/>
      <c r="J425" s="57"/>
      <c r="K425" s="57"/>
      <c r="L425" s="57"/>
      <c r="M425" s="58"/>
    </row>
    <row r="426" spans="2:13" s="59" customFormat="1" ht="13.5">
      <c r="B426" s="50"/>
      <c r="C426" s="60" t="s">
        <v>93</v>
      </c>
      <c r="D426" s="51"/>
      <c r="E426" s="51"/>
      <c r="F426" s="51"/>
      <c r="G426" s="51"/>
      <c r="H426" s="51"/>
      <c r="I426" s="51"/>
      <c r="J426" s="51"/>
      <c r="K426" s="51"/>
      <c r="L426" s="51"/>
      <c r="M426" s="52"/>
    </row>
    <row r="427" spans="2:13" s="59" customFormat="1" ht="13.5">
      <c r="B427" s="50"/>
      <c r="C427" s="61"/>
      <c r="D427" s="62"/>
      <c r="E427" s="63" t="s">
        <v>94</v>
      </c>
      <c r="F427" s="63" t="s">
        <v>95</v>
      </c>
      <c r="G427" s="64"/>
      <c r="H427" s="51"/>
      <c r="I427" s="51"/>
      <c r="J427" s="51"/>
      <c r="K427" s="51"/>
      <c r="L427" s="51"/>
      <c r="M427" s="52"/>
    </row>
    <row r="428" spans="2:13" s="59" customFormat="1" ht="13.5">
      <c r="B428" s="50"/>
      <c r="C428" s="61"/>
      <c r="D428" s="62"/>
      <c r="E428" s="63" t="s">
        <v>96</v>
      </c>
      <c r="F428" s="63" t="s">
        <v>97</v>
      </c>
      <c r="G428" s="64"/>
      <c r="H428" s="51"/>
      <c r="I428" s="51"/>
      <c r="J428" s="51"/>
      <c r="K428" s="51"/>
      <c r="L428" s="51"/>
      <c r="M428" s="52"/>
    </row>
    <row r="429" spans="2:13" s="59" customFormat="1" ht="13.5">
      <c r="B429" s="50"/>
      <c r="C429" s="62" t="s">
        <v>168</v>
      </c>
      <c r="D429" s="62"/>
      <c r="E429" s="63" t="s">
        <v>99</v>
      </c>
      <c r="F429" s="63" t="s">
        <v>128</v>
      </c>
      <c r="G429" s="64"/>
      <c r="H429" s="51"/>
      <c r="I429" s="51"/>
      <c r="J429" s="51"/>
      <c r="K429" s="51"/>
      <c r="L429" s="51"/>
      <c r="M429" s="52"/>
    </row>
    <row r="430" spans="2:13" s="59" customFormat="1" ht="13.5">
      <c r="B430" s="50"/>
      <c r="C430" s="62" t="s">
        <v>169</v>
      </c>
      <c r="D430" s="62"/>
      <c r="E430" s="63" t="s">
        <v>102</v>
      </c>
      <c r="F430" s="63" t="s">
        <v>103</v>
      </c>
      <c r="G430" s="64"/>
      <c r="H430" s="51"/>
      <c r="I430" s="51"/>
      <c r="J430" s="51"/>
      <c r="K430" s="51"/>
      <c r="L430" s="51"/>
      <c r="M430" s="52"/>
    </row>
    <row r="431" spans="2:13" s="59" customFormat="1" ht="13.5">
      <c r="B431" s="50"/>
      <c r="C431" s="62" t="s">
        <v>170</v>
      </c>
      <c r="D431" s="62"/>
      <c r="E431" s="63" t="s">
        <v>102</v>
      </c>
      <c r="F431" s="63" t="s">
        <v>105</v>
      </c>
      <c r="G431" s="64"/>
      <c r="H431" s="51"/>
      <c r="I431" s="51"/>
      <c r="J431" s="51"/>
      <c r="K431" s="51"/>
      <c r="L431" s="51"/>
      <c r="M431" s="52"/>
    </row>
    <row r="432" spans="2:13" s="59" customFormat="1" ht="13.5">
      <c r="B432" s="50"/>
      <c r="C432" s="62" t="s">
        <v>106</v>
      </c>
      <c r="D432" s="62"/>
      <c r="E432" s="63" t="s">
        <v>102</v>
      </c>
      <c r="F432" s="63" t="s">
        <v>139</v>
      </c>
      <c r="G432" s="64"/>
      <c r="H432" s="51"/>
      <c r="I432" s="51"/>
      <c r="J432" s="51"/>
      <c r="K432" s="51"/>
      <c r="L432" s="51"/>
      <c r="M432" s="52"/>
    </row>
    <row r="433" spans="2:13" s="59" customFormat="1" ht="13.5">
      <c r="B433" s="50"/>
      <c r="C433" s="62" t="s">
        <v>3</v>
      </c>
      <c r="D433" s="62"/>
      <c r="E433" s="63" t="s">
        <v>102</v>
      </c>
      <c r="F433" s="63" t="s">
        <v>107</v>
      </c>
      <c r="G433" s="64"/>
      <c r="H433" s="51"/>
      <c r="I433" s="51"/>
      <c r="J433" s="51"/>
      <c r="K433" s="51"/>
      <c r="L433" s="51"/>
      <c r="M433" s="52"/>
    </row>
    <row r="434" spans="2:13" s="59" customFormat="1" ht="13.5">
      <c r="B434" s="50"/>
      <c r="C434" s="62" t="s">
        <v>108</v>
      </c>
      <c r="D434" s="62"/>
      <c r="E434" s="63" t="s">
        <v>102</v>
      </c>
      <c r="F434" s="63" t="s">
        <v>109</v>
      </c>
      <c r="G434" s="64"/>
      <c r="H434" s="51"/>
      <c r="I434" s="51"/>
      <c r="J434" s="51"/>
      <c r="K434" s="51"/>
      <c r="L434" s="51"/>
      <c r="M434" s="52"/>
    </row>
    <row r="435" spans="2:13" s="59" customFormat="1" ht="13.5">
      <c r="B435" s="50"/>
      <c r="C435" s="62" t="s">
        <v>110</v>
      </c>
      <c r="D435" s="62"/>
      <c r="E435" s="63" t="s">
        <v>102</v>
      </c>
      <c r="F435" s="63" t="s">
        <v>111</v>
      </c>
      <c r="G435" s="64"/>
      <c r="H435" s="51"/>
      <c r="I435" s="51"/>
      <c r="J435" s="51"/>
      <c r="K435" s="51"/>
      <c r="L435" s="51"/>
      <c r="M435" s="52"/>
    </row>
    <row r="436" spans="2:13" s="59" customFormat="1" ht="13.5">
      <c r="B436" s="50"/>
      <c r="C436" s="62" t="s">
        <v>112</v>
      </c>
      <c r="D436" s="62"/>
      <c r="E436" s="63" t="s">
        <v>102</v>
      </c>
      <c r="F436" s="63" t="s">
        <v>113</v>
      </c>
      <c r="G436" s="64"/>
      <c r="H436" s="51"/>
      <c r="I436" s="51"/>
      <c r="J436" s="51"/>
      <c r="K436" s="51"/>
      <c r="L436" s="51"/>
      <c r="M436" s="52"/>
    </row>
    <row r="437" spans="2:13" s="59" customFormat="1" ht="13.5">
      <c r="B437" s="50"/>
      <c r="C437" s="62" t="s">
        <v>114</v>
      </c>
      <c r="D437" s="62"/>
      <c r="E437" s="63" t="s">
        <v>102</v>
      </c>
      <c r="F437" s="65" t="s">
        <v>159</v>
      </c>
      <c r="G437" s="64"/>
      <c r="H437" s="51"/>
      <c r="I437" s="51"/>
      <c r="J437" s="51"/>
      <c r="K437" s="51"/>
      <c r="L437" s="51"/>
      <c r="M437" s="52"/>
    </row>
    <row r="438" spans="2:13" s="59" customFormat="1" ht="13.5">
      <c r="B438" s="50"/>
      <c r="C438" s="62" t="s">
        <v>116</v>
      </c>
      <c r="D438" s="62"/>
      <c r="E438" s="63" t="s">
        <v>102</v>
      </c>
      <c r="F438" s="63" t="s">
        <v>117</v>
      </c>
      <c r="G438" s="64"/>
      <c r="H438" s="51"/>
      <c r="I438" s="51"/>
      <c r="J438" s="51"/>
      <c r="K438" s="51"/>
      <c r="L438" s="51"/>
      <c r="M438" s="52"/>
    </row>
    <row r="439" spans="2:13" s="59" customFormat="1" ht="13.5">
      <c r="B439" s="50"/>
      <c r="C439" s="62"/>
      <c r="D439" s="62"/>
      <c r="E439" s="63" t="s">
        <v>118</v>
      </c>
      <c r="F439" s="63"/>
      <c r="G439" s="64"/>
      <c r="H439" s="51"/>
      <c r="I439" s="51"/>
      <c r="J439" s="51"/>
      <c r="K439" s="51"/>
      <c r="L439" s="51"/>
      <c r="M439" s="52"/>
    </row>
    <row r="440" spans="2:13" s="59" customFormat="1" ht="13.5">
      <c r="B440" s="50"/>
      <c r="C440" s="51"/>
      <c r="D440" s="51"/>
      <c r="E440" s="51"/>
      <c r="F440" s="51"/>
      <c r="G440" s="51"/>
      <c r="H440" s="51"/>
      <c r="I440" s="51"/>
      <c r="J440" s="51"/>
      <c r="K440" s="51"/>
      <c r="L440" s="51"/>
      <c r="M440" s="52"/>
    </row>
    <row r="441" spans="2:13">
      <c r="B441" s="66"/>
      <c r="C441" s="60" t="s">
        <v>119</v>
      </c>
      <c r="D441" s="67"/>
      <c r="E441" s="67"/>
      <c r="F441" s="67"/>
      <c r="G441" s="67"/>
      <c r="H441" s="67"/>
      <c r="I441" s="67"/>
      <c r="J441" s="67"/>
      <c r="K441" s="67"/>
      <c r="L441" s="67"/>
      <c r="M441" s="58"/>
    </row>
    <row r="442" spans="2:13">
      <c r="B442" s="66"/>
      <c r="C442" s="68" t="s">
        <v>120</v>
      </c>
      <c r="D442" s="69">
        <v>-2</v>
      </c>
      <c r="E442" s="70"/>
      <c r="F442" s="70"/>
      <c r="G442" s="70"/>
      <c r="H442" s="70"/>
      <c r="I442" s="70"/>
      <c r="J442" s="70"/>
      <c r="K442" s="71"/>
      <c r="L442" s="67"/>
      <c r="M442" s="58"/>
    </row>
    <row r="443" spans="2:13">
      <c r="B443" s="66"/>
      <c r="C443" s="72" t="s">
        <v>121</v>
      </c>
      <c r="D443" s="73" t="s">
        <v>122</v>
      </c>
      <c r="E443" s="70"/>
      <c r="F443" s="70"/>
      <c r="G443" s="70"/>
      <c r="H443" s="70"/>
      <c r="I443" s="70"/>
      <c r="J443" s="70"/>
      <c r="K443" s="71"/>
      <c r="L443" s="67"/>
      <c r="M443" s="58"/>
    </row>
    <row r="444" spans="2:13">
      <c r="B444" s="66"/>
      <c r="C444" s="72" t="s">
        <v>171</v>
      </c>
      <c r="D444" s="73" t="s">
        <v>150</v>
      </c>
      <c r="E444" s="70"/>
      <c r="F444" s="70"/>
      <c r="G444" s="70"/>
      <c r="H444" s="70"/>
      <c r="I444" s="70"/>
      <c r="J444" s="70"/>
      <c r="K444" s="71"/>
      <c r="L444" s="67"/>
      <c r="M444" s="58"/>
    </row>
    <row r="445" spans="2:13">
      <c r="B445" s="66"/>
      <c r="C445" s="72" t="s">
        <v>125</v>
      </c>
      <c r="D445" s="73" t="s">
        <v>172</v>
      </c>
      <c r="E445" s="70"/>
      <c r="F445" s="70"/>
      <c r="G445" s="70"/>
      <c r="H445" s="70"/>
      <c r="I445" s="70"/>
      <c r="J445" s="70"/>
      <c r="K445" s="71"/>
      <c r="L445" s="67"/>
      <c r="M445" s="58"/>
    </row>
    <row r="446" spans="2:13">
      <c r="B446" s="66"/>
      <c r="C446" s="37"/>
      <c r="D446" s="67"/>
      <c r="E446" s="67"/>
      <c r="F446" s="67"/>
      <c r="G446" s="67"/>
      <c r="H446" s="67"/>
      <c r="I446" s="67"/>
      <c r="J446" s="67"/>
      <c r="K446" s="67"/>
      <c r="L446" s="67"/>
      <c r="M446" s="58"/>
    </row>
    <row r="447" spans="2:13">
      <c r="B447" s="66"/>
      <c r="C447" s="37"/>
      <c r="D447" s="67"/>
      <c r="E447" s="67"/>
      <c r="F447" s="67"/>
      <c r="G447" s="67"/>
      <c r="H447" s="67"/>
      <c r="I447" s="67"/>
      <c r="J447" s="67"/>
      <c r="K447" s="67"/>
      <c r="L447" s="67"/>
      <c r="M447" s="58"/>
    </row>
    <row r="448" spans="2:13">
      <c r="B448" s="53"/>
      <c r="C448" s="54" t="s">
        <v>91</v>
      </c>
      <c r="D448" s="55" t="s">
        <v>152</v>
      </c>
      <c r="E448" s="56"/>
      <c r="F448" s="57"/>
      <c r="G448" s="57"/>
      <c r="H448" s="57"/>
      <c r="I448" s="76"/>
      <c r="J448" s="57"/>
      <c r="K448" s="57"/>
      <c r="L448" s="57"/>
      <c r="M448" s="58"/>
    </row>
    <row r="449" spans="2:13" s="59" customFormat="1" ht="13.5">
      <c r="B449" s="50"/>
      <c r="C449" s="60" t="s">
        <v>93</v>
      </c>
      <c r="D449" s="51"/>
      <c r="E449" s="51"/>
      <c r="F449" s="51"/>
      <c r="G449" s="51"/>
      <c r="H449" s="51"/>
      <c r="I449" s="51"/>
      <c r="J449" s="51"/>
      <c r="K449" s="51"/>
      <c r="L449" s="51"/>
      <c r="M449" s="52"/>
    </row>
    <row r="450" spans="2:13" s="59" customFormat="1" ht="13.5">
      <c r="B450" s="50"/>
      <c r="C450" s="61"/>
      <c r="D450" s="62"/>
      <c r="E450" s="63" t="s">
        <v>94</v>
      </c>
      <c r="F450" s="63" t="s">
        <v>95</v>
      </c>
      <c r="G450" s="64"/>
      <c r="H450" s="51"/>
      <c r="I450" s="51"/>
      <c r="J450" s="51"/>
      <c r="K450" s="51"/>
      <c r="L450" s="51"/>
      <c r="M450" s="52"/>
    </row>
    <row r="451" spans="2:13" s="59" customFormat="1" ht="13.5">
      <c r="B451" s="50"/>
      <c r="C451" s="61"/>
      <c r="D451" s="62"/>
      <c r="E451" s="63" t="s">
        <v>96</v>
      </c>
      <c r="F451" s="63" t="s">
        <v>97</v>
      </c>
      <c r="G451" s="64"/>
      <c r="H451" s="51"/>
      <c r="I451" s="51"/>
      <c r="J451" s="51"/>
      <c r="K451" s="51"/>
      <c r="L451" s="51"/>
      <c r="M451" s="52"/>
    </row>
    <row r="452" spans="2:13" s="59" customFormat="1" ht="13.5">
      <c r="B452" s="50"/>
      <c r="C452" s="62" t="s">
        <v>168</v>
      </c>
      <c r="D452" s="62"/>
      <c r="E452" s="63" t="s">
        <v>99</v>
      </c>
      <c r="F452" s="63" t="s">
        <v>128</v>
      </c>
      <c r="G452" s="64"/>
      <c r="H452" s="51"/>
      <c r="I452" s="51"/>
      <c r="J452" s="51"/>
      <c r="K452" s="51"/>
      <c r="L452" s="51"/>
      <c r="M452" s="52"/>
    </row>
    <row r="453" spans="2:13" s="59" customFormat="1" ht="13.5">
      <c r="B453" s="50"/>
      <c r="C453" s="62" t="s">
        <v>169</v>
      </c>
      <c r="D453" s="62"/>
      <c r="E453" s="63" t="s">
        <v>102</v>
      </c>
      <c r="F453" s="63" t="s">
        <v>103</v>
      </c>
      <c r="G453" s="64"/>
      <c r="H453" s="51"/>
      <c r="I453" s="51"/>
      <c r="J453" s="51"/>
      <c r="K453" s="51"/>
      <c r="L453" s="51"/>
      <c r="M453" s="52"/>
    </row>
    <row r="454" spans="2:13" s="59" customFormat="1" ht="13.5">
      <c r="B454" s="50"/>
      <c r="C454" s="62" t="s">
        <v>170</v>
      </c>
      <c r="D454" s="62"/>
      <c r="E454" s="63" t="s">
        <v>102</v>
      </c>
      <c r="F454" s="63" t="s">
        <v>105</v>
      </c>
      <c r="G454" s="64"/>
      <c r="H454" s="51"/>
      <c r="I454" s="51"/>
      <c r="J454" s="51"/>
      <c r="K454" s="51"/>
      <c r="L454" s="51"/>
      <c r="M454" s="52"/>
    </row>
    <row r="455" spans="2:13" s="59" customFormat="1" ht="13.5">
      <c r="B455" s="50"/>
      <c r="C455" s="62" t="s">
        <v>106</v>
      </c>
      <c r="D455" s="62"/>
      <c r="E455" s="63" t="s">
        <v>102</v>
      </c>
      <c r="F455" s="63" t="s">
        <v>139</v>
      </c>
      <c r="G455" s="64"/>
      <c r="H455" s="51"/>
      <c r="I455" s="51"/>
      <c r="J455" s="51"/>
      <c r="K455" s="51"/>
      <c r="L455" s="51"/>
      <c r="M455" s="52"/>
    </row>
    <row r="456" spans="2:13" s="59" customFormat="1" ht="13.5">
      <c r="B456" s="50"/>
      <c r="C456" s="62" t="s">
        <v>3</v>
      </c>
      <c r="D456" s="62"/>
      <c r="E456" s="63" t="s">
        <v>102</v>
      </c>
      <c r="F456" s="63" t="s">
        <v>107</v>
      </c>
      <c r="G456" s="64"/>
      <c r="H456" s="51"/>
      <c r="I456" s="51"/>
      <c r="J456" s="51"/>
      <c r="K456" s="51"/>
      <c r="L456" s="51"/>
      <c r="M456" s="52"/>
    </row>
    <row r="457" spans="2:13" s="59" customFormat="1" ht="13.5">
      <c r="B457" s="50"/>
      <c r="C457" s="62" t="s">
        <v>108</v>
      </c>
      <c r="D457" s="62"/>
      <c r="E457" s="63" t="s">
        <v>102</v>
      </c>
      <c r="F457" s="63" t="s">
        <v>109</v>
      </c>
      <c r="G457" s="64"/>
      <c r="H457" s="51"/>
      <c r="I457" s="51"/>
      <c r="J457" s="51"/>
      <c r="K457" s="51"/>
      <c r="L457" s="51"/>
      <c r="M457" s="52"/>
    </row>
    <row r="458" spans="2:13" s="59" customFormat="1" ht="13.5">
      <c r="B458" s="50"/>
      <c r="C458" s="62" t="s">
        <v>110</v>
      </c>
      <c r="D458" s="62"/>
      <c r="E458" s="63" t="s">
        <v>102</v>
      </c>
      <c r="F458" s="63" t="s">
        <v>111</v>
      </c>
      <c r="G458" s="64"/>
      <c r="H458" s="51"/>
      <c r="I458" s="51"/>
      <c r="J458" s="51"/>
      <c r="K458" s="51"/>
      <c r="L458" s="51"/>
      <c r="M458" s="52"/>
    </row>
    <row r="459" spans="2:13" s="59" customFormat="1" ht="13.5">
      <c r="B459" s="50"/>
      <c r="C459" s="62" t="s">
        <v>112</v>
      </c>
      <c r="D459" s="62"/>
      <c r="E459" s="63" t="s">
        <v>102</v>
      </c>
      <c r="F459" s="63" t="s">
        <v>113</v>
      </c>
      <c r="G459" s="64"/>
      <c r="H459" s="51"/>
      <c r="I459" s="51"/>
      <c r="J459" s="51"/>
      <c r="K459" s="51"/>
      <c r="L459" s="51"/>
      <c r="M459" s="52"/>
    </row>
    <row r="460" spans="2:13" s="59" customFormat="1" ht="13.5">
      <c r="B460" s="50"/>
      <c r="C460" s="62" t="s">
        <v>114</v>
      </c>
      <c r="D460" s="62"/>
      <c r="E460" s="63" t="s">
        <v>102</v>
      </c>
      <c r="F460" s="63" t="s">
        <v>115</v>
      </c>
      <c r="G460" s="64"/>
      <c r="H460" s="51"/>
      <c r="I460" s="51"/>
      <c r="J460" s="51"/>
      <c r="K460" s="51"/>
      <c r="L460" s="51"/>
      <c r="M460" s="52"/>
    </row>
    <row r="461" spans="2:13" s="59" customFormat="1" ht="13.5">
      <c r="B461" s="50"/>
      <c r="C461" s="62" t="s">
        <v>116</v>
      </c>
      <c r="D461" s="62"/>
      <c r="E461" s="63" t="s">
        <v>102</v>
      </c>
      <c r="F461" s="65" t="s">
        <v>159</v>
      </c>
      <c r="G461" s="64"/>
      <c r="H461" s="51"/>
      <c r="I461" s="51"/>
      <c r="J461" s="51"/>
      <c r="K461" s="51"/>
      <c r="L461" s="51"/>
      <c r="M461" s="52"/>
    </row>
    <row r="462" spans="2:13" s="59" customFormat="1" ht="13.5">
      <c r="B462" s="50"/>
      <c r="C462" s="62"/>
      <c r="D462" s="62"/>
      <c r="E462" s="63" t="s">
        <v>118</v>
      </c>
      <c r="F462" s="63"/>
      <c r="G462" s="64"/>
      <c r="H462" s="51"/>
      <c r="I462" s="51"/>
      <c r="J462" s="51"/>
      <c r="K462" s="51"/>
      <c r="L462" s="51"/>
      <c r="M462" s="52"/>
    </row>
    <row r="463" spans="2:13" s="59" customFormat="1" ht="13.5">
      <c r="B463" s="50"/>
      <c r="C463" s="51"/>
      <c r="D463" s="51"/>
      <c r="E463" s="51"/>
      <c r="F463" s="51"/>
      <c r="G463" s="51"/>
      <c r="H463" s="51"/>
      <c r="I463" s="51"/>
      <c r="J463" s="51"/>
      <c r="K463" s="51"/>
      <c r="L463" s="51"/>
      <c r="M463" s="52"/>
    </row>
    <row r="464" spans="2:13">
      <c r="B464" s="66"/>
      <c r="C464" s="60" t="s">
        <v>119</v>
      </c>
      <c r="D464" s="67"/>
      <c r="E464" s="67"/>
      <c r="F464" s="67"/>
      <c r="G464" s="67"/>
      <c r="H464" s="67"/>
      <c r="I464" s="67"/>
      <c r="J464" s="67"/>
      <c r="K464" s="67"/>
      <c r="L464" s="67"/>
      <c r="M464" s="58"/>
    </row>
    <row r="465" spans="2:13">
      <c r="B465" s="66"/>
      <c r="C465" s="68" t="s">
        <v>120</v>
      </c>
      <c r="D465" s="69">
        <v>-2</v>
      </c>
      <c r="E465" s="70"/>
      <c r="F465" s="70"/>
      <c r="G465" s="70"/>
      <c r="H465" s="70"/>
      <c r="I465" s="70"/>
      <c r="J465" s="70"/>
      <c r="K465" s="71"/>
      <c r="L465" s="67"/>
      <c r="M465" s="58"/>
    </row>
    <row r="466" spans="2:13">
      <c r="B466" s="66"/>
      <c r="C466" s="72" t="s">
        <v>121</v>
      </c>
      <c r="D466" s="73" t="s">
        <v>122</v>
      </c>
      <c r="E466" s="70"/>
      <c r="F466" s="70"/>
      <c r="G466" s="70"/>
      <c r="H466" s="70"/>
      <c r="I466" s="70"/>
      <c r="J466" s="70"/>
      <c r="K466" s="71"/>
      <c r="L466" s="67"/>
      <c r="M466" s="58"/>
    </row>
    <row r="467" spans="2:13">
      <c r="B467" s="66"/>
      <c r="C467" s="72" t="s">
        <v>171</v>
      </c>
      <c r="D467" s="73" t="s">
        <v>153</v>
      </c>
      <c r="E467" s="70"/>
      <c r="F467" s="70"/>
      <c r="G467" s="70"/>
      <c r="H467" s="70"/>
      <c r="I467" s="70"/>
      <c r="J467" s="70"/>
      <c r="K467" s="71"/>
      <c r="L467" s="67"/>
      <c r="M467" s="58"/>
    </row>
    <row r="468" spans="2:13">
      <c r="B468" s="66"/>
      <c r="C468" s="72" t="s">
        <v>125</v>
      </c>
      <c r="D468" s="73" t="s">
        <v>173</v>
      </c>
      <c r="E468" s="70"/>
      <c r="F468" s="70"/>
      <c r="G468" s="70"/>
      <c r="H468" s="70"/>
      <c r="I468" s="70"/>
      <c r="J468" s="70"/>
      <c r="K468" s="71"/>
      <c r="L468" s="67"/>
      <c r="M468" s="58"/>
    </row>
    <row r="469" spans="2:13">
      <c r="B469" s="66"/>
      <c r="C469" s="37"/>
      <c r="D469" s="67"/>
      <c r="E469" s="67"/>
      <c r="F469" s="67"/>
      <c r="G469" s="67"/>
      <c r="H469" s="67"/>
      <c r="I469" s="67"/>
      <c r="J469" s="67"/>
      <c r="K469" s="67"/>
      <c r="L469" s="67"/>
      <c r="M469" s="58"/>
    </row>
    <row r="470" spans="2:13">
      <c r="B470" s="66"/>
      <c r="C470" s="37"/>
      <c r="D470" s="67"/>
      <c r="E470" s="67"/>
      <c r="F470" s="67"/>
      <c r="G470" s="67"/>
      <c r="H470" s="67"/>
      <c r="I470" s="67"/>
      <c r="J470" s="67"/>
      <c r="K470" s="67"/>
      <c r="L470" s="67"/>
      <c r="M470" s="58"/>
    </row>
    <row r="471" spans="2:13">
      <c r="B471" s="66"/>
      <c r="C471" s="37"/>
      <c r="D471" s="67"/>
      <c r="E471" s="67"/>
      <c r="F471" s="67"/>
      <c r="G471" s="67"/>
      <c r="H471" s="67"/>
      <c r="I471" s="67"/>
      <c r="J471" s="67"/>
      <c r="K471" s="67"/>
      <c r="L471" s="67"/>
      <c r="M471" s="58"/>
    </row>
    <row r="472" spans="2:13">
      <c r="B472" s="66"/>
      <c r="C472" s="37"/>
      <c r="D472" s="67"/>
      <c r="E472" s="67"/>
      <c r="F472" s="67"/>
      <c r="G472" s="67"/>
      <c r="H472" s="67"/>
      <c r="I472" s="67"/>
      <c r="J472" s="67"/>
      <c r="K472" s="67"/>
      <c r="L472" s="67"/>
      <c r="M472" s="58"/>
    </row>
    <row r="473" spans="2:13">
      <c r="B473" s="66"/>
      <c r="C473" s="77" t="s">
        <v>155</v>
      </c>
      <c r="D473" s="78" t="s">
        <v>156</v>
      </c>
      <c r="E473" s="78"/>
      <c r="F473" s="78"/>
      <c r="G473" s="78"/>
      <c r="H473" s="78"/>
      <c r="J473" s="78"/>
      <c r="K473" s="78"/>
      <c r="L473" s="78"/>
      <c r="M473" s="58"/>
    </row>
    <row r="474" spans="2:13">
      <c r="B474" s="66"/>
      <c r="C474" s="77"/>
      <c r="D474" s="78"/>
      <c r="E474" s="78"/>
      <c r="F474" s="78"/>
      <c r="G474" s="78"/>
      <c r="H474" s="78"/>
      <c r="J474" s="78"/>
      <c r="K474" s="78"/>
      <c r="L474" s="78"/>
      <c r="M474" s="58"/>
    </row>
    <row r="475" spans="2:13" ht="15.5" thickBot="1">
      <c r="B475" s="79"/>
      <c r="C475" s="80"/>
      <c r="D475" s="81"/>
      <c r="E475" s="81"/>
      <c r="F475" s="81"/>
      <c r="G475" s="81"/>
      <c r="H475" s="81"/>
      <c r="I475" s="81"/>
      <c r="J475" s="81"/>
      <c r="K475" s="81"/>
      <c r="L475" s="81"/>
      <c r="M475" s="82"/>
    </row>
  </sheetData>
  <phoneticPr fontId="27" type="noConversion"/>
  <hyperlinks>
    <hyperlink ref="A1" location="【TCS】!A1" display="戻る" xr:uid="{FAC756C0-FCC4-4288-B5BA-BB5FD816AF6C}"/>
  </hyperlinks>
  <pageMargins left="0.78700000000000003" right="0.78700000000000003" top="0.98399999999999999" bottom="0.98399999999999999" header="0.51200000000000001" footer="0.51200000000000001"/>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B8743-87EB-4986-99EA-904440A59B59}">
  <dimension ref="A1:J254"/>
  <sheetViews>
    <sheetView showGridLines="0" workbookViewId="0">
      <pane ySplit="7" topLeftCell="A8" activePane="bottomLeft" state="frozen"/>
      <selection pane="bottomLeft"/>
    </sheetView>
  </sheetViews>
  <sheetFormatPr defaultRowHeight="15"/>
  <cols>
    <col min="1" max="1" width="3.26953125" style="35" customWidth="1"/>
    <col min="2" max="2" width="7.08984375" style="35" customWidth="1"/>
    <col min="3" max="3" width="3.08984375" style="35" customWidth="1"/>
    <col min="4" max="4" width="4.08984375" style="37" customWidth="1"/>
    <col min="5" max="7" width="9" style="37"/>
    <col min="8" max="8" width="8" style="37" customWidth="1"/>
    <col min="9" max="9" width="7.08984375" style="37" customWidth="1"/>
    <col min="10" max="10" width="41.26953125" style="37" customWidth="1"/>
    <col min="11" max="11" width="9" style="35"/>
    <col min="12" max="12" width="9.7265625" style="35" customWidth="1"/>
    <col min="13" max="14" width="10.26953125" style="35" customWidth="1"/>
    <col min="15" max="15" width="11.26953125" style="35" customWidth="1"/>
    <col min="16" max="16" width="8.6328125" style="35" customWidth="1"/>
    <col min="17" max="17" width="10.36328125" style="35" customWidth="1"/>
    <col min="18" max="18" width="9" style="35"/>
    <col min="19" max="19" width="8.08984375" style="35" customWidth="1"/>
    <col min="20" max="21" width="9.453125" style="35" bestFit="1" customWidth="1"/>
    <col min="22" max="22" width="9.6328125" style="35" customWidth="1"/>
    <col min="23" max="256" width="9" style="35"/>
    <col min="257" max="257" width="3.26953125" style="35" customWidth="1"/>
    <col min="258" max="258" width="7.08984375" style="35" customWidth="1"/>
    <col min="259" max="259" width="3.08984375" style="35" customWidth="1"/>
    <col min="260" max="260" width="4.08984375" style="35" customWidth="1"/>
    <col min="261" max="263" width="9" style="35"/>
    <col min="264" max="264" width="8" style="35" customWidth="1"/>
    <col min="265" max="265" width="7.08984375" style="35" customWidth="1"/>
    <col min="266" max="266" width="41.26953125" style="35" customWidth="1"/>
    <col min="267" max="267" width="9" style="35"/>
    <col min="268" max="268" width="9.7265625" style="35" customWidth="1"/>
    <col min="269" max="270" width="10.26953125" style="35" customWidth="1"/>
    <col min="271" max="271" width="11.26953125" style="35" customWidth="1"/>
    <col min="272" max="272" width="8.6328125" style="35" customWidth="1"/>
    <col min="273" max="273" width="10.36328125" style="35" customWidth="1"/>
    <col min="274" max="274" width="9" style="35"/>
    <col min="275" max="275" width="8.08984375" style="35" customWidth="1"/>
    <col min="276" max="277" width="9.453125" style="35" bestFit="1" customWidth="1"/>
    <col min="278" max="278" width="9.6328125" style="35" customWidth="1"/>
    <col min="279" max="512" width="9" style="35"/>
    <col min="513" max="513" width="3.26953125" style="35" customWidth="1"/>
    <col min="514" max="514" width="7.08984375" style="35" customWidth="1"/>
    <col min="515" max="515" width="3.08984375" style="35" customWidth="1"/>
    <col min="516" max="516" width="4.08984375" style="35" customWidth="1"/>
    <col min="517" max="519" width="9" style="35"/>
    <col min="520" max="520" width="8" style="35" customWidth="1"/>
    <col min="521" max="521" width="7.08984375" style="35" customWidth="1"/>
    <col min="522" max="522" width="41.26953125" style="35" customWidth="1"/>
    <col min="523" max="523" width="9" style="35"/>
    <col min="524" max="524" width="9.7265625" style="35" customWidth="1"/>
    <col min="525" max="526" width="10.26953125" style="35" customWidth="1"/>
    <col min="527" max="527" width="11.26953125" style="35" customWidth="1"/>
    <col min="528" max="528" width="8.6328125" style="35" customWidth="1"/>
    <col min="529" max="529" width="10.36328125" style="35" customWidth="1"/>
    <col min="530" max="530" width="9" style="35"/>
    <col min="531" max="531" width="8.08984375" style="35" customWidth="1"/>
    <col min="532" max="533" width="9.453125" style="35" bestFit="1" customWidth="1"/>
    <col min="534" max="534" width="9.6328125" style="35" customWidth="1"/>
    <col min="535" max="768" width="9" style="35"/>
    <col min="769" max="769" width="3.26953125" style="35" customWidth="1"/>
    <col min="770" max="770" width="7.08984375" style="35" customWidth="1"/>
    <col min="771" max="771" width="3.08984375" style="35" customWidth="1"/>
    <col min="772" max="772" width="4.08984375" style="35" customWidth="1"/>
    <col min="773" max="775" width="9" style="35"/>
    <col min="776" max="776" width="8" style="35" customWidth="1"/>
    <col min="777" max="777" width="7.08984375" style="35" customWidth="1"/>
    <col min="778" max="778" width="41.26953125" style="35" customWidth="1"/>
    <col min="779" max="779" width="9" style="35"/>
    <col min="780" max="780" width="9.7265625" style="35" customWidth="1"/>
    <col min="781" max="782" width="10.26953125" style="35" customWidth="1"/>
    <col min="783" max="783" width="11.26953125" style="35" customWidth="1"/>
    <col min="784" max="784" width="8.6328125" style="35" customWidth="1"/>
    <col min="785" max="785" width="10.36328125" style="35" customWidth="1"/>
    <col min="786" max="786" width="9" style="35"/>
    <col min="787" max="787" width="8.08984375" style="35" customWidth="1"/>
    <col min="788" max="789" width="9.453125" style="35" bestFit="1" customWidth="1"/>
    <col min="790" max="790" width="9.6328125" style="35" customWidth="1"/>
    <col min="791" max="1024" width="9" style="35"/>
    <col min="1025" max="1025" width="3.26953125" style="35" customWidth="1"/>
    <col min="1026" max="1026" width="7.08984375" style="35" customWidth="1"/>
    <col min="1027" max="1027" width="3.08984375" style="35" customWidth="1"/>
    <col min="1028" max="1028" width="4.08984375" style="35" customWidth="1"/>
    <col min="1029" max="1031" width="9" style="35"/>
    <col min="1032" max="1032" width="8" style="35" customWidth="1"/>
    <col min="1033" max="1033" width="7.08984375" style="35" customWidth="1"/>
    <col min="1034" max="1034" width="41.26953125" style="35" customWidth="1"/>
    <col min="1035" max="1035" width="9" style="35"/>
    <col min="1036" max="1036" width="9.7265625" style="35" customWidth="1"/>
    <col min="1037" max="1038" width="10.26953125" style="35" customWidth="1"/>
    <col min="1039" max="1039" width="11.26953125" style="35" customWidth="1"/>
    <col min="1040" max="1040" width="8.6328125" style="35" customWidth="1"/>
    <col min="1041" max="1041" width="10.36328125" style="35" customWidth="1"/>
    <col min="1042" max="1042" width="9" style="35"/>
    <col min="1043" max="1043" width="8.08984375" style="35" customWidth="1"/>
    <col min="1044" max="1045" width="9.453125" style="35" bestFit="1" customWidth="1"/>
    <col min="1046" max="1046" width="9.6328125" style="35" customWidth="1"/>
    <col min="1047" max="1280" width="9" style="35"/>
    <col min="1281" max="1281" width="3.26953125" style="35" customWidth="1"/>
    <col min="1282" max="1282" width="7.08984375" style="35" customWidth="1"/>
    <col min="1283" max="1283" width="3.08984375" style="35" customWidth="1"/>
    <col min="1284" max="1284" width="4.08984375" style="35" customWidth="1"/>
    <col min="1285" max="1287" width="9" style="35"/>
    <col min="1288" max="1288" width="8" style="35" customWidth="1"/>
    <col min="1289" max="1289" width="7.08984375" style="35" customWidth="1"/>
    <col min="1290" max="1290" width="41.26953125" style="35" customWidth="1"/>
    <col min="1291" max="1291" width="9" style="35"/>
    <col min="1292" max="1292" width="9.7265625" style="35" customWidth="1"/>
    <col min="1293" max="1294" width="10.26953125" style="35" customWidth="1"/>
    <col min="1295" max="1295" width="11.26953125" style="35" customWidth="1"/>
    <col min="1296" max="1296" width="8.6328125" style="35" customWidth="1"/>
    <col min="1297" max="1297" width="10.36328125" style="35" customWidth="1"/>
    <col min="1298" max="1298" width="9" style="35"/>
    <col min="1299" max="1299" width="8.08984375" style="35" customWidth="1"/>
    <col min="1300" max="1301" width="9.453125" style="35" bestFit="1" customWidth="1"/>
    <col min="1302" max="1302" width="9.6328125" style="35" customWidth="1"/>
    <col min="1303" max="1536" width="9" style="35"/>
    <col min="1537" max="1537" width="3.26953125" style="35" customWidth="1"/>
    <col min="1538" max="1538" width="7.08984375" style="35" customWidth="1"/>
    <col min="1539" max="1539" width="3.08984375" style="35" customWidth="1"/>
    <col min="1540" max="1540" width="4.08984375" style="35" customWidth="1"/>
    <col min="1541" max="1543" width="9" style="35"/>
    <col min="1544" max="1544" width="8" style="35" customWidth="1"/>
    <col min="1545" max="1545" width="7.08984375" style="35" customWidth="1"/>
    <col min="1546" max="1546" width="41.26953125" style="35" customWidth="1"/>
    <col min="1547" max="1547" width="9" style="35"/>
    <col min="1548" max="1548" width="9.7265625" style="35" customWidth="1"/>
    <col min="1549" max="1550" width="10.26953125" style="35" customWidth="1"/>
    <col min="1551" max="1551" width="11.26953125" style="35" customWidth="1"/>
    <col min="1552" max="1552" width="8.6328125" style="35" customWidth="1"/>
    <col min="1553" max="1553" width="10.36328125" style="35" customWidth="1"/>
    <col min="1554" max="1554" width="9" style="35"/>
    <col min="1555" max="1555" width="8.08984375" style="35" customWidth="1"/>
    <col min="1556" max="1557" width="9.453125" style="35" bestFit="1" customWidth="1"/>
    <col min="1558" max="1558" width="9.6328125" style="35" customWidth="1"/>
    <col min="1559" max="1792" width="9" style="35"/>
    <col min="1793" max="1793" width="3.26953125" style="35" customWidth="1"/>
    <col min="1794" max="1794" width="7.08984375" style="35" customWidth="1"/>
    <col min="1795" max="1795" width="3.08984375" style="35" customWidth="1"/>
    <col min="1796" max="1796" width="4.08984375" style="35" customWidth="1"/>
    <col min="1797" max="1799" width="9" style="35"/>
    <col min="1800" max="1800" width="8" style="35" customWidth="1"/>
    <col min="1801" max="1801" width="7.08984375" style="35" customWidth="1"/>
    <col min="1802" max="1802" width="41.26953125" style="35" customWidth="1"/>
    <col min="1803" max="1803" width="9" style="35"/>
    <col min="1804" max="1804" width="9.7265625" style="35" customWidth="1"/>
    <col min="1805" max="1806" width="10.26953125" style="35" customWidth="1"/>
    <col min="1807" max="1807" width="11.26953125" style="35" customWidth="1"/>
    <col min="1808" max="1808" width="8.6328125" style="35" customWidth="1"/>
    <col min="1809" max="1809" width="10.36328125" style="35" customWidth="1"/>
    <col min="1810" max="1810" width="9" style="35"/>
    <col min="1811" max="1811" width="8.08984375" style="35" customWidth="1"/>
    <col min="1812" max="1813" width="9.453125" style="35" bestFit="1" customWidth="1"/>
    <col min="1814" max="1814" width="9.6328125" style="35" customWidth="1"/>
    <col min="1815" max="2048" width="9" style="35"/>
    <col min="2049" max="2049" width="3.26953125" style="35" customWidth="1"/>
    <col min="2050" max="2050" width="7.08984375" style="35" customWidth="1"/>
    <col min="2051" max="2051" width="3.08984375" style="35" customWidth="1"/>
    <col min="2052" max="2052" width="4.08984375" style="35" customWidth="1"/>
    <col min="2053" max="2055" width="9" style="35"/>
    <col min="2056" max="2056" width="8" style="35" customWidth="1"/>
    <col min="2057" max="2057" width="7.08984375" style="35" customWidth="1"/>
    <col min="2058" max="2058" width="41.26953125" style="35" customWidth="1"/>
    <col min="2059" max="2059" width="9" style="35"/>
    <col min="2060" max="2060" width="9.7265625" style="35" customWidth="1"/>
    <col min="2061" max="2062" width="10.26953125" style="35" customWidth="1"/>
    <col min="2063" max="2063" width="11.26953125" style="35" customWidth="1"/>
    <col min="2064" max="2064" width="8.6328125" style="35" customWidth="1"/>
    <col min="2065" max="2065" width="10.36328125" style="35" customWidth="1"/>
    <col min="2066" max="2066" width="9" style="35"/>
    <col min="2067" max="2067" width="8.08984375" style="35" customWidth="1"/>
    <col min="2068" max="2069" width="9.453125" style="35" bestFit="1" customWidth="1"/>
    <col min="2070" max="2070" width="9.6328125" style="35" customWidth="1"/>
    <col min="2071" max="2304" width="9" style="35"/>
    <col min="2305" max="2305" width="3.26953125" style="35" customWidth="1"/>
    <col min="2306" max="2306" width="7.08984375" style="35" customWidth="1"/>
    <col min="2307" max="2307" width="3.08984375" style="35" customWidth="1"/>
    <col min="2308" max="2308" width="4.08984375" style="35" customWidth="1"/>
    <col min="2309" max="2311" width="9" style="35"/>
    <col min="2312" max="2312" width="8" style="35" customWidth="1"/>
    <col min="2313" max="2313" width="7.08984375" style="35" customWidth="1"/>
    <col min="2314" max="2314" width="41.26953125" style="35" customWidth="1"/>
    <col min="2315" max="2315" width="9" style="35"/>
    <col min="2316" max="2316" width="9.7265625" style="35" customWidth="1"/>
    <col min="2317" max="2318" width="10.26953125" style="35" customWidth="1"/>
    <col min="2319" max="2319" width="11.26953125" style="35" customWidth="1"/>
    <col min="2320" max="2320" width="8.6328125" style="35" customWidth="1"/>
    <col min="2321" max="2321" width="10.36328125" style="35" customWidth="1"/>
    <col min="2322" max="2322" width="9" style="35"/>
    <col min="2323" max="2323" width="8.08984375" style="35" customWidth="1"/>
    <col min="2324" max="2325" width="9.453125" style="35" bestFit="1" customWidth="1"/>
    <col min="2326" max="2326" width="9.6328125" style="35" customWidth="1"/>
    <col min="2327" max="2560" width="9" style="35"/>
    <col min="2561" max="2561" width="3.26953125" style="35" customWidth="1"/>
    <col min="2562" max="2562" width="7.08984375" style="35" customWidth="1"/>
    <col min="2563" max="2563" width="3.08984375" style="35" customWidth="1"/>
    <col min="2564" max="2564" width="4.08984375" style="35" customWidth="1"/>
    <col min="2565" max="2567" width="9" style="35"/>
    <col min="2568" max="2568" width="8" style="35" customWidth="1"/>
    <col min="2569" max="2569" width="7.08984375" style="35" customWidth="1"/>
    <col min="2570" max="2570" width="41.26953125" style="35" customWidth="1"/>
    <col min="2571" max="2571" width="9" style="35"/>
    <col min="2572" max="2572" width="9.7265625" style="35" customWidth="1"/>
    <col min="2573" max="2574" width="10.26953125" style="35" customWidth="1"/>
    <col min="2575" max="2575" width="11.26953125" style="35" customWidth="1"/>
    <col min="2576" max="2576" width="8.6328125" style="35" customWidth="1"/>
    <col min="2577" max="2577" width="10.36328125" style="35" customWidth="1"/>
    <col min="2578" max="2578" width="9" style="35"/>
    <col min="2579" max="2579" width="8.08984375" style="35" customWidth="1"/>
    <col min="2580" max="2581" width="9.453125" style="35" bestFit="1" customWidth="1"/>
    <col min="2582" max="2582" width="9.6328125" style="35" customWidth="1"/>
    <col min="2583" max="2816" width="9" style="35"/>
    <col min="2817" max="2817" width="3.26953125" style="35" customWidth="1"/>
    <col min="2818" max="2818" width="7.08984375" style="35" customWidth="1"/>
    <col min="2819" max="2819" width="3.08984375" style="35" customWidth="1"/>
    <col min="2820" max="2820" width="4.08984375" style="35" customWidth="1"/>
    <col min="2821" max="2823" width="9" style="35"/>
    <col min="2824" max="2824" width="8" style="35" customWidth="1"/>
    <col min="2825" max="2825" width="7.08984375" style="35" customWidth="1"/>
    <col min="2826" max="2826" width="41.26953125" style="35" customWidth="1"/>
    <col min="2827" max="2827" width="9" style="35"/>
    <col min="2828" max="2828" width="9.7265625" style="35" customWidth="1"/>
    <col min="2829" max="2830" width="10.26953125" style="35" customWidth="1"/>
    <col min="2831" max="2831" width="11.26953125" style="35" customWidth="1"/>
    <col min="2832" max="2832" width="8.6328125" style="35" customWidth="1"/>
    <col min="2833" max="2833" width="10.36328125" style="35" customWidth="1"/>
    <col min="2834" max="2834" width="9" style="35"/>
    <col min="2835" max="2835" width="8.08984375" style="35" customWidth="1"/>
    <col min="2836" max="2837" width="9.453125" style="35" bestFit="1" customWidth="1"/>
    <col min="2838" max="2838" width="9.6328125" style="35" customWidth="1"/>
    <col min="2839" max="3072" width="9" style="35"/>
    <col min="3073" max="3073" width="3.26953125" style="35" customWidth="1"/>
    <col min="3074" max="3074" width="7.08984375" style="35" customWidth="1"/>
    <col min="3075" max="3075" width="3.08984375" style="35" customWidth="1"/>
    <col min="3076" max="3076" width="4.08984375" style="35" customWidth="1"/>
    <col min="3077" max="3079" width="9" style="35"/>
    <col min="3080" max="3080" width="8" style="35" customWidth="1"/>
    <col min="3081" max="3081" width="7.08984375" style="35" customWidth="1"/>
    <col min="3082" max="3082" width="41.26953125" style="35" customWidth="1"/>
    <col min="3083" max="3083" width="9" style="35"/>
    <col min="3084" max="3084" width="9.7265625" style="35" customWidth="1"/>
    <col min="3085" max="3086" width="10.26953125" style="35" customWidth="1"/>
    <col min="3087" max="3087" width="11.26953125" style="35" customWidth="1"/>
    <col min="3088" max="3088" width="8.6328125" style="35" customWidth="1"/>
    <col min="3089" max="3089" width="10.36328125" style="35" customWidth="1"/>
    <col min="3090" max="3090" width="9" style="35"/>
    <col min="3091" max="3091" width="8.08984375" style="35" customWidth="1"/>
    <col min="3092" max="3093" width="9.453125" style="35" bestFit="1" customWidth="1"/>
    <col min="3094" max="3094" width="9.6328125" style="35" customWidth="1"/>
    <col min="3095" max="3328" width="9" style="35"/>
    <col min="3329" max="3329" width="3.26953125" style="35" customWidth="1"/>
    <col min="3330" max="3330" width="7.08984375" style="35" customWidth="1"/>
    <col min="3331" max="3331" width="3.08984375" style="35" customWidth="1"/>
    <col min="3332" max="3332" width="4.08984375" style="35" customWidth="1"/>
    <col min="3333" max="3335" width="9" style="35"/>
    <col min="3336" max="3336" width="8" style="35" customWidth="1"/>
    <col min="3337" max="3337" width="7.08984375" style="35" customWidth="1"/>
    <col min="3338" max="3338" width="41.26953125" style="35" customWidth="1"/>
    <col min="3339" max="3339" width="9" style="35"/>
    <col min="3340" max="3340" width="9.7265625" style="35" customWidth="1"/>
    <col min="3341" max="3342" width="10.26953125" style="35" customWidth="1"/>
    <col min="3343" max="3343" width="11.26953125" style="35" customWidth="1"/>
    <col min="3344" max="3344" width="8.6328125" style="35" customWidth="1"/>
    <col min="3345" max="3345" width="10.36328125" style="35" customWidth="1"/>
    <col min="3346" max="3346" width="9" style="35"/>
    <col min="3347" max="3347" width="8.08984375" style="35" customWidth="1"/>
    <col min="3348" max="3349" width="9.453125" style="35" bestFit="1" customWidth="1"/>
    <col min="3350" max="3350" width="9.6328125" style="35" customWidth="1"/>
    <col min="3351" max="3584" width="9" style="35"/>
    <col min="3585" max="3585" width="3.26953125" style="35" customWidth="1"/>
    <col min="3586" max="3586" width="7.08984375" style="35" customWidth="1"/>
    <col min="3587" max="3587" width="3.08984375" style="35" customWidth="1"/>
    <col min="3588" max="3588" width="4.08984375" style="35" customWidth="1"/>
    <col min="3589" max="3591" width="9" style="35"/>
    <col min="3592" max="3592" width="8" style="35" customWidth="1"/>
    <col min="3593" max="3593" width="7.08984375" style="35" customWidth="1"/>
    <col min="3594" max="3594" width="41.26953125" style="35" customWidth="1"/>
    <col min="3595" max="3595" width="9" style="35"/>
    <col min="3596" max="3596" width="9.7265625" style="35" customWidth="1"/>
    <col min="3597" max="3598" width="10.26953125" style="35" customWidth="1"/>
    <col min="3599" max="3599" width="11.26953125" style="35" customWidth="1"/>
    <col min="3600" max="3600" width="8.6328125" style="35" customWidth="1"/>
    <col min="3601" max="3601" width="10.36328125" style="35" customWidth="1"/>
    <col min="3602" max="3602" width="9" style="35"/>
    <col min="3603" max="3603" width="8.08984375" style="35" customWidth="1"/>
    <col min="3604" max="3605" width="9.453125" style="35" bestFit="1" customWidth="1"/>
    <col min="3606" max="3606" width="9.6328125" style="35" customWidth="1"/>
    <col min="3607" max="3840" width="9" style="35"/>
    <col min="3841" max="3841" width="3.26953125" style="35" customWidth="1"/>
    <col min="3842" max="3842" width="7.08984375" style="35" customWidth="1"/>
    <col min="3843" max="3843" width="3.08984375" style="35" customWidth="1"/>
    <col min="3844" max="3844" width="4.08984375" style="35" customWidth="1"/>
    <col min="3845" max="3847" width="9" style="35"/>
    <col min="3848" max="3848" width="8" style="35" customWidth="1"/>
    <col min="3849" max="3849" width="7.08984375" style="35" customWidth="1"/>
    <col min="3850" max="3850" width="41.26953125" style="35" customWidth="1"/>
    <col min="3851" max="3851" width="9" style="35"/>
    <col min="3852" max="3852" width="9.7265625" style="35" customWidth="1"/>
    <col min="3853" max="3854" width="10.26953125" style="35" customWidth="1"/>
    <col min="3855" max="3855" width="11.26953125" style="35" customWidth="1"/>
    <col min="3856" max="3856" width="8.6328125" style="35" customWidth="1"/>
    <col min="3857" max="3857" width="10.36328125" style="35" customWidth="1"/>
    <col min="3858" max="3858" width="9" style="35"/>
    <col min="3859" max="3859" width="8.08984375" style="35" customWidth="1"/>
    <col min="3860" max="3861" width="9.453125" style="35" bestFit="1" customWidth="1"/>
    <col min="3862" max="3862" width="9.6328125" style="35" customWidth="1"/>
    <col min="3863" max="4096" width="9" style="35"/>
    <col min="4097" max="4097" width="3.26953125" style="35" customWidth="1"/>
    <col min="4098" max="4098" width="7.08984375" style="35" customWidth="1"/>
    <col min="4099" max="4099" width="3.08984375" style="35" customWidth="1"/>
    <col min="4100" max="4100" width="4.08984375" style="35" customWidth="1"/>
    <col min="4101" max="4103" width="9" style="35"/>
    <col min="4104" max="4104" width="8" style="35" customWidth="1"/>
    <col min="4105" max="4105" width="7.08984375" style="35" customWidth="1"/>
    <col min="4106" max="4106" width="41.26953125" style="35" customWidth="1"/>
    <col min="4107" max="4107" width="9" style="35"/>
    <col min="4108" max="4108" width="9.7265625" style="35" customWidth="1"/>
    <col min="4109" max="4110" width="10.26953125" style="35" customWidth="1"/>
    <col min="4111" max="4111" width="11.26953125" style="35" customWidth="1"/>
    <col min="4112" max="4112" width="8.6328125" style="35" customWidth="1"/>
    <col min="4113" max="4113" width="10.36328125" style="35" customWidth="1"/>
    <col min="4114" max="4114" width="9" style="35"/>
    <col min="4115" max="4115" width="8.08984375" style="35" customWidth="1"/>
    <col min="4116" max="4117" width="9.453125" style="35" bestFit="1" customWidth="1"/>
    <col min="4118" max="4118" width="9.6328125" style="35" customWidth="1"/>
    <col min="4119" max="4352" width="9" style="35"/>
    <col min="4353" max="4353" width="3.26953125" style="35" customWidth="1"/>
    <col min="4354" max="4354" width="7.08984375" style="35" customWidth="1"/>
    <col min="4355" max="4355" width="3.08984375" style="35" customWidth="1"/>
    <col min="4356" max="4356" width="4.08984375" style="35" customWidth="1"/>
    <col min="4357" max="4359" width="9" style="35"/>
    <col min="4360" max="4360" width="8" style="35" customWidth="1"/>
    <col min="4361" max="4361" width="7.08984375" style="35" customWidth="1"/>
    <col min="4362" max="4362" width="41.26953125" style="35" customWidth="1"/>
    <col min="4363" max="4363" width="9" style="35"/>
    <col min="4364" max="4364" width="9.7265625" style="35" customWidth="1"/>
    <col min="4365" max="4366" width="10.26953125" style="35" customWidth="1"/>
    <col min="4367" max="4367" width="11.26953125" style="35" customWidth="1"/>
    <col min="4368" max="4368" width="8.6328125" style="35" customWidth="1"/>
    <col min="4369" max="4369" width="10.36328125" style="35" customWidth="1"/>
    <col min="4370" max="4370" width="9" style="35"/>
    <col min="4371" max="4371" width="8.08984375" style="35" customWidth="1"/>
    <col min="4372" max="4373" width="9.453125" style="35" bestFit="1" customWidth="1"/>
    <col min="4374" max="4374" width="9.6328125" style="35" customWidth="1"/>
    <col min="4375" max="4608" width="9" style="35"/>
    <col min="4609" max="4609" width="3.26953125" style="35" customWidth="1"/>
    <col min="4610" max="4610" width="7.08984375" style="35" customWidth="1"/>
    <col min="4611" max="4611" width="3.08984375" style="35" customWidth="1"/>
    <col min="4612" max="4612" width="4.08984375" style="35" customWidth="1"/>
    <col min="4613" max="4615" width="9" style="35"/>
    <col min="4616" max="4616" width="8" style="35" customWidth="1"/>
    <col min="4617" max="4617" width="7.08984375" style="35" customWidth="1"/>
    <col min="4618" max="4618" width="41.26953125" style="35" customWidth="1"/>
    <col min="4619" max="4619" width="9" style="35"/>
    <col min="4620" max="4620" width="9.7265625" style="35" customWidth="1"/>
    <col min="4621" max="4622" width="10.26953125" style="35" customWidth="1"/>
    <col min="4623" max="4623" width="11.26953125" style="35" customWidth="1"/>
    <col min="4624" max="4624" width="8.6328125" style="35" customWidth="1"/>
    <col min="4625" max="4625" width="10.36328125" style="35" customWidth="1"/>
    <col min="4626" max="4626" width="9" style="35"/>
    <col min="4627" max="4627" width="8.08984375" style="35" customWidth="1"/>
    <col min="4628" max="4629" width="9.453125" style="35" bestFit="1" customWidth="1"/>
    <col min="4630" max="4630" width="9.6328125" style="35" customWidth="1"/>
    <col min="4631" max="4864" width="9" style="35"/>
    <col min="4865" max="4865" width="3.26953125" style="35" customWidth="1"/>
    <col min="4866" max="4866" width="7.08984375" style="35" customWidth="1"/>
    <col min="4867" max="4867" width="3.08984375" style="35" customWidth="1"/>
    <col min="4868" max="4868" width="4.08984375" style="35" customWidth="1"/>
    <col min="4869" max="4871" width="9" style="35"/>
    <col min="4872" max="4872" width="8" style="35" customWidth="1"/>
    <col min="4873" max="4873" width="7.08984375" style="35" customWidth="1"/>
    <col min="4874" max="4874" width="41.26953125" style="35" customWidth="1"/>
    <col min="4875" max="4875" width="9" style="35"/>
    <col min="4876" max="4876" width="9.7265625" style="35" customWidth="1"/>
    <col min="4877" max="4878" width="10.26953125" style="35" customWidth="1"/>
    <col min="4879" max="4879" width="11.26953125" style="35" customWidth="1"/>
    <col min="4880" max="4880" width="8.6328125" style="35" customWidth="1"/>
    <col min="4881" max="4881" width="10.36328125" style="35" customWidth="1"/>
    <col min="4882" max="4882" width="9" style="35"/>
    <col min="4883" max="4883" width="8.08984375" style="35" customWidth="1"/>
    <col min="4884" max="4885" width="9.453125" style="35" bestFit="1" customWidth="1"/>
    <col min="4886" max="4886" width="9.6328125" style="35" customWidth="1"/>
    <col min="4887" max="5120" width="9" style="35"/>
    <col min="5121" max="5121" width="3.26953125" style="35" customWidth="1"/>
    <col min="5122" max="5122" width="7.08984375" style="35" customWidth="1"/>
    <col min="5123" max="5123" width="3.08984375" style="35" customWidth="1"/>
    <col min="5124" max="5124" width="4.08984375" style="35" customWidth="1"/>
    <col min="5125" max="5127" width="9" style="35"/>
    <col min="5128" max="5128" width="8" style="35" customWidth="1"/>
    <col min="5129" max="5129" width="7.08984375" style="35" customWidth="1"/>
    <col min="5130" max="5130" width="41.26953125" style="35" customWidth="1"/>
    <col min="5131" max="5131" width="9" style="35"/>
    <col min="5132" max="5132" width="9.7265625" style="35" customWidth="1"/>
    <col min="5133" max="5134" width="10.26953125" style="35" customWidth="1"/>
    <col min="5135" max="5135" width="11.26953125" style="35" customWidth="1"/>
    <col min="5136" max="5136" width="8.6328125" style="35" customWidth="1"/>
    <col min="5137" max="5137" width="10.36328125" style="35" customWidth="1"/>
    <col min="5138" max="5138" width="9" style="35"/>
    <col min="5139" max="5139" width="8.08984375" style="35" customWidth="1"/>
    <col min="5140" max="5141" width="9.453125" style="35" bestFit="1" customWidth="1"/>
    <col min="5142" max="5142" width="9.6328125" style="35" customWidth="1"/>
    <col min="5143" max="5376" width="9" style="35"/>
    <col min="5377" max="5377" width="3.26953125" style="35" customWidth="1"/>
    <col min="5378" max="5378" width="7.08984375" style="35" customWidth="1"/>
    <col min="5379" max="5379" width="3.08984375" style="35" customWidth="1"/>
    <col min="5380" max="5380" width="4.08984375" style="35" customWidth="1"/>
    <col min="5381" max="5383" width="9" style="35"/>
    <col min="5384" max="5384" width="8" style="35" customWidth="1"/>
    <col min="5385" max="5385" width="7.08984375" style="35" customWidth="1"/>
    <col min="5386" max="5386" width="41.26953125" style="35" customWidth="1"/>
    <col min="5387" max="5387" width="9" style="35"/>
    <col min="5388" max="5388" width="9.7265625" style="35" customWidth="1"/>
    <col min="5389" max="5390" width="10.26953125" style="35" customWidth="1"/>
    <col min="5391" max="5391" width="11.26953125" style="35" customWidth="1"/>
    <col min="5392" max="5392" width="8.6328125" style="35" customWidth="1"/>
    <col min="5393" max="5393" width="10.36328125" style="35" customWidth="1"/>
    <col min="5394" max="5394" width="9" style="35"/>
    <col min="5395" max="5395" width="8.08984375" style="35" customWidth="1"/>
    <col min="5396" max="5397" width="9.453125" style="35" bestFit="1" customWidth="1"/>
    <col min="5398" max="5398" width="9.6328125" style="35" customWidth="1"/>
    <col min="5399" max="5632" width="9" style="35"/>
    <col min="5633" max="5633" width="3.26953125" style="35" customWidth="1"/>
    <col min="5634" max="5634" width="7.08984375" style="35" customWidth="1"/>
    <col min="5635" max="5635" width="3.08984375" style="35" customWidth="1"/>
    <col min="5636" max="5636" width="4.08984375" style="35" customWidth="1"/>
    <col min="5637" max="5639" width="9" style="35"/>
    <col min="5640" max="5640" width="8" style="35" customWidth="1"/>
    <col min="5641" max="5641" width="7.08984375" style="35" customWidth="1"/>
    <col min="5642" max="5642" width="41.26953125" style="35" customWidth="1"/>
    <col min="5643" max="5643" width="9" style="35"/>
    <col min="5644" max="5644" width="9.7265625" style="35" customWidth="1"/>
    <col min="5645" max="5646" width="10.26953125" style="35" customWidth="1"/>
    <col min="5647" max="5647" width="11.26953125" style="35" customWidth="1"/>
    <col min="5648" max="5648" width="8.6328125" style="35" customWidth="1"/>
    <col min="5649" max="5649" width="10.36328125" style="35" customWidth="1"/>
    <col min="5650" max="5650" width="9" style="35"/>
    <col min="5651" max="5651" width="8.08984375" style="35" customWidth="1"/>
    <col min="5652" max="5653" width="9.453125" style="35" bestFit="1" customWidth="1"/>
    <col min="5654" max="5654" width="9.6328125" style="35" customWidth="1"/>
    <col min="5655" max="5888" width="9" style="35"/>
    <col min="5889" max="5889" width="3.26953125" style="35" customWidth="1"/>
    <col min="5890" max="5890" width="7.08984375" style="35" customWidth="1"/>
    <col min="5891" max="5891" width="3.08984375" style="35" customWidth="1"/>
    <col min="5892" max="5892" width="4.08984375" style="35" customWidth="1"/>
    <col min="5893" max="5895" width="9" style="35"/>
    <col min="5896" max="5896" width="8" style="35" customWidth="1"/>
    <col min="5897" max="5897" width="7.08984375" style="35" customWidth="1"/>
    <col min="5898" max="5898" width="41.26953125" style="35" customWidth="1"/>
    <col min="5899" max="5899" width="9" style="35"/>
    <col min="5900" max="5900" width="9.7265625" style="35" customWidth="1"/>
    <col min="5901" max="5902" width="10.26953125" style="35" customWidth="1"/>
    <col min="5903" max="5903" width="11.26953125" style="35" customWidth="1"/>
    <col min="5904" max="5904" width="8.6328125" style="35" customWidth="1"/>
    <col min="5905" max="5905" width="10.36328125" style="35" customWidth="1"/>
    <col min="5906" max="5906" width="9" style="35"/>
    <col min="5907" max="5907" width="8.08984375" style="35" customWidth="1"/>
    <col min="5908" max="5909" width="9.453125" style="35" bestFit="1" customWidth="1"/>
    <col min="5910" max="5910" width="9.6328125" style="35" customWidth="1"/>
    <col min="5911" max="6144" width="9" style="35"/>
    <col min="6145" max="6145" width="3.26953125" style="35" customWidth="1"/>
    <col min="6146" max="6146" width="7.08984375" style="35" customWidth="1"/>
    <col min="6147" max="6147" width="3.08984375" style="35" customWidth="1"/>
    <col min="6148" max="6148" width="4.08984375" style="35" customWidth="1"/>
    <col min="6149" max="6151" width="9" style="35"/>
    <col min="6152" max="6152" width="8" style="35" customWidth="1"/>
    <col min="6153" max="6153" width="7.08984375" style="35" customWidth="1"/>
    <col min="6154" max="6154" width="41.26953125" style="35" customWidth="1"/>
    <col min="6155" max="6155" width="9" style="35"/>
    <col min="6156" max="6156" width="9.7265625" style="35" customWidth="1"/>
    <col min="6157" max="6158" width="10.26953125" style="35" customWidth="1"/>
    <col min="6159" max="6159" width="11.26953125" style="35" customWidth="1"/>
    <col min="6160" max="6160" width="8.6328125" style="35" customWidth="1"/>
    <col min="6161" max="6161" width="10.36328125" style="35" customWidth="1"/>
    <col min="6162" max="6162" width="9" style="35"/>
    <col min="6163" max="6163" width="8.08984375" style="35" customWidth="1"/>
    <col min="6164" max="6165" width="9.453125" style="35" bestFit="1" customWidth="1"/>
    <col min="6166" max="6166" width="9.6328125" style="35" customWidth="1"/>
    <col min="6167" max="6400" width="9" style="35"/>
    <col min="6401" max="6401" width="3.26953125" style="35" customWidth="1"/>
    <col min="6402" max="6402" width="7.08984375" style="35" customWidth="1"/>
    <col min="6403" max="6403" width="3.08984375" style="35" customWidth="1"/>
    <col min="6404" max="6404" width="4.08984375" style="35" customWidth="1"/>
    <col min="6405" max="6407" width="9" style="35"/>
    <col min="6408" max="6408" width="8" style="35" customWidth="1"/>
    <col min="6409" max="6409" width="7.08984375" style="35" customWidth="1"/>
    <col min="6410" max="6410" width="41.26953125" style="35" customWidth="1"/>
    <col min="6411" max="6411" width="9" style="35"/>
    <col min="6412" max="6412" width="9.7265625" style="35" customWidth="1"/>
    <col min="6413" max="6414" width="10.26953125" style="35" customWidth="1"/>
    <col min="6415" max="6415" width="11.26953125" style="35" customWidth="1"/>
    <col min="6416" max="6416" width="8.6328125" style="35" customWidth="1"/>
    <col min="6417" max="6417" width="10.36328125" style="35" customWidth="1"/>
    <col min="6418" max="6418" width="9" style="35"/>
    <col min="6419" max="6419" width="8.08984375" style="35" customWidth="1"/>
    <col min="6420" max="6421" width="9.453125" style="35" bestFit="1" customWidth="1"/>
    <col min="6422" max="6422" width="9.6328125" style="35" customWidth="1"/>
    <col min="6423" max="6656" width="9" style="35"/>
    <col min="6657" max="6657" width="3.26953125" style="35" customWidth="1"/>
    <col min="6658" max="6658" width="7.08984375" style="35" customWidth="1"/>
    <col min="6659" max="6659" width="3.08984375" style="35" customWidth="1"/>
    <col min="6660" max="6660" width="4.08984375" style="35" customWidth="1"/>
    <col min="6661" max="6663" width="9" style="35"/>
    <col min="6664" max="6664" width="8" style="35" customWidth="1"/>
    <col min="6665" max="6665" width="7.08984375" style="35" customWidth="1"/>
    <col min="6666" max="6666" width="41.26953125" style="35" customWidth="1"/>
    <col min="6667" max="6667" width="9" style="35"/>
    <col min="6668" max="6668" width="9.7265625" style="35" customWidth="1"/>
    <col min="6669" max="6670" width="10.26953125" style="35" customWidth="1"/>
    <col min="6671" max="6671" width="11.26953125" style="35" customWidth="1"/>
    <col min="6672" max="6672" width="8.6328125" style="35" customWidth="1"/>
    <col min="6673" max="6673" width="10.36328125" style="35" customWidth="1"/>
    <col min="6674" max="6674" width="9" style="35"/>
    <col min="6675" max="6675" width="8.08984375" style="35" customWidth="1"/>
    <col min="6676" max="6677" width="9.453125" style="35" bestFit="1" customWidth="1"/>
    <col min="6678" max="6678" width="9.6328125" style="35" customWidth="1"/>
    <col min="6679" max="6912" width="9" style="35"/>
    <col min="6913" max="6913" width="3.26953125" style="35" customWidth="1"/>
    <col min="6914" max="6914" width="7.08984375" style="35" customWidth="1"/>
    <col min="6915" max="6915" width="3.08984375" style="35" customWidth="1"/>
    <col min="6916" max="6916" width="4.08984375" style="35" customWidth="1"/>
    <col min="6917" max="6919" width="9" style="35"/>
    <col min="6920" max="6920" width="8" style="35" customWidth="1"/>
    <col min="6921" max="6921" width="7.08984375" style="35" customWidth="1"/>
    <col min="6922" max="6922" width="41.26953125" style="35" customWidth="1"/>
    <col min="6923" max="6923" width="9" style="35"/>
    <col min="6924" max="6924" width="9.7265625" style="35" customWidth="1"/>
    <col min="6925" max="6926" width="10.26953125" style="35" customWidth="1"/>
    <col min="6927" max="6927" width="11.26953125" style="35" customWidth="1"/>
    <col min="6928" max="6928" width="8.6328125" style="35" customWidth="1"/>
    <col min="6929" max="6929" width="10.36328125" style="35" customWidth="1"/>
    <col min="6930" max="6930" width="9" style="35"/>
    <col min="6931" max="6931" width="8.08984375" style="35" customWidth="1"/>
    <col min="6932" max="6933" width="9.453125" style="35" bestFit="1" customWidth="1"/>
    <col min="6934" max="6934" width="9.6328125" style="35" customWidth="1"/>
    <col min="6935" max="7168" width="9" style="35"/>
    <col min="7169" max="7169" width="3.26953125" style="35" customWidth="1"/>
    <col min="7170" max="7170" width="7.08984375" style="35" customWidth="1"/>
    <col min="7171" max="7171" width="3.08984375" style="35" customWidth="1"/>
    <col min="7172" max="7172" width="4.08984375" style="35" customWidth="1"/>
    <col min="7173" max="7175" width="9" style="35"/>
    <col min="7176" max="7176" width="8" style="35" customWidth="1"/>
    <col min="7177" max="7177" width="7.08984375" style="35" customWidth="1"/>
    <col min="7178" max="7178" width="41.26953125" style="35" customWidth="1"/>
    <col min="7179" max="7179" width="9" style="35"/>
    <col min="7180" max="7180" width="9.7265625" style="35" customWidth="1"/>
    <col min="7181" max="7182" width="10.26953125" style="35" customWidth="1"/>
    <col min="7183" max="7183" width="11.26953125" style="35" customWidth="1"/>
    <col min="7184" max="7184" width="8.6328125" style="35" customWidth="1"/>
    <col min="7185" max="7185" width="10.36328125" style="35" customWidth="1"/>
    <col min="7186" max="7186" width="9" style="35"/>
    <col min="7187" max="7187" width="8.08984375" style="35" customWidth="1"/>
    <col min="7188" max="7189" width="9.453125" style="35" bestFit="1" customWidth="1"/>
    <col min="7190" max="7190" width="9.6328125" style="35" customWidth="1"/>
    <col min="7191" max="7424" width="9" style="35"/>
    <col min="7425" max="7425" width="3.26953125" style="35" customWidth="1"/>
    <col min="7426" max="7426" width="7.08984375" style="35" customWidth="1"/>
    <col min="7427" max="7427" width="3.08984375" style="35" customWidth="1"/>
    <col min="7428" max="7428" width="4.08984375" style="35" customWidth="1"/>
    <col min="7429" max="7431" width="9" style="35"/>
    <col min="7432" max="7432" width="8" style="35" customWidth="1"/>
    <col min="7433" max="7433" width="7.08984375" style="35" customWidth="1"/>
    <col min="7434" max="7434" width="41.26953125" style="35" customWidth="1"/>
    <col min="7435" max="7435" width="9" style="35"/>
    <col min="7436" max="7436" width="9.7265625" style="35" customWidth="1"/>
    <col min="7437" max="7438" width="10.26953125" style="35" customWidth="1"/>
    <col min="7439" max="7439" width="11.26953125" style="35" customWidth="1"/>
    <col min="7440" max="7440" width="8.6328125" style="35" customWidth="1"/>
    <col min="7441" max="7441" width="10.36328125" style="35" customWidth="1"/>
    <col min="7442" max="7442" width="9" style="35"/>
    <col min="7443" max="7443" width="8.08984375" style="35" customWidth="1"/>
    <col min="7444" max="7445" width="9.453125" style="35" bestFit="1" customWidth="1"/>
    <col min="7446" max="7446" width="9.6328125" style="35" customWidth="1"/>
    <col min="7447" max="7680" width="9" style="35"/>
    <col min="7681" max="7681" width="3.26953125" style="35" customWidth="1"/>
    <col min="7682" max="7682" width="7.08984375" style="35" customWidth="1"/>
    <col min="7683" max="7683" width="3.08984375" style="35" customWidth="1"/>
    <col min="7684" max="7684" width="4.08984375" style="35" customWidth="1"/>
    <col min="7685" max="7687" width="9" style="35"/>
    <col min="7688" max="7688" width="8" style="35" customWidth="1"/>
    <col min="7689" max="7689" width="7.08984375" style="35" customWidth="1"/>
    <col min="7690" max="7690" width="41.26953125" style="35" customWidth="1"/>
    <col min="7691" max="7691" width="9" style="35"/>
    <col min="7692" max="7692" width="9.7265625" style="35" customWidth="1"/>
    <col min="7693" max="7694" width="10.26953125" style="35" customWidth="1"/>
    <col min="7695" max="7695" width="11.26953125" style="35" customWidth="1"/>
    <col min="7696" max="7696" width="8.6328125" style="35" customWidth="1"/>
    <col min="7697" max="7697" width="10.36328125" style="35" customWidth="1"/>
    <col min="7698" max="7698" width="9" style="35"/>
    <col min="7699" max="7699" width="8.08984375" style="35" customWidth="1"/>
    <col min="7700" max="7701" width="9.453125" style="35" bestFit="1" customWidth="1"/>
    <col min="7702" max="7702" width="9.6328125" style="35" customWidth="1"/>
    <col min="7703" max="7936" width="9" style="35"/>
    <col min="7937" max="7937" width="3.26953125" style="35" customWidth="1"/>
    <col min="7938" max="7938" width="7.08984375" style="35" customWidth="1"/>
    <col min="7939" max="7939" width="3.08984375" style="35" customWidth="1"/>
    <col min="7940" max="7940" width="4.08984375" style="35" customWidth="1"/>
    <col min="7941" max="7943" width="9" style="35"/>
    <col min="7944" max="7944" width="8" style="35" customWidth="1"/>
    <col min="7945" max="7945" width="7.08984375" style="35" customWidth="1"/>
    <col min="7946" max="7946" width="41.26953125" style="35" customWidth="1"/>
    <col min="7947" max="7947" width="9" style="35"/>
    <col min="7948" max="7948" width="9.7265625" style="35" customWidth="1"/>
    <col min="7949" max="7950" width="10.26953125" style="35" customWidth="1"/>
    <col min="7951" max="7951" width="11.26953125" style="35" customWidth="1"/>
    <col min="7952" max="7952" width="8.6328125" style="35" customWidth="1"/>
    <col min="7953" max="7953" width="10.36328125" style="35" customWidth="1"/>
    <col min="7954" max="7954" width="9" style="35"/>
    <col min="7955" max="7955" width="8.08984375" style="35" customWidth="1"/>
    <col min="7956" max="7957" width="9.453125" style="35" bestFit="1" customWidth="1"/>
    <col min="7958" max="7958" width="9.6328125" style="35" customWidth="1"/>
    <col min="7959" max="8192" width="9" style="35"/>
    <col min="8193" max="8193" width="3.26953125" style="35" customWidth="1"/>
    <col min="8194" max="8194" width="7.08984375" style="35" customWidth="1"/>
    <col min="8195" max="8195" width="3.08984375" style="35" customWidth="1"/>
    <col min="8196" max="8196" width="4.08984375" style="35" customWidth="1"/>
    <col min="8197" max="8199" width="9" style="35"/>
    <col min="8200" max="8200" width="8" style="35" customWidth="1"/>
    <col min="8201" max="8201" width="7.08984375" style="35" customWidth="1"/>
    <col min="8202" max="8202" width="41.26953125" style="35" customWidth="1"/>
    <col min="8203" max="8203" width="9" style="35"/>
    <col min="8204" max="8204" width="9.7265625" style="35" customWidth="1"/>
    <col min="8205" max="8206" width="10.26953125" style="35" customWidth="1"/>
    <col min="8207" max="8207" width="11.26953125" style="35" customWidth="1"/>
    <col min="8208" max="8208" width="8.6328125" style="35" customWidth="1"/>
    <col min="8209" max="8209" width="10.36328125" style="35" customWidth="1"/>
    <col min="8210" max="8210" width="9" style="35"/>
    <col min="8211" max="8211" width="8.08984375" style="35" customWidth="1"/>
    <col min="8212" max="8213" width="9.453125" style="35" bestFit="1" customWidth="1"/>
    <col min="8214" max="8214" width="9.6328125" style="35" customWidth="1"/>
    <col min="8215" max="8448" width="9" style="35"/>
    <col min="8449" max="8449" width="3.26953125" style="35" customWidth="1"/>
    <col min="8450" max="8450" width="7.08984375" style="35" customWidth="1"/>
    <col min="8451" max="8451" width="3.08984375" style="35" customWidth="1"/>
    <col min="8452" max="8452" width="4.08984375" style="35" customWidth="1"/>
    <col min="8453" max="8455" width="9" style="35"/>
    <col min="8456" max="8456" width="8" style="35" customWidth="1"/>
    <col min="8457" max="8457" width="7.08984375" style="35" customWidth="1"/>
    <col min="8458" max="8458" width="41.26953125" style="35" customWidth="1"/>
    <col min="8459" max="8459" width="9" style="35"/>
    <col min="8460" max="8460" width="9.7265625" style="35" customWidth="1"/>
    <col min="8461" max="8462" width="10.26953125" style="35" customWidth="1"/>
    <col min="8463" max="8463" width="11.26953125" style="35" customWidth="1"/>
    <col min="8464" max="8464" width="8.6328125" style="35" customWidth="1"/>
    <col min="8465" max="8465" width="10.36328125" style="35" customWidth="1"/>
    <col min="8466" max="8466" width="9" style="35"/>
    <col min="8467" max="8467" width="8.08984375" style="35" customWidth="1"/>
    <col min="8468" max="8469" width="9.453125" style="35" bestFit="1" customWidth="1"/>
    <col min="8470" max="8470" width="9.6328125" style="35" customWidth="1"/>
    <col min="8471" max="8704" width="9" style="35"/>
    <col min="8705" max="8705" width="3.26953125" style="35" customWidth="1"/>
    <col min="8706" max="8706" width="7.08984375" style="35" customWidth="1"/>
    <col min="8707" max="8707" width="3.08984375" style="35" customWidth="1"/>
    <col min="8708" max="8708" width="4.08984375" style="35" customWidth="1"/>
    <col min="8709" max="8711" width="9" style="35"/>
    <col min="8712" max="8712" width="8" style="35" customWidth="1"/>
    <col min="8713" max="8713" width="7.08984375" style="35" customWidth="1"/>
    <col min="8714" max="8714" width="41.26953125" style="35" customWidth="1"/>
    <col min="8715" max="8715" width="9" style="35"/>
    <col min="8716" max="8716" width="9.7265625" style="35" customWidth="1"/>
    <col min="8717" max="8718" width="10.26953125" style="35" customWidth="1"/>
    <col min="8719" max="8719" width="11.26953125" style="35" customWidth="1"/>
    <col min="8720" max="8720" width="8.6328125" style="35" customWidth="1"/>
    <col min="8721" max="8721" width="10.36328125" style="35" customWidth="1"/>
    <col min="8722" max="8722" width="9" style="35"/>
    <col min="8723" max="8723" width="8.08984375" style="35" customWidth="1"/>
    <col min="8724" max="8725" width="9.453125" style="35" bestFit="1" customWidth="1"/>
    <col min="8726" max="8726" width="9.6328125" style="35" customWidth="1"/>
    <col min="8727" max="8960" width="9" style="35"/>
    <col min="8961" max="8961" width="3.26953125" style="35" customWidth="1"/>
    <col min="8962" max="8962" width="7.08984375" style="35" customWidth="1"/>
    <col min="8963" max="8963" width="3.08984375" style="35" customWidth="1"/>
    <col min="8964" max="8964" width="4.08984375" style="35" customWidth="1"/>
    <col min="8965" max="8967" width="9" style="35"/>
    <col min="8968" max="8968" width="8" style="35" customWidth="1"/>
    <col min="8969" max="8969" width="7.08984375" style="35" customWidth="1"/>
    <col min="8970" max="8970" width="41.26953125" style="35" customWidth="1"/>
    <col min="8971" max="8971" width="9" style="35"/>
    <col min="8972" max="8972" width="9.7265625" style="35" customWidth="1"/>
    <col min="8973" max="8974" width="10.26953125" style="35" customWidth="1"/>
    <col min="8975" max="8975" width="11.26953125" style="35" customWidth="1"/>
    <col min="8976" max="8976" width="8.6328125" style="35" customWidth="1"/>
    <col min="8977" max="8977" width="10.36328125" style="35" customWidth="1"/>
    <col min="8978" max="8978" width="9" style="35"/>
    <col min="8979" max="8979" width="8.08984375" style="35" customWidth="1"/>
    <col min="8980" max="8981" width="9.453125" style="35" bestFit="1" customWidth="1"/>
    <col min="8982" max="8982" width="9.6328125" style="35" customWidth="1"/>
    <col min="8983" max="9216" width="9" style="35"/>
    <col min="9217" max="9217" width="3.26953125" style="35" customWidth="1"/>
    <col min="9218" max="9218" width="7.08984375" style="35" customWidth="1"/>
    <col min="9219" max="9219" width="3.08984375" style="35" customWidth="1"/>
    <col min="9220" max="9220" width="4.08984375" style="35" customWidth="1"/>
    <col min="9221" max="9223" width="9" style="35"/>
    <col min="9224" max="9224" width="8" style="35" customWidth="1"/>
    <col min="9225" max="9225" width="7.08984375" style="35" customWidth="1"/>
    <col min="9226" max="9226" width="41.26953125" style="35" customWidth="1"/>
    <col min="9227" max="9227" width="9" style="35"/>
    <col min="9228" max="9228" width="9.7265625" style="35" customWidth="1"/>
    <col min="9229" max="9230" width="10.26953125" style="35" customWidth="1"/>
    <col min="9231" max="9231" width="11.26953125" style="35" customWidth="1"/>
    <col min="9232" max="9232" width="8.6328125" style="35" customWidth="1"/>
    <col min="9233" max="9233" width="10.36328125" style="35" customWidth="1"/>
    <col min="9234" max="9234" width="9" style="35"/>
    <col min="9235" max="9235" width="8.08984375" style="35" customWidth="1"/>
    <col min="9236" max="9237" width="9.453125" style="35" bestFit="1" customWidth="1"/>
    <col min="9238" max="9238" width="9.6328125" style="35" customWidth="1"/>
    <col min="9239" max="9472" width="9" style="35"/>
    <col min="9473" max="9473" width="3.26953125" style="35" customWidth="1"/>
    <col min="9474" max="9474" width="7.08984375" style="35" customWidth="1"/>
    <col min="9475" max="9475" width="3.08984375" style="35" customWidth="1"/>
    <col min="9476" max="9476" width="4.08984375" style="35" customWidth="1"/>
    <col min="9477" max="9479" width="9" style="35"/>
    <col min="9480" max="9480" width="8" style="35" customWidth="1"/>
    <col min="9481" max="9481" width="7.08984375" style="35" customWidth="1"/>
    <col min="9482" max="9482" width="41.26953125" style="35" customWidth="1"/>
    <col min="9483" max="9483" width="9" style="35"/>
    <col min="9484" max="9484" width="9.7265625" style="35" customWidth="1"/>
    <col min="9485" max="9486" width="10.26953125" style="35" customWidth="1"/>
    <col min="9487" max="9487" width="11.26953125" style="35" customWidth="1"/>
    <col min="9488" max="9488" width="8.6328125" style="35" customWidth="1"/>
    <col min="9489" max="9489" width="10.36328125" style="35" customWidth="1"/>
    <col min="9490" max="9490" width="9" style="35"/>
    <col min="9491" max="9491" width="8.08984375" style="35" customWidth="1"/>
    <col min="9492" max="9493" width="9.453125" style="35" bestFit="1" customWidth="1"/>
    <col min="9494" max="9494" width="9.6328125" style="35" customWidth="1"/>
    <col min="9495" max="9728" width="9" style="35"/>
    <col min="9729" max="9729" width="3.26953125" style="35" customWidth="1"/>
    <col min="9730" max="9730" width="7.08984375" style="35" customWidth="1"/>
    <col min="9731" max="9731" width="3.08984375" style="35" customWidth="1"/>
    <col min="9732" max="9732" width="4.08984375" style="35" customWidth="1"/>
    <col min="9733" max="9735" width="9" style="35"/>
    <col min="9736" max="9736" width="8" style="35" customWidth="1"/>
    <col min="9737" max="9737" width="7.08984375" style="35" customWidth="1"/>
    <col min="9738" max="9738" width="41.26953125" style="35" customWidth="1"/>
    <col min="9739" max="9739" width="9" style="35"/>
    <col min="9740" max="9740" width="9.7265625" style="35" customWidth="1"/>
    <col min="9741" max="9742" width="10.26953125" style="35" customWidth="1"/>
    <col min="9743" max="9743" width="11.26953125" style="35" customWidth="1"/>
    <col min="9744" max="9744" width="8.6328125" style="35" customWidth="1"/>
    <col min="9745" max="9745" width="10.36328125" style="35" customWidth="1"/>
    <col min="9746" max="9746" width="9" style="35"/>
    <col min="9747" max="9747" width="8.08984375" style="35" customWidth="1"/>
    <col min="9748" max="9749" width="9.453125" style="35" bestFit="1" customWidth="1"/>
    <col min="9750" max="9750" width="9.6328125" style="35" customWidth="1"/>
    <col min="9751" max="9984" width="9" style="35"/>
    <col min="9985" max="9985" width="3.26953125" style="35" customWidth="1"/>
    <col min="9986" max="9986" width="7.08984375" style="35" customWidth="1"/>
    <col min="9987" max="9987" width="3.08984375" style="35" customWidth="1"/>
    <col min="9988" max="9988" width="4.08984375" style="35" customWidth="1"/>
    <col min="9989" max="9991" width="9" style="35"/>
    <col min="9992" max="9992" width="8" style="35" customWidth="1"/>
    <col min="9993" max="9993" width="7.08984375" style="35" customWidth="1"/>
    <col min="9994" max="9994" width="41.26953125" style="35" customWidth="1"/>
    <col min="9995" max="9995" width="9" style="35"/>
    <col min="9996" max="9996" width="9.7265625" style="35" customWidth="1"/>
    <col min="9997" max="9998" width="10.26953125" style="35" customWidth="1"/>
    <col min="9999" max="9999" width="11.26953125" style="35" customWidth="1"/>
    <col min="10000" max="10000" width="8.6328125" style="35" customWidth="1"/>
    <col min="10001" max="10001" width="10.36328125" style="35" customWidth="1"/>
    <col min="10002" max="10002" width="9" style="35"/>
    <col min="10003" max="10003" width="8.08984375" style="35" customWidth="1"/>
    <col min="10004" max="10005" width="9.453125" style="35" bestFit="1" customWidth="1"/>
    <col min="10006" max="10006" width="9.6328125" style="35" customWidth="1"/>
    <col min="10007" max="10240" width="9" style="35"/>
    <col min="10241" max="10241" width="3.26953125" style="35" customWidth="1"/>
    <col min="10242" max="10242" width="7.08984375" style="35" customWidth="1"/>
    <col min="10243" max="10243" width="3.08984375" style="35" customWidth="1"/>
    <col min="10244" max="10244" width="4.08984375" style="35" customWidth="1"/>
    <col min="10245" max="10247" width="9" style="35"/>
    <col min="10248" max="10248" width="8" style="35" customWidth="1"/>
    <col min="10249" max="10249" width="7.08984375" style="35" customWidth="1"/>
    <col min="10250" max="10250" width="41.26953125" style="35" customWidth="1"/>
    <col min="10251" max="10251" width="9" style="35"/>
    <col min="10252" max="10252" width="9.7265625" style="35" customWidth="1"/>
    <col min="10253" max="10254" width="10.26953125" style="35" customWidth="1"/>
    <col min="10255" max="10255" width="11.26953125" style="35" customWidth="1"/>
    <col min="10256" max="10256" width="8.6328125" style="35" customWidth="1"/>
    <col min="10257" max="10257" width="10.36328125" style="35" customWidth="1"/>
    <col min="10258" max="10258" width="9" style="35"/>
    <col min="10259" max="10259" width="8.08984375" style="35" customWidth="1"/>
    <col min="10260" max="10261" width="9.453125" style="35" bestFit="1" customWidth="1"/>
    <col min="10262" max="10262" width="9.6328125" style="35" customWidth="1"/>
    <col min="10263" max="10496" width="9" style="35"/>
    <col min="10497" max="10497" width="3.26953125" style="35" customWidth="1"/>
    <col min="10498" max="10498" width="7.08984375" style="35" customWidth="1"/>
    <col min="10499" max="10499" width="3.08984375" style="35" customWidth="1"/>
    <col min="10500" max="10500" width="4.08984375" style="35" customWidth="1"/>
    <col min="10501" max="10503" width="9" style="35"/>
    <col min="10504" max="10504" width="8" style="35" customWidth="1"/>
    <col min="10505" max="10505" width="7.08984375" style="35" customWidth="1"/>
    <col min="10506" max="10506" width="41.26953125" style="35" customWidth="1"/>
    <col min="10507" max="10507" width="9" style="35"/>
    <col min="10508" max="10508" width="9.7265625" style="35" customWidth="1"/>
    <col min="10509" max="10510" width="10.26953125" style="35" customWidth="1"/>
    <col min="10511" max="10511" width="11.26953125" style="35" customWidth="1"/>
    <col min="10512" max="10512" width="8.6328125" style="35" customWidth="1"/>
    <col min="10513" max="10513" width="10.36328125" style="35" customWidth="1"/>
    <col min="10514" max="10514" width="9" style="35"/>
    <col min="10515" max="10515" width="8.08984375" style="35" customWidth="1"/>
    <col min="10516" max="10517" width="9.453125" style="35" bestFit="1" customWidth="1"/>
    <col min="10518" max="10518" width="9.6328125" style="35" customWidth="1"/>
    <col min="10519" max="10752" width="9" style="35"/>
    <col min="10753" max="10753" width="3.26953125" style="35" customWidth="1"/>
    <col min="10754" max="10754" width="7.08984375" style="35" customWidth="1"/>
    <col min="10755" max="10755" width="3.08984375" style="35" customWidth="1"/>
    <col min="10756" max="10756" width="4.08984375" style="35" customWidth="1"/>
    <col min="10757" max="10759" width="9" style="35"/>
    <col min="10760" max="10760" width="8" style="35" customWidth="1"/>
    <col min="10761" max="10761" width="7.08984375" style="35" customWidth="1"/>
    <col min="10762" max="10762" width="41.26953125" style="35" customWidth="1"/>
    <col min="10763" max="10763" width="9" style="35"/>
    <col min="10764" max="10764" width="9.7265625" style="35" customWidth="1"/>
    <col min="10765" max="10766" width="10.26953125" style="35" customWidth="1"/>
    <col min="10767" max="10767" width="11.26953125" style="35" customWidth="1"/>
    <col min="10768" max="10768" width="8.6328125" style="35" customWidth="1"/>
    <col min="10769" max="10769" width="10.36328125" style="35" customWidth="1"/>
    <col min="10770" max="10770" width="9" style="35"/>
    <col min="10771" max="10771" width="8.08984375" style="35" customWidth="1"/>
    <col min="10772" max="10773" width="9.453125" style="35" bestFit="1" customWidth="1"/>
    <col min="10774" max="10774" width="9.6328125" style="35" customWidth="1"/>
    <col min="10775" max="11008" width="9" style="35"/>
    <col min="11009" max="11009" width="3.26953125" style="35" customWidth="1"/>
    <col min="11010" max="11010" width="7.08984375" style="35" customWidth="1"/>
    <col min="11011" max="11011" width="3.08984375" style="35" customWidth="1"/>
    <col min="11012" max="11012" width="4.08984375" style="35" customWidth="1"/>
    <col min="11013" max="11015" width="9" style="35"/>
    <col min="11016" max="11016" width="8" style="35" customWidth="1"/>
    <col min="11017" max="11017" width="7.08984375" style="35" customWidth="1"/>
    <col min="11018" max="11018" width="41.26953125" style="35" customWidth="1"/>
    <col min="11019" max="11019" width="9" style="35"/>
    <col min="11020" max="11020" width="9.7265625" style="35" customWidth="1"/>
    <col min="11021" max="11022" width="10.26953125" style="35" customWidth="1"/>
    <col min="11023" max="11023" width="11.26953125" style="35" customWidth="1"/>
    <col min="11024" max="11024" width="8.6328125" style="35" customWidth="1"/>
    <col min="11025" max="11025" width="10.36328125" style="35" customWidth="1"/>
    <col min="11026" max="11026" width="9" style="35"/>
    <col min="11027" max="11027" width="8.08984375" style="35" customWidth="1"/>
    <col min="11028" max="11029" width="9.453125" style="35" bestFit="1" customWidth="1"/>
    <col min="11030" max="11030" width="9.6328125" style="35" customWidth="1"/>
    <col min="11031" max="11264" width="9" style="35"/>
    <col min="11265" max="11265" width="3.26953125" style="35" customWidth="1"/>
    <col min="11266" max="11266" width="7.08984375" style="35" customWidth="1"/>
    <col min="11267" max="11267" width="3.08984375" style="35" customWidth="1"/>
    <col min="11268" max="11268" width="4.08984375" style="35" customWidth="1"/>
    <col min="11269" max="11271" width="9" style="35"/>
    <col min="11272" max="11272" width="8" style="35" customWidth="1"/>
    <col min="11273" max="11273" width="7.08984375" style="35" customWidth="1"/>
    <col min="11274" max="11274" width="41.26953125" style="35" customWidth="1"/>
    <col min="11275" max="11275" width="9" style="35"/>
    <col min="11276" max="11276" width="9.7265625" style="35" customWidth="1"/>
    <col min="11277" max="11278" width="10.26953125" style="35" customWidth="1"/>
    <col min="11279" max="11279" width="11.26953125" style="35" customWidth="1"/>
    <col min="11280" max="11280" width="8.6328125" style="35" customWidth="1"/>
    <col min="11281" max="11281" width="10.36328125" style="35" customWidth="1"/>
    <col min="11282" max="11282" width="9" style="35"/>
    <col min="11283" max="11283" width="8.08984375" style="35" customWidth="1"/>
    <col min="11284" max="11285" width="9.453125" style="35" bestFit="1" customWidth="1"/>
    <col min="11286" max="11286" width="9.6328125" style="35" customWidth="1"/>
    <col min="11287" max="11520" width="9" style="35"/>
    <col min="11521" max="11521" width="3.26953125" style="35" customWidth="1"/>
    <col min="11522" max="11522" width="7.08984375" style="35" customWidth="1"/>
    <col min="11523" max="11523" width="3.08984375" style="35" customWidth="1"/>
    <col min="11524" max="11524" width="4.08984375" style="35" customWidth="1"/>
    <col min="11525" max="11527" width="9" style="35"/>
    <col min="11528" max="11528" width="8" style="35" customWidth="1"/>
    <col min="11529" max="11529" width="7.08984375" style="35" customWidth="1"/>
    <col min="11530" max="11530" width="41.26953125" style="35" customWidth="1"/>
    <col min="11531" max="11531" width="9" style="35"/>
    <col min="11532" max="11532" width="9.7265625" style="35" customWidth="1"/>
    <col min="11533" max="11534" width="10.26953125" style="35" customWidth="1"/>
    <col min="11535" max="11535" width="11.26953125" style="35" customWidth="1"/>
    <col min="11536" max="11536" width="8.6328125" style="35" customWidth="1"/>
    <col min="11537" max="11537" width="10.36328125" style="35" customWidth="1"/>
    <col min="11538" max="11538" width="9" style="35"/>
    <col min="11539" max="11539" width="8.08984375" style="35" customWidth="1"/>
    <col min="11540" max="11541" width="9.453125" style="35" bestFit="1" customWidth="1"/>
    <col min="11542" max="11542" width="9.6328125" style="35" customWidth="1"/>
    <col min="11543" max="11776" width="9" style="35"/>
    <col min="11777" max="11777" width="3.26953125" style="35" customWidth="1"/>
    <col min="11778" max="11778" width="7.08984375" style="35" customWidth="1"/>
    <col min="11779" max="11779" width="3.08984375" style="35" customWidth="1"/>
    <col min="11780" max="11780" width="4.08984375" style="35" customWidth="1"/>
    <col min="11781" max="11783" width="9" style="35"/>
    <col min="11784" max="11784" width="8" style="35" customWidth="1"/>
    <col min="11785" max="11785" width="7.08984375" style="35" customWidth="1"/>
    <col min="11786" max="11786" width="41.26953125" style="35" customWidth="1"/>
    <col min="11787" max="11787" width="9" style="35"/>
    <col min="11788" max="11788" width="9.7265625" style="35" customWidth="1"/>
    <col min="11789" max="11790" width="10.26953125" style="35" customWidth="1"/>
    <col min="11791" max="11791" width="11.26953125" style="35" customWidth="1"/>
    <col min="11792" max="11792" width="8.6328125" style="35" customWidth="1"/>
    <col min="11793" max="11793" width="10.36328125" style="35" customWidth="1"/>
    <col min="11794" max="11794" width="9" style="35"/>
    <col min="11795" max="11795" width="8.08984375" style="35" customWidth="1"/>
    <col min="11796" max="11797" width="9.453125" style="35" bestFit="1" customWidth="1"/>
    <col min="11798" max="11798" width="9.6328125" style="35" customWidth="1"/>
    <col min="11799" max="12032" width="9" style="35"/>
    <col min="12033" max="12033" width="3.26953125" style="35" customWidth="1"/>
    <col min="12034" max="12034" width="7.08984375" style="35" customWidth="1"/>
    <col min="12035" max="12035" width="3.08984375" style="35" customWidth="1"/>
    <col min="12036" max="12036" width="4.08984375" style="35" customWidth="1"/>
    <col min="12037" max="12039" width="9" style="35"/>
    <col min="12040" max="12040" width="8" style="35" customWidth="1"/>
    <col min="12041" max="12041" width="7.08984375" style="35" customWidth="1"/>
    <col min="12042" max="12042" width="41.26953125" style="35" customWidth="1"/>
    <col min="12043" max="12043" width="9" style="35"/>
    <col min="12044" max="12044" width="9.7265625" style="35" customWidth="1"/>
    <col min="12045" max="12046" width="10.26953125" style="35" customWidth="1"/>
    <col min="12047" max="12047" width="11.26953125" style="35" customWidth="1"/>
    <col min="12048" max="12048" width="8.6328125" style="35" customWidth="1"/>
    <col min="12049" max="12049" width="10.36328125" style="35" customWidth="1"/>
    <col min="12050" max="12050" width="9" style="35"/>
    <col min="12051" max="12051" width="8.08984375" style="35" customWidth="1"/>
    <col min="12052" max="12053" width="9.453125" style="35" bestFit="1" customWidth="1"/>
    <col min="12054" max="12054" width="9.6328125" style="35" customWidth="1"/>
    <col min="12055" max="12288" width="9" style="35"/>
    <col min="12289" max="12289" width="3.26953125" style="35" customWidth="1"/>
    <col min="12290" max="12290" width="7.08984375" style="35" customWidth="1"/>
    <col min="12291" max="12291" width="3.08984375" style="35" customWidth="1"/>
    <col min="12292" max="12292" width="4.08984375" style="35" customWidth="1"/>
    <col min="12293" max="12295" width="9" style="35"/>
    <col min="12296" max="12296" width="8" style="35" customWidth="1"/>
    <col min="12297" max="12297" width="7.08984375" style="35" customWidth="1"/>
    <col min="12298" max="12298" width="41.26953125" style="35" customWidth="1"/>
    <col min="12299" max="12299" width="9" style="35"/>
    <col min="12300" max="12300" width="9.7265625" style="35" customWidth="1"/>
    <col min="12301" max="12302" width="10.26953125" style="35" customWidth="1"/>
    <col min="12303" max="12303" width="11.26953125" style="35" customWidth="1"/>
    <col min="12304" max="12304" width="8.6328125" style="35" customWidth="1"/>
    <col min="12305" max="12305" width="10.36328125" style="35" customWidth="1"/>
    <col min="12306" max="12306" width="9" style="35"/>
    <col min="12307" max="12307" width="8.08984375" style="35" customWidth="1"/>
    <col min="12308" max="12309" width="9.453125" style="35" bestFit="1" customWidth="1"/>
    <col min="12310" max="12310" width="9.6328125" style="35" customWidth="1"/>
    <col min="12311" max="12544" width="9" style="35"/>
    <col min="12545" max="12545" width="3.26953125" style="35" customWidth="1"/>
    <col min="12546" max="12546" width="7.08984375" style="35" customWidth="1"/>
    <col min="12547" max="12547" width="3.08984375" style="35" customWidth="1"/>
    <col min="12548" max="12548" width="4.08984375" style="35" customWidth="1"/>
    <col min="12549" max="12551" width="9" style="35"/>
    <col min="12552" max="12552" width="8" style="35" customWidth="1"/>
    <col min="12553" max="12553" width="7.08984375" style="35" customWidth="1"/>
    <col min="12554" max="12554" width="41.26953125" style="35" customWidth="1"/>
    <col min="12555" max="12555" width="9" style="35"/>
    <col min="12556" max="12556" width="9.7265625" style="35" customWidth="1"/>
    <col min="12557" max="12558" width="10.26953125" style="35" customWidth="1"/>
    <col min="12559" max="12559" width="11.26953125" style="35" customWidth="1"/>
    <col min="12560" max="12560" width="8.6328125" style="35" customWidth="1"/>
    <col min="12561" max="12561" width="10.36328125" style="35" customWidth="1"/>
    <col min="12562" max="12562" width="9" style="35"/>
    <col min="12563" max="12563" width="8.08984375" style="35" customWidth="1"/>
    <col min="12564" max="12565" width="9.453125" style="35" bestFit="1" customWidth="1"/>
    <col min="12566" max="12566" width="9.6328125" style="35" customWidth="1"/>
    <col min="12567" max="12800" width="9" style="35"/>
    <col min="12801" max="12801" width="3.26953125" style="35" customWidth="1"/>
    <col min="12802" max="12802" width="7.08984375" style="35" customWidth="1"/>
    <col min="12803" max="12803" width="3.08984375" style="35" customWidth="1"/>
    <col min="12804" max="12804" width="4.08984375" style="35" customWidth="1"/>
    <col min="12805" max="12807" width="9" style="35"/>
    <col min="12808" max="12808" width="8" style="35" customWidth="1"/>
    <col min="12809" max="12809" width="7.08984375" style="35" customWidth="1"/>
    <col min="12810" max="12810" width="41.26953125" style="35" customWidth="1"/>
    <col min="12811" max="12811" width="9" style="35"/>
    <col min="12812" max="12812" width="9.7265625" style="35" customWidth="1"/>
    <col min="12813" max="12814" width="10.26953125" style="35" customWidth="1"/>
    <col min="12815" max="12815" width="11.26953125" style="35" customWidth="1"/>
    <col min="12816" max="12816" width="8.6328125" style="35" customWidth="1"/>
    <col min="12817" max="12817" width="10.36328125" style="35" customWidth="1"/>
    <col min="12818" max="12818" width="9" style="35"/>
    <col min="12819" max="12819" width="8.08984375" style="35" customWidth="1"/>
    <col min="12820" max="12821" width="9.453125" style="35" bestFit="1" customWidth="1"/>
    <col min="12822" max="12822" width="9.6328125" style="35" customWidth="1"/>
    <col min="12823" max="13056" width="9" style="35"/>
    <col min="13057" max="13057" width="3.26953125" style="35" customWidth="1"/>
    <col min="13058" max="13058" width="7.08984375" style="35" customWidth="1"/>
    <col min="13059" max="13059" width="3.08984375" style="35" customWidth="1"/>
    <col min="13060" max="13060" width="4.08984375" style="35" customWidth="1"/>
    <col min="13061" max="13063" width="9" style="35"/>
    <col min="13064" max="13064" width="8" style="35" customWidth="1"/>
    <col min="13065" max="13065" width="7.08984375" style="35" customWidth="1"/>
    <col min="13066" max="13066" width="41.26953125" style="35" customWidth="1"/>
    <col min="13067" max="13067" width="9" style="35"/>
    <col min="13068" max="13068" width="9.7265625" style="35" customWidth="1"/>
    <col min="13069" max="13070" width="10.26953125" style="35" customWidth="1"/>
    <col min="13071" max="13071" width="11.26953125" style="35" customWidth="1"/>
    <col min="13072" max="13072" width="8.6328125" style="35" customWidth="1"/>
    <col min="13073" max="13073" width="10.36328125" style="35" customWidth="1"/>
    <col min="13074" max="13074" width="9" style="35"/>
    <col min="13075" max="13075" width="8.08984375" style="35" customWidth="1"/>
    <col min="13076" max="13077" width="9.453125" style="35" bestFit="1" customWidth="1"/>
    <col min="13078" max="13078" width="9.6328125" style="35" customWidth="1"/>
    <col min="13079" max="13312" width="9" style="35"/>
    <col min="13313" max="13313" width="3.26953125" style="35" customWidth="1"/>
    <col min="13314" max="13314" width="7.08984375" style="35" customWidth="1"/>
    <col min="13315" max="13315" width="3.08984375" style="35" customWidth="1"/>
    <col min="13316" max="13316" width="4.08984375" style="35" customWidth="1"/>
    <col min="13317" max="13319" width="9" style="35"/>
    <col min="13320" max="13320" width="8" style="35" customWidth="1"/>
    <col min="13321" max="13321" width="7.08984375" style="35" customWidth="1"/>
    <col min="13322" max="13322" width="41.26953125" style="35" customWidth="1"/>
    <col min="13323" max="13323" width="9" style="35"/>
    <col min="13324" max="13324" width="9.7265625" style="35" customWidth="1"/>
    <col min="13325" max="13326" width="10.26953125" style="35" customWidth="1"/>
    <col min="13327" max="13327" width="11.26953125" style="35" customWidth="1"/>
    <col min="13328" max="13328" width="8.6328125" style="35" customWidth="1"/>
    <col min="13329" max="13329" width="10.36328125" style="35" customWidth="1"/>
    <col min="13330" max="13330" width="9" style="35"/>
    <col min="13331" max="13331" width="8.08984375" style="35" customWidth="1"/>
    <col min="13332" max="13333" width="9.453125" style="35" bestFit="1" customWidth="1"/>
    <col min="13334" max="13334" width="9.6328125" style="35" customWidth="1"/>
    <col min="13335" max="13568" width="9" style="35"/>
    <col min="13569" max="13569" width="3.26953125" style="35" customWidth="1"/>
    <col min="13570" max="13570" width="7.08984375" style="35" customWidth="1"/>
    <col min="13571" max="13571" width="3.08984375" style="35" customWidth="1"/>
    <col min="13572" max="13572" width="4.08984375" style="35" customWidth="1"/>
    <col min="13573" max="13575" width="9" style="35"/>
    <col min="13576" max="13576" width="8" style="35" customWidth="1"/>
    <col min="13577" max="13577" width="7.08984375" style="35" customWidth="1"/>
    <col min="13578" max="13578" width="41.26953125" style="35" customWidth="1"/>
    <col min="13579" max="13579" width="9" style="35"/>
    <col min="13580" max="13580" width="9.7265625" style="35" customWidth="1"/>
    <col min="13581" max="13582" width="10.26953125" style="35" customWidth="1"/>
    <col min="13583" max="13583" width="11.26953125" style="35" customWidth="1"/>
    <col min="13584" max="13584" width="8.6328125" style="35" customWidth="1"/>
    <col min="13585" max="13585" width="10.36328125" style="35" customWidth="1"/>
    <col min="13586" max="13586" width="9" style="35"/>
    <col min="13587" max="13587" width="8.08984375" style="35" customWidth="1"/>
    <col min="13588" max="13589" width="9.453125" style="35" bestFit="1" customWidth="1"/>
    <col min="13590" max="13590" width="9.6328125" style="35" customWidth="1"/>
    <col min="13591" max="13824" width="9" style="35"/>
    <col min="13825" max="13825" width="3.26953125" style="35" customWidth="1"/>
    <col min="13826" max="13826" width="7.08984375" style="35" customWidth="1"/>
    <col min="13827" max="13827" width="3.08984375" style="35" customWidth="1"/>
    <col min="13828" max="13828" width="4.08984375" style="35" customWidth="1"/>
    <col min="13829" max="13831" width="9" style="35"/>
    <col min="13832" max="13832" width="8" style="35" customWidth="1"/>
    <col min="13833" max="13833" width="7.08984375" style="35" customWidth="1"/>
    <col min="13834" max="13834" width="41.26953125" style="35" customWidth="1"/>
    <col min="13835" max="13835" width="9" style="35"/>
    <col min="13836" max="13836" width="9.7265625" style="35" customWidth="1"/>
    <col min="13837" max="13838" width="10.26953125" style="35" customWidth="1"/>
    <col min="13839" max="13839" width="11.26953125" style="35" customWidth="1"/>
    <col min="13840" max="13840" width="8.6328125" style="35" customWidth="1"/>
    <col min="13841" max="13841" width="10.36328125" style="35" customWidth="1"/>
    <col min="13842" max="13842" width="9" style="35"/>
    <col min="13843" max="13843" width="8.08984375" style="35" customWidth="1"/>
    <col min="13844" max="13845" width="9.453125" style="35" bestFit="1" customWidth="1"/>
    <col min="13846" max="13846" width="9.6328125" style="35" customWidth="1"/>
    <col min="13847" max="14080" width="9" style="35"/>
    <col min="14081" max="14081" width="3.26953125" style="35" customWidth="1"/>
    <col min="14082" max="14082" width="7.08984375" style="35" customWidth="1"/>
    <col min="14083" max="14083" width="3.08984375" style="35" customWidth="1"/>
    <col min="14084" max="14084" width="4.08984375" style="35" customWidth="1"/>
    <col min="14085" max="14087" width="9" style="35"/>
    <col min="14088" max="14088" width="8" style="35" customWidth="1"/>
    <col min="14089" max="14089" width="7.08984375" style="35" customWidth="1"/>
    <col min="14090" max="14090" width="41.26953125" style="35" customWidth="1"/>
    <col min="14091" max="14091" width="9" style="35"/>
    <col min="14092" max="14092" width="9.7265625" style="35" customWidth="1"/>
    <col min="14093" max="14094" width="10.26953125" style="35" customWidth="1"/>
    <col min="14095" max="14095" width="11.26953125" style="35" customWidth="1"/>
    <col min="14096" max="14096" width="8.6328125" style="35" customWidth="1"/>
    <col min="14097" max="14097" width="10.36328125" style="35" customWidth="1"/>
    <col min="14098" max="14098" width="9" style="35"/>
    <col min="14099" max="14099" width="8.08984375" style="35" customWidth="1"/>
    <col min="14100" max="14101" width="9.453125" style="35" bestFit="1" customWidth="1"/>
    <col min="14102" max="14102" width="9.6328125" style="35" customWidth="1"/>
    <col min="14103" max="14336" width="9" style="35"/>
    <col min="14337" max="14337" width="3.26953125" style="35" customWidth="1"/>
    <col min="14338" max="14338" width="7.08984375" style="35" customWidth="1"/>
    <col min="14339" max="14339" width="3.08984375" style="35" customWidth="1"/>
    <col min="14340" max="14340" width="4.08984375" style="35" customWidth="1"/>
    <col min="14341" max="14343" width="9" style="35"/>
    <col min="14344" max="14344" width="8" style="35" customWidth="1"/>
    <col min="14345" max="14345" width="7.08984375" style="35" customWidth="1"/>
    <col min="14346" max="14346" width="41.26953125" style="35" customWidth="1"/>
    <col min="14347" max="14347" width="9" style="35"/>
    <col min="14348" max="14348" width="9.7265625" style="35" customWidth="1"/>
    <col min="14349" max="14350" width="10.26953125" style="35" customWidth="1"/>
    <col min="14351" max="14351" width="11.26953125" style="35" customWidth="1"/>
    <col min="14352" max="14352" width="8.6328125" style="35" customWidth="1"/>
    <col min="14353" max="14353" width="10.36328125" style="35" customWidth="1"/>
    <col min="14354" max="14354" width="9" style="35"/>
    <col min="14355" max="14355" width="8.08984375" style="35" customWidth="1"/>
    <col min="14356" max="14357" width="9.453125" style="35" bestFit="1" customWidth="1"/>
    <col min="14358" max="14358" width="9.6328125" style="35" customWidth="1"/>
    <col min="14359" max="14592" width="9" style="35"/>
    <col min="14593" max="14593" width="3.26953125" style="35" customWidth="1"/>
    <col min="14594" max="14594" width="7.08984375" style="35" customWidth="1"/>
    <col min="14595" max="14595" width="3.08984375" style="35" customWidth="1"/>
    <col min="14596" max="14596" width="4.08984375" style="35" customWidth="1"/>
    <col min="14597" max="14599" width="9" style="35"/>
    <col min="14600" max="14600" width="8" style="35" customWidth="1"/>
    <col min="14601" max="14601" width="7.08984375" style="35" customWidth="1"/>
    <col min="14602" max="14602" width="41.26953125" style="35" customWidth="1"/>
    <col min="14603" max="14603" width="9" style="35"/>
    <col min="14604" max="14604" width="9.7265625" style="35" customWidth="1"/>
    <col min="14605" max="14606" width="10.26953125" style="35" customWidth="1"/>
    <col min="14607" max="14607" width="11.26953125" style="35" customWidth="1"/>
    <col min="14608" max="14608" width="8.6328125" style="35" customWidth="1"/>
    <col min="14609" max="14609" width="10.36328125" style="35" customWidth="1"/>
    <col min="14610" max="14610" width="9" style="35"/>
    <col min="14611" max="14611" width="8.08984375" style="35" customWidth="1"/>
    <col min="14612" max="14613" width="9.453125" style="35" bestFit="1" customWidth="1"/>
    <col min="14614" max="14614" width="9.6328125" style="35" customWidth="1"/>
    <col min="14615" max="14848" width="9" style="35"/>
    <col min="14849" max="14849" width="3.26953125" style="35" customWidth="1"/>
    <col min="14850" max="14850" width="7.08984375" style="35" customWidth="1"/>
    <col min="14851" max="14851" width="3.08984375" style="35" customWidth="1"/>
    <col min="14852" max="14852" width="4.08984375" style="35" customWidth="1"/>
    <col min="14853" max="14855" width="9" style="35"/>
    <col min="14856" max="14856" width="8" style="35" customWidth="1"/>
    <col min="14857" max="14857" width="7.08984375" style="35" customWidth="1"/>
    <col min="14858" max="14858" width="41.26953125" style="35" customWidth="1"/>
    <col min="14859" max="14859" width="9" style="35"/>
    <col min="14860" max="14860" width="9.7265625" style="35" customWidth="1"/>
    <col min="14861" max="14862" width="10.26953125" style="35" customWidth="1"/>
    <col min="14863" max="14863" width="11.26953125" style="35" customWidth="1"/>
    <col min="14864" max="14864" width="8.6328125" style="35" customWidth="1"/>
    <col min="14865" max="14865" width="10.36328125" style="35" customWidth="1"/>
    <col min="14866" max="14866" width="9" style="35"/>
    <col min="14867" max="14867" width="8.08984375" style="35" customWidth="1"/>
    <col min="14868" max="14869" width="9.453125" style="35" bestFit="1" customWidth="1"/>
    <col min="14870" max="14870" width="9.6328125" style="35" customWidth="1"/>
    <col min="14871" max="15104" width="9" style="35"/>
    <col min="15105" max="15105" width="3.26953125" style="35" customWidth="1"/>
    <col min="15106" max="15106" width="7.08984375" style="35" customWidth="1"/>
    <col min="15107" max="15107" width="3.08984375" style="35" customWidth="1"/>
    <col min="15108" max="15108" width="4.08984375" style="35" customWidth="1"/>
    <col min="15109" max="15111" width="9" style="35"/>
    <col min="15112" max="15112" width="8" style="35" customWidth="1"/>
    <col min="15113" max="15113" width="7.08984375" style="35" customWidth="1"/>
    <col min="15114" max="15114" width="41.26953125" style="35" customWidth="1"/>
    <col min="15115" max="15115" width="9" style="35"/>
    <col min="15116" max="15116" width="9.7265625" style="35" customWidth="1"/>
    <col min="15117" max="15118" width="10.26953125" style="35" customWidth="1"/>
    <col min="15119" max="15119" width="11.26953125" style="35" customWidth="1"/>
    <col min="15120" max="15120" width="8.6328125" style="35" customWidth="1"/>
    <col min="15121" max="15121" width="10.36328125" style="35" customWidth="1"/>
    <col min="15122" max="15122" width="9" style="35"/>
    <col min="15123" max="15123" width="8.08984375" style="35" customWidth="1"/>
    <col min="15124" max="15125" width="9.453125" style="35" bestFit="1" customWidth="1"/>
    <col min="15126" max="15126" width="9.6328125" style="35" customWidth="1"/>
    <col min="15127" max="15360" width="9" style="35"/>
    <col min="15361" max="15361" width="3.26953125" style="35" customWidth="1"/>
    <col min="15362" max="15362" width="7.08984375" style="35" customWidth="1"/>
    <col min="15363" max="15363" width="3.08984375" style="35" customWidth="1"/>
    <col min="15364" max="15364" width="4.08984375" style="35" customWidth="1"/>
    <col min="15365" max="15367" width="9" style="35"/>
    <col min="15368" max="15368" width="8" style="35" customWidth="1"/>
    <col min="15369" max="15369" width="7.08984375" style="35" customWidth="1"/>
    <col min="15370" max="15370" width="41.26953125" style="35" customWidth="1"/>
    <col min="15371" max="15371" width="9" style="35"/>
    <col min="15372" max="15372" width="9.7265625" style="35" customWidth="1"/>
    <col min="15373" max="15374" width="10.26953125" style="35" customWidth="1"/>
    <col min="15375" max="15375" width="11.26953125" style="35" customWidth="1"/>
    <col min="15376" max="15376" width="8.6328125" style="35" customWidth="1"/>
    <col min="15377" max="15377" width="10.36328125" style="35" customWidth="1"/>
    <col min="15378" max="15378" width="9" style="35"/>
    <col min="15379" max="15379" width="8.08984375" style="35" customWidth="1"/>
    <col min="15380" max="15381" width="9.453125" style="35" bestFit="1" customWidth="1"/>
    <col min="15382" max="15382" width="9.6328125" style="35" customWidth="1"/>
    <col min="15383" max="15616" width="9" style="35"/>
    <col min="15617" max="15617" width="3.26953125" style="35" customWidth="1"/>
    <col min="15618" max="15618" width="7.08984375" style="35" customWidth="1"/>
    <col min="15619" max="15619" width="3.08984375" style="35" customWidth="1"/>
    <col min="15620" max="15620" width="4.08984375" style="35" customWidth="1"/>
    <col min="15621" max="15623" width="9" style="35"/>
    <col min="15624" max="15624" width="8" style="35" customWidth="1"/>
    <col min="15625" max="15625" width="7.08984375" style="35" customWidth="1"/>
    <col min="15626" max="15626" width="41.26953125" style="35" customWidth="1"/>
    <col min="15627" max="15627" width="9" style="35"/>
    <col min="15628" max="15628" width="9.7265625" style="35" customWidth="1"/>
    <col min="15629" max="15630" width="10.26953125" style="35" customWidth="1"/>
    <col min="15631" max="15631" width="11.26953125" style="35" customWidth="1"/>
    <col min="15632" max="15632" width="8.6328125" style="35" customWidth="1"/>
    <col min="15633" max="15633" width="10.36328125" style="35" customWidth="1"/>
    <col min="15634" max="15634" width="9" style="35"/>
    <col min="15635" max="15635" width="8.08984375" style="35" customWidth="1"/>
    <col min="15636" max="15637" width="9.453125" style="35" bestFit="1" customWidth="1"/>
    <col min="15638" max="15638" width="9.6328125" style="35" customWidth="1"/>
    <col min="15639" max="15872" width="9" style="35"/>
    <col min="15873" max="15873" width="3.26953125" style="35" customWidth="1"/>
    <col min="15874" max="15874" width="7.08984375" style="35" customWidth="1"/>
    <col min="15875" max="15875" width="3.08984375" style="35" customWidth="1"/>
    <col min="15876" max="15876" width="4.08984375" style="35" customWidth="1"/>
    <col min="15877" max="15879" width="9" style="35"/>
    <col min="15880" max="15880" width="8" style="35" customWidth="1"/>
    <col min="15881" max="15881" width="7.08984375" style="35" customWidth="1"/>
    <col min="15882" max="15882" width="41.26953125" style="35" customWidth="1"/>
    <col min="15883" max="15883" width="9" style="35"/>
    <col min="15884" max="15884" width="9.7265625" style="35" customWidth="1"/>
    <col min="15885" max="15886" width="10.26953125" style="35" customWidth="1"/>
    <col min="15887" max="15887" width="11.26953125" style="35" customWidth="1"/>
    <col min="15888" max="15888" width="8.6328125" style="35" customWidth="1"/>
    <col min="15889" max="15889" width="10.36328125" style="35" customWidth="1"/>
    <col min="15890" max="15890" width="9" style="35"/>
    <col min="15891" max="15891" width="8.08984375" style="35" customWidth="1"/>
    <col min="15892" max="15893" width="9.453125" style="35" bestFit="1" customWidth="1"/>
    <col min="15894" max="15894" width="9.6328125" style="35" customWidth="1"/>
    <col min="15895" max="16128" width="9" style="35"/>
    <col min="16129" max="16129" width="3.26953125" style="35" customWidth="1"/>
    <col min="16130" max="16130" width="7.08984375" style="35" customWidth="1"/>
    <col min="16131" max="16131" width="3.08984375" style="35" customWidth="1"/>
    <col min="16132" max="16132" width="4.08984375" style="35" customWidth="1"/>
    <col min="16133" max="16135" width="9" style="35"/>
    <col min="16136" max="16136" width="8" style="35" customWidth="1"/>
    <col min="16137" max="16137" width="7.08984375" style="35" customWidth="1"/>
    <col min="16138" max="16138" width="41.26953125" style="35" customWidth="1"/>
    <col min="16139" max="16139" width="9" style="35"/>
    <col min="16140" max="16140" width="9.7265625" style="35" customWidth="1"/>
    <col min="16141" max="16142" width="10.26953125" style="35" customWidth="1"/>
    <col min="16143" max="16143" width="11.26953125" style="35" customWidth="1"/>
    <col min="16144" max="16144" width="8.6328125" style="35" customWidth="1"/>
    <col min="16145" max="16145" width="10.36328125" style="35" customWidth="1"/>
    <col min="16146" max="16146" width="9" style="35"/>
    <col min="16147" max="16147" width="8.08984375" style="35" customWidth="1"/>
    <col min="16148" max="16149" width="9.453125" style="35" bestFit="1" customWidth="1"/>
    <col min="16150" max="16150" width="9.6328125" style="35" customWidth="1"/>
    <col min="16151" max="16384" width="9" style="35"/>
  </cols>
  <sheetData>
    <row r="1" spans="1:10">
      <c r="A1" s="36" t="s">
        <v>85</v>
      </c>
    </row>
    <row r="2" spans="1:10" s="84" customFormat="1" ht="24" customHeight="1" thickBot="1">
      <c r="A2" s="110"/>
      <c r="B2" s="418" t="s">
        <v>182</v>
      </c>
      <c r="C2" s="418"/>
      <c r="D2" s="418"/>
      <c r="E2" s="418"/>
      <c r="F2" s="418"/>
      <c r="G2" s="418"/>
      <c r="H2" s="418"/>
      <c r="I2" s="418"/>
      <c r="J2" s="418"/>
    </row>
    <row r="3" spans="1:10" s="84" customFormat="1" ht="13.5" customHeight="1" thickTop="1">
      <c r="A3" s="85"/>
      <c r="B3" s="87"/>
      <c r="C3" s="87"/>
      <c r="D3" s="87"/>
      <c r="E3" s="87"/>
      <c r="F3" s="87"/>
      <c r="G3" s="87"/>
      <c r="H3" s="87"/>
      <c r="I3" s="87"/>
      <c r="J3" s="87"/>
    </row>
    <row r="4" spans="1:10" s="84" customFormat="1" ht="13.5" customHeight="1">
      <c r="A4" s="85"/>
      <c r="B4" s="87"/>
      <c r="C4" s="87"/>
      <c r="D4" s="87"/>
      <c r="E4" s="87"/>
      <c r="F4" s="87"/>
      <c r="G4" s="87"/>
      <c r="H4" s="87"/>
      <c r="I4" s="87"/>
      <c r="J4" s="87"/>
    </row>
    <row r="5" spans="1:10" s="84" customFormat="1" ht="13.5" customHeight="1">
      <c r="A5" s="85"/>
      <c r="B5" s="87"/>
      <c r="C5" s="87"/>
      <c r="D5" s="87"/>
      <c r="E5" s="87"/>
      <c r="F5" s="87"/>
      <c r="G5" s="87"/>
      <c r="H5" s="87"/>
      <c r="I5" s="87"/>
      <c r="J5" s="87"/>
    </row>
    <row r="6" spans="1:10" s="84" customFormat="1" ht="13.5" customHeight="1">
      <c r="A6" s="85"/>
      <c r="B6" s="87"/>
      <c r="C6" s="87"/>
      <c r="D6" s="87"/>
      <c r="E6" s="87"/>
      <c r="F6" s="87"/>
      <c r="G6" s="87"/>
      <c r="H6" s="87"/>
      <c r="I6" s="87"/>
      <c r="J6" s="87"/>
    </row>
    <row r="7" spans="1:10" ht="14.25" customHeight="1" thickBot="1">
      <c r="B7" s="41" t="s">
        <v>87</v>
      </c>
      <c r="C7" s="41" t="s">
        <v>88</v>
      </c>
      <c r="D7" s="41"/>
      <c r="E7" s="42"/>
    </row>
    <row r="8" spans="1:10" ht="14.25" customHeight="1">
      <c r="B8" s="419" t="s">
        <v>183</v>
      </c>
      <c r="C8" s="111" t="s">
        <v>184</v>
      </c>
      <c r="D8" s="111"/>
      <c r="E8" s="111"/>
      <c r="F8" s="111"/>
      <c r="G8" s="111"/>
      <c r="H8" s="111"/>
      <c r="I8" s="111"/>
      <c r="J8" s="112"/>
    </row>
    <row r="9" spans="1:10" ht="14.25" customHeight="1" thickBot="1">
      <c r="B9" s="420">
        <v>4</v>
      </c>
      <c r="C9" s="421" t="s">
        <v>185</v>
      </c>
      <c r="D9" s="422"/>
      <c r="E9" s="423"/>
      <c r="F9" s="423"/>
      <c r="G9" s="423"/>
      <c r="H9" s="423"/>
      <c r="I9" s="423"/>
      <c r="J9" s="424"/>
    </row>
    <row r="10" spans="1:10">
      <c r="B10" s="113"/>
      <c r="C10" s="114"/>
      <c r="D10" s="114"/>
      <c r="E10" s="114"/>
      <c r="F10" s="114"/>
      <c r="G10" s="114"/>
      <c r="H10" s="114"/>
      <c r="I10" s="114"/>
      <c r="J10" s="115"/>
    </row>
    <row r="11" spans="1:10">
      <c r="B11" s="113"/>
      <c r="C11" s="114"/>
      <c r="D11" s="114"/>
      <c r="E11" s="114"/>
      <c r="F11" s="114"/>
      <c r="G11" s="114"/>
      <c r="H11" s="114"/>
      <c r="I11" s="114"/>
      <c r="J11" s="115"/>
    </row>
    <row r="12" spans="1:10">
      <c r="B12" s="113"/>
      <c r="C12" s="114"/>
      <c r="D12" s="114"/>
      <c r="E12" s="114"/>
      <c r="F12" s="114"/>
      <c r="G12" s="114"/>
      <c r="H12" s="114"/>
      <c r="I12" s="114"/>
      <c r="J12" s="115"/>
    </row>
    <row r="13" spans="1:10">
      <c r="B13" s="116"/>
      <c r="D13" s="67"/>
      <c r="E13" s="67"/>
      <c r="F13" s="67"/>
      <c r="G13" s="67"/>
      <c r="H13" s="67"/>
      <c r="I13" s="67"/>
      <c r="J13" s="58"/>
    </row>
    <row r="14" spans="1:10">
      <c r="B14" s="117"/>
      <c r="C14" s="118"/>
      <c r="D14" s="67"/>
      <c r="E14" s="67"/>
      <c r="F14" s="67"/>
      <c r="G14" s="67"/>
      <c r="H14" s="67"/>
      <c r="I14" s="67"/>
      <c r="J14" s="58"/>
    </row>
    <row r="15" spans="1:10">
      <c r="B15" s="116"/>
      <c r="D15" s="67"/>
      <c r="E15" s="67"/>
      <c r="F15" s="67"/>
      <c r="G15" s="67"/>
      <c r="H15" s="67"/>
      <c r="I15" s="67"/>
      <c r="J15" s="58"/>
    </row>
    <row r="16" spans="1:10">
      <c r="B16" s="116"/>
      <c r="D16" s="67"/>
      <c r="E16" s="67"/>
      <c r="F16" s="67"/>
      <c r="G16" s="67"/>
      <c r="H16" s="67"/>
      <c r="I16" s="67"/>
      <c r="J16" s="58"/>
    </row>
    <row r="17" spans="2:10">
      <c r="B17" s="116"/>
      <c r="D17" s="67"/>
      <c r="E17" s="67"/>
      <c r="F17" s="67"/>
      <c r="G17" s="67"/>
      <c r="H17" s="67"/>
      <c r="I17" s="67"/>
      <c r="J17" s="58"/>
    </row>
    <row r="18" spans="2:10">
      <c r="B18" s="116"/>
      <c r="D18" s="67"/>
      <c r="E18" s="67"/>
      <c r="F18" s="67"/>
      <c r="G18" s="67"/>
      <c r="H18" s="67"/>
      <c r="I18" s="67"/>
      <c r="J18" s="58"/>
    </row>
    <row r="19" spans="2:10">
      <c r="B19" s="116"/>
      <c r="D19" s="67"/>
      <c r="E19" s="67"/>
      <c r="F19" s="67"/>
      <c r="G19" s="67"/>
      <c r="H19" s="67"/>
      <c r="I19" s="67"/>
      <c r="J19" s="58"/>
    </row>
    <row r="20" spans="2:10">
      <c r="B20" s="116"/>
      <c r="D20" s="67"/>
      <c r="E20" s="67"/>
      <c r="F20" s="67"/>
      <c r="G20" s="67"/>
      <c r="H20" s="67"/>
      <c r="I20" s="67"/>
      <c r="J20" s="58"/>
    </row>
    <row r="21" spans="2:10">
      <c r="B21" s="116"/>
      <c r="D21" s="67"/>
      <c r="E21" s="67"/>
      <c r="F21" s="67"/>
      <c r="G21" s="67"/>
      <c r="H21" s="67"/>
      <c r="I21" s="67"/>
      <c r="J21" s="58"/>
    </row>
    <row r="22" spans="2:10">
      <c r="B22" s="116"/>
      <c r="D22" s="67"/>
      <c r="E22" s="67"/>
      <c r="F22" s="67"/>
      <c r="G22" s="67"/>
      <c r="H22" s="67"/>
      <c r="I22" s="67"/>
      <c r="J22" s="58"/>
    </row>
    <row r="23" spans="2:10">
      <c r="B23" s="113"/>
      <c r="D23" s="67"/>
      <c r="E23" s="67"/>
      <c r="F23" s="67"/>
      <c r="G23" s="67"/>
      <c r="H23" s="67"/>
      <c r="I23" s="67"/>
      <c r="J23" s="58"/>
    </row>
    <row r="24" spans="2:10">
      <c r="B24" s="113"/>
      <c r="D24" s="67"/>
      <c r="E24" s="67"/>
      <c r="F24" s="67"/>
      <c r="G24" s="67"/>
      <c r="H24" s="67"/>
      <c r="I24" s="67"/>
      <c r="J24" s="58"/>
    </row>
    <row r="25" spans="2:10">
      <c r="B25" s="113"/>
      <c r="D25" s="67"/>
      <c r="E25" s="67"/>
      <c r="F25" s="67"/>
      <c r="G25" s="67"/>
      <c r="H25" s="67"/>
      <c r="I25" s="67"/>
      <c r="J25" s="58"/>
    </row>
    <row r="26" spans="2:10">
      <c r="B26" s="113"/>
      <c r="D26" s="67"/>
      <c r="E26" s="67"/>
      <c r="F26" s="67"/>
      <c r="G26" s="67"/>
      <c r="H26" s="67"/>
      <c r="I26" s="67"/>
      <c r="J26" s="58"/>
    </row>
    <row r="27" spans="2:10">
      <c r="B27" s="113"/>
      <c r="D27" s="67"/>
      <c r="E27" s="67"/>
      <c r="F27" s="67"/>
      <c r="G27" s="67"/>
      <c r="H27" s="67"/>
      <c r="I27" s="67"/>
      <c r="J27" s="58"/>
    </row>
    <row r="28" spans="2:10">
      <c r="B28" s="113"/>
      <c r="D28" s="67"/>
      <c r="E28" s="67"/>
      <c r="F28" s="67"/>
      <c r="G28" s="67"/>
      <c r="H28" s="67"/>
      <c r="I28" s="67"/>
      <c r="J28" s="58"/>
    </row>
    <row r="29" spans="2:10">
      <c r="B29" s="113"/>
      <c r="D29" s="67"/>
      <c r="E29" s="67"/>
      <c r="F29" s="67"/>
      <c r="G29" s="67"/>
      <c r="H29" s="67"/>
      <c r="I29" s="67"/>
      <c r="J29" s="58"/>
    </row>
    <row r="30" spans="2:10">
      <c r="B30" s="113"/>
      <c r="D30" s="67"/>
      <c r="E30" s="67"/>
      <c r="F30" s="67"/>
      <c r="G30" s="67"/>
      <c r="H30" s="67"/>
      <c r="I30" s="67"/>
      <c r="J30" s="58"/>
    </row>
    <row r="31" spans="2:10">
      <c r="B31" s="113"/>
      <c r="D31" s="67"/>
      <c r="E31" s="67"/>
      <c r="F31" s="67"/>
      <c r="G31" s="67"/>
      <c r="H31" s="67"/>
      <c r="I31" s="67"/>
      <c r="J31" s="58"/>
    </row>
    <row r="32" spans="2:10">
      <c r="B32" s="113"/>
      <c r="D32" s="67"/>
      <c r="E32" s="67"/>
      <c r="F32" s="67"/>
      <c r="G32" s="67"/>
      <c r="H32" s="67"/>
      <c r="I32" s="67"/>
      <c r="J32" s="58"/>
    </row>
    <row r="33" spans="2:10">
      <c r="B33" s="113"/>
      <c r="D33" s="67"/>
      <c r="E33" s="67"/>
      <c r="F33" s="67"/>
      <c r="G33" s="67"/>
      <c r="H33" s="67"/>
      <c r="I33" s="67"/>
      <c r="J33" s="58"/>
    </row>
    <row r="34" spans="2:10" ht="15.75" customHeight="1">
      <c r="B34" s="113"/>
      <c r="C34" s="114"/>
      <c r="D34" s="114"/>
      <c r="E34" s="114"/>
      <c r="F34" s="114"/>
      <c r="G34" s="114"/>
      <c r="H34" s="114"/>
      <c r="I34" s="114"/>
      <c r="J34" s="115"/>
    </row>
    <row r="35" spans="2:10">
      <c r="B35" s="113"/>
      <c r="C35" s="114"/>
      <c r="D35" s="114"/>
      <c r="E35" s="114"/>
      <c r="F35" s="114"/>
      <c r="G35" s="114"/>
      <c r="H35" s="114"/>
      <c r="I35" s="114"/>
      <c r="J35" s="115"/>
    </row>
    <row r="36" spans="2:10">
      <c r="B36" s="116"/>
      <c r="D36" s="67"/>
      <c r="E36" s="67"/>
      <c r="F36" s="67"/>
      <c r="G36" s="67"/>
      <c r="H36" s="67"/>
      <c r="I36" s="67"/>
      <c r="J36" s="58"/>
    </row>
    <row r="37" spans="2:10">
      <c r="B37" s="116"/>
      <c r="D37" s="67"/>
      <c r="E37" s="67"/>
      <c r="F37" s="67"/>
      <c r="G37" s="67"/>
      <c r="H37" s="67"/>
      <c r="I37" s="67"/>
      <c r="J37" s="58"/>
    </row>
    <row r="38" spans="2:10">
      <c r="B38" s="116"/>
      <c r="D38" s="67"/>
      <c r="E38" s="67"/>
      <c r="F38" s="67"/>
      <c r="G38" s="67"/>
      <c r="H38" s="67"/>
      <c r="I38" s="67"/>
      <c r="J38" s="58"/>
    </row>
    <row r="39" spans="2:10">
      <c r="B39" s="116"/>
      <c r="D39" s="67"/>
      <c r="E39" s="67"/>
      <c r="F39" s="67"/>
      <c r="G39" s="67"/>
      <c r="H39" s="67"/>
      <c r="I39" s="67"/>
      <c r="J39" s="58"/>
    </row>
    <row r="40" spans="2:10" ht="15.75" customHeight="1">
      <c r="B40" s="113"/>
      <c r="C40" s="114"/>
      <c r="D40" s="114"/>
      <c r="E40" s="114"/>
      <c r="F40" s="114"/>
      <c r="G40" s="114"/>
      <c r="H40" s="114"/>
      <c r="I40" s="114"/>
      <c r="J40" s="115"/>
    </row>
    <row r="41" spans="2:10">
      <c r="B41" s="113"/>
      <c r="C41" s="114"/>
      <c r="D41" s="114"/>
      <c r="E41" s="114"/>
      <c r="F41" s="114"/>
      <c r="G41" s="114"/>
      <c r="H41" s="114"/>
      <c r="I41" s="114"/>
      <c r="J41" s="115"/>
    </row>
    <row r="42" spans="2:10">
      <c r="B42" s="113"/>
      <c r="C42" s="114"/>
      <c r="D42" s="114"/>
      <c r="E42" s="114"/>
      <c r="F42" s="114"/>
      <c r="G42" s="114"/>
      <c r="H42" s="114"/>
      <c r="I42" s="114"/>
      <c r="J42" s="115"/>
    </row>
    <row r="43" spans="2:10">
      <c r="B43" s="116"/>
      <c r="D43" s="67"/>
      <c r="E43" s="67"/>
      <c r="F43" s="67"/>
      <c r="G43" s="67"/>
      <c r="H43" s="67"/>
      <c r="I43" s="67"/>
      <c r="J43" s="58"/>
    </row>
    <row r="44" spans="2:10">
      <c r="B44" s="117"/>
      <c r="C44" s="118"/>
      <c r="D44" s="67"/>
      <c r="E44" s="67"/>
      <c r="F44" s="67"/>
      <c r="G44" s="67"/>
      <c r="H44" s="67"/>
      <c r="I44" s="67"/>
      <c r="J44" s="58"/>
    </row>
    <row r="45" spans="2:10">
      <c r="B45" s="116"/>
      <c r="D45" s="67"/>
      <c r="E45" s="67"/>
      <c r="F45" s="67"/>
      <c r="G45" s="67"/>
      <c r="H45" s="67"/>
      <c r="I45" s="67"/>
      <c r="J45" s="58"/>
    </row>
    <row r="46" spans="2:10" ht="15.5" thickBot="1">
      <c r="B46" s="116"/>
      <c r="D46" s="67"/>
      <c r="E46" s="67"/>
      <c r="F46" s="67"/>
      <c r="G46" s="67"/>
      <c r="H46" s="67"/>
      <c r="I46" s="67"/>
      <c r="J46" s="58"/>
    </row>
    <row r="47" spans="2:10" ht="14.25" customHeight="1">
      <c r="B47" s="419" t="s">
        <v>186</v>
      </c>
      <c r="C47" s="111" t="s">
        <v>187</v>
      </c>
      <c r="D47" s="111"/>
      <c r="E47" s="111"/>
      <c r="F47" s="111"/>
      <c r="G47" s="111"/>
      <c r="H47" s="111"/>
      <c r="I47" s="111"/>
      <c r="J47" s="112"/>
    </row>
    <row r="48" spans="2:10" ht="14.25" customHeight="1" thickBot="1">
      <c r="B48" s="420"/>
      <c r="C48" s="421" t="s">
        <v>185</v>
      </c>
      <c r="D48" s="422"/>
      <c r="E48" s="423"/>
      <c r="F48" s="423"/>
      <c r="G48" s="423"/>
      <c r="H48" s="423"/>
      <c r="I48" s="423"/>
      <c r="J48" s="424"/>
    </row>
    <row r="49" spans="2:10">
      <c r="B49" s="113"/>
      <c r="C49" s="114"/>
      <c r="D49" s="114"/>
      <c r="E49" s="114"/>
      <c r="F49" s="114"/>
      <c r="G49" s="114"/>
      <c r="H49" s="114"/>
      <c r="I49" s="114"/>
      <c r="J49" s="115"/>
    </row>
    <row r="50" spans="2:10">
      <c r="B50" s="113"/>
      <c r="C50" s="114"/>
      <c r="D50" s="114"/>
      <c r="E50" s="114"/>
      <c r="F50" s="114"/>
      <c r="G50" s="114"/>
      <c r="H50" s="114"/>
      <c r="I50" s="114"/>
      <c r="J50" s="115"/>
    </row>
    <row r="51" spans="2:10">
      <c r="B51" s="116"/>
      <c r="D51" s="67"/>
      <c r="E51" s="67"/>
      <c r="F51" s="67"/>
      <c r="G51" s="67"/>
      <c r="H51" s="67"/>
      <c r="I51" s="67"/>
      <c r="J51" s="58"/>
    </row>
    <row r="52" spans="2:10">
      <c r="B52" s="117"/>
      <c r="C52" s="118"/>
      <c r="D52" s="67"/>
      <c r="E52" s="67"/>
      <c r="F52" s="67"/>
      <c r="G52" s="67"/>
      <c r="H52" s="67"/>
      <c r="I52" s="67"/>
      <c r="J52" s="58"/>
    </row>
    <row r="53" spans="2:10">
      <c r="B53" s="116"/>
      <c r="D53" s="67"/>
      <c r="E53" s="67"/>
      <c r="F53" s="67"/>
      <c r="G53" s="67"/>
      <c r="H53" s="67"/>
      <c r="I53" s="67"/>
      <c r="J53" s="58"/>
    </row>
    <row r="54" spans="2:10">
      <c r="B54" s="116"/>
      <c r="D54" s="67"/>
      <c r="E54" s="67"/>
      <c r="F54" s="67"/>
      <c r="G54" s="67"/>
      <c r="H54" s="67"/>
      <c r="I54" s="67"/>
      <c r="J54" s="58"/>
    </row>
    <row r="55" spans="2:10">
      <c r="B55" s="116"/>
      <c r="D55" s="67"/>
      <c r="E55" s="67"/>
      <c r="F55" s="67"/>
      <c r="G55" s="67"/>
      <c r="H55" s="67"/>
      <c r="I55" s="67"/>
      <c r="J55" s="58"/>
    </row>
    <row r="56" spans="2:10">
      <c r="B56" s="116"/>
      <c r="D56" s="67"/>
      <c r="E56" s="67"/>
      <c r="F56" s="67"/>
      <c r="G56" s="67"/>
      <c r="H56" s="67"/>
      <c r="I56" s="67"/>
      <c r="J56" s="58"/>
    </row>
    <row r="57" spans="2:10">
      <c r="B57" s="116"/>
      <c r="D57" s="67"/>
      <c r="E57" s="67"/>
      <c r="F57" s="67"/>
      <c r="G57" s="67"/>
      <c r="H57" s="67"/>
      <c r="I57" s="67"/>
      <c r="J57" s="58"/>
    </row>
    <row r="58" spans="2:10">
      <c r="B58" s="116"/>
      <c r="D58" s="67"/>
      <c r="E58" s="67"/>
      <c r="F58" s="67"/>
      <c r="G58" s="67"/>
      <c r="H58" s="67"/>
      <c r="I58" s="67"/>
      <c r="J58" s="58"/>
    </row>
    <row r="59" spans="2:10">
      <c r="B59" s="116"/>
      <c r="D59" s="67"/>
      <c r="E59" s="67"/>
      <c r="F59" s="67"/>
      <c r="G59" s="67"/>
      <c r="H59" s="67"/>
      <c r="I59" s="67"/>
      <c r="J59" s="58"/>
    </row>
    <row r="60" spans="2:10">
      <c r="B60" s="116"/>
      <c r="D60" s="67"/>
      <c r="E60" s="67"/>
      <c r="F60" s="67"/>
      <c r="G60" s="67"/>
      <c r="H60" s="67"/>
      <c r="I60" s="67"/>
      <c r="J60" s="58"/>
    </row>
    <row r="61" spans="2:10">
      <c r="B61" s="113"/>
      <c r="D61" s="67"/>
      <c r="E61" s="67"/>
      <c r="F61" s="67"/>
      <c r="G61" s="67"/>
      <c r="H61" s="67"/>
      <c r="I61" s="67"/>
      <c r="J61" s="58"/>
    </row>
    <row r="62" spans="2:10">
      <c r="B62" s="113"/>
      <c r="C62" s="114"/>
      <c r="D62" s="114"/>
      <c r="E62" s="114"/>
      <c r="F62" s="114"/>
      <c r="G62" s="114"/>
      <c r="H62" s="114"/>
      <c r="I62" s="114"/>
      <c r="J62" s="115"/>
    </row>
    <row r="63" spans="2:10">
      <c r="B63" s="113"/>
      <c r="C63" s="114"/>
      <c r="D63" s="114"/>
      <c r="E63" s="114"/>
      <c r="F63" s="114"/>
      <c r="G63" s="114"/>
      <c r="H63" s="114"/>
      <c r="I63" s="114"/>
      <c r="J63" s="115"/>
    </row>
    <row r="64" spans="2:10">
      <c r="B64" s="113"/>
      <c r="C64" s="114"/>
      <c r="D64" s="114"/>
      <c r="E64" s="114"/>
      <c r="F64" s="114"/>
      <c r="G64" s="114"/>
      <c r="H64" s="114"/>
      <c r="I64" s="114"/>
      <c r="J64" s="115"/>
    </row>
    <row r="65" spans="2:10">
      <c r="B65" s="113"/>
      <c r="C65" s="114"/>
      <c r="D65" s="114"/>
      <c r="E65" s="114"/>
      <c r="F65" s="114"/>
      <c r="G65" s="114"/>
      <c r="H65" s="114"/>
      <c r="I65" s="114"/>
      <c r="J65" s="115"/>
    </row>
    <row r="66" spans="2:10">
      <c r="B66" s="113"/>
      <c r="C66" s="114"/>
      <c r="D66" s="114"/>
      <c r="E66" s="114"/>
      <c r="F66" s="114"/>
      <c r="G66" s="114"/>
      <c r="H66" s="114"/>
      <c r="I66" s="114"/>
      <c r="J66" s="115"/>
    </row>
    <row r="67" spans="2:10">
      <c r="B67" s="113"/>
      <c r="C67" s="114"/>
      <c r="D67" s="114"/>
      <c r="E67" s="114"/>
      <c r="F67" s="114"/>
      <c r="G67" s="114"/>
      <c r="H67" s="114"/>
      <c r="I67" s="114"/>
      <c r="J67" s="115"/>
    </row>
    <row r="68" spans="2:10">
      <c r="B68" s="113"/>
      <c r="C68" s="114"/>
      <c r="D68" s="114"/>
      <c r="E68" s="114"/>
      <c r="F68" s="114"/>
      <c r="G68" s="114"/>
      <c r="H68" s="114"/>
      <c r="I68" s="114"/>
      <c r="J68" s="115"/>
    </row>
    <row r="69" spans="2:10">
      <c r="B69" s="113"/>
      <c r="C69" s="114"/>
      <c r="D69" s="114"/>
      <c r="E69" s="114"/>
      <c r="F69" s="114"/>
      <c r="G69" s="114"/>
      <c r="H69" s="114"/>
      <c r="I69" s="114"/>
      <c r="J69" s="115"/>
    </row>
    <row r="70" spans="2:10">
      <c r="B70" s="113"/>
      <c r="C70" s="114"/>
      <c r="D70" s="114"/>
      <c r="E70" s="114"/>
      <c r="F70" s="114"/>
      <c r="G70" s="114"/>
      <c r="H70" s="114"/>
      <c r="I70" s="114"/>
      <c r="J70" s="115"/>
    </row>
    <row r="71" spans="2:10">
      <c r="B71" s="113"/>
      <c r="C71" s="114"/>
      <c r="D71" s="114"/>
      <c r="E71" s="114"/>
      <c r="F71" s="114"/>
      <c r="G71" s="114"/>
      <c r="H71" s="114"/>
      <c r="I71" s="114"/>
      <c r="J71" s="115"/>
    </row>
    <row r="72" spans="2:10">
      <c r="B72" s="113"/>
      <c r="C72" s="114"/>
      <c r="D72" s="114"/>
      <c r="E72" s="114"/>
      <c r="F72" s="114"/>
      <c r="G72" s="114"/>
      <c r="H72" s="114"/>
      <c r="I72" s="114"/>
      <c r="J72" s="115"/>
    </row>
    <row r="73" spans="2:10">
      <c r="B73" s="113"/>
      <c r="C73" s="114"/>
      <c r="D73" s="114"/>
      <c r="E73" s="114"/>
      <c r="F73" s="114"/>
      <c r="G73" s="114"/>
      <c r="H73" s="114"/>
      <c r="I73" s="114"/>
      <c r="J73" s="115"/>
    </row>
    <row r="74" spans="2:10">
      <c r="B74" s="113"/>
      <c r="C74" s="114"/>
      <c r="D74" s="114"/>
      <c r="E74" s="114"/>
      <c r="F74" s="114"/>
      <c r="G74" s="114"/>
      <c r="H74" s="114"/>
      <c r="I74" s="114"/>
      <c r="J74" s="115"/>
    </row>
    <row r="75" spans="2:10">
      <c r="B75" s="116"/>
      <c r="D75" s="67"/>
      <c r="E75" s="67"/>
      <c r="F75" s="67"/>
      <c r="G75" s="67"/>
      <c r="H75" s="67"/>
      <c r="I75" s="67"/>
      <c r="J75" s="58"/>
    </row>
    <row r="76" spans="2:10">
      <c r="B76" s="116"/>
      <c r="D76" s="67"/>
      <c r="E76" s="67"/>
      <c r="F76" s="67"/>
      <c r="G76" s="67"/>
      <c r="H76" s="67"/>
      <c r="I76" s="67"/>
      <c r="J76" s="58"/>
    </row>
    <row r="77" spans="2:10">
      <c r="B77" s="116"/>
      <c r="D77" s="67"/>
      <c r="E77" s="67"/>
      <c r="F77" s="67"/>
      <c r="G77" s="67"/>
      <c r="H77" s="67"/>
      <c r="I77" s="67"/>
      <c r="J77" s="58"/>
    </row>
    <row r="78" spans="2:10">
      <c r="B78" s="113"/>
      <c r="C78" s="114"/>
      <c r="D78" s="114"/>
      <c r="E78" s="114"/>
      <c r="F78" s="114"/>
      <c r="G78" s="114"/>
      <c r="H78" s="114"/>
      <c r="I78" s="114"/>
      <c r="J78" s="115"/>
    </row>
    <row r="79" spans="2:10">
      <c r="B79" s="113"/>
      <c r="C79" s="114"/>
      <c r="D79" s="114"/>
      <c r="E79" s="114"/>
      <c r="F79" s="114"/>
      <c r="G79" s="114"/>
      <c r="H79" s="114"/>
      <c r="I79" s="114"/>
      <c r="J79" s="115"/>
    </row>
    <row r="80" spans="2:10">
      <c r="B80" s="113"/>
      <c r="C80" s="114"/>
      <c r="D80" s="114"/>
      <c r="E80" s="114"/>
      <c r="F80" s="114"/>
      <c r="G80" s="114"/>
      <c r="H80" s="114"/>
      <c r="I80" s="114"/>
      <c r="J80" s="115"/>
    </row>
    <row r="81" spans="2:10" ht="15.5" thickBot="1">
      <c r="B81" s="116"/>
      <c r="D81" s="67"/>
      <c r="E81" s="67"/>
      <c r="F81" s="67"/>
      <c r="G81" s="67"/>
      <c r="H81" s="67"/>
      <c r="I81" s="67"/>
      <c r="J81" s="58"/>
    </row>
    <row r="82" spans="2:10" ht="14.25" customHeight="1">
      <c r="B82" s="419" t="s">
        <v>188</v>
      </c>
      <c r="C82" s="111" t="s">
        <v>189</v>
      </c>
      <c r="D82" s="111"/>
      <c r="E82" s="111"/>
      <c r="F82" s="111"/>
      <c r="G82" s="111"/>
      <c r="H82" s="111"/>
      <c r="I82" s="111"/>
      <c r="J82" s="112"/>
    </row>
    <row r="83" spans="2:10" ht="14.25" customHeight="1" thickBot="1">
      <c r="B83" s="420"/>
      <c r="C83" s="421" t="s">
        <v>185</v>
      </c>
      <c r="D83" s="422"/>
      <c r="E83" s="423"/>
      <c r="F83" s="423"/>
      <c r="G83" s="423"/>
      <c r="H83" s="423"/>
      <c r="I83" s="423"/>
      <c r="J83" s="424"/>
    </row>
    <row r="84" spans="2:10">
      <c r="B84" s="113"/>
      <c r="C84" s="114"/>
      <c r="D84" s="114"/>
      <c r="E84" s="114"/>
      <c r="F84" s="114"/>
      <c r="G84" s="114"/>
      <c r="H84" s="114"/>
      <c r="I84" s="114"/>
      <c r="J84" s="115"/>
    </row>
    <row r="85" spans="2:10">
      <c r="B85" s="113"/>
      <c r="C85" s="119" t="s">
        <v>190</v>
      </c>
      <c r="D85" s="114"/>
      <c r="E85" s="114"/>
      <c r="F85" s="114"/>
      <c r="G85" s="114"/>
      <c r="H85" s="114"/>
      <c r="I85" s="114"/>
      <c r="J85" s="115"/>
    </row>
    <row r="86" spans="2:10">
      <c r="B86" s="116"/>
      <c r="D86" s="67"/>
      <c r="E86" s="67"/>
      <c r="F86" s="67"/>
      <c r="G86" s="67"/>
      <c r="H86" s="67"/>
      <c r="I86" s="67"/>
      <c r="J86" s="58"/>
    </row>
    <row r="87" spans="2:10">
      <c r="B87" s="117"/>
      <c r="C87" s="118"/>
      <c r="D87" s="67"/>
      <c r="E87" s="67"/>
      <c r="F87" s="67"/>
      <c r="G87" s="67"/>
      <c r="H87" s="67"/>
      <c r="I87" s="67"/>
      <c r="J87" s="58"/>
    </row>
    <row r="88" spans="2:10">
      <c r="B88" s="116"/>
      <c r="D88" s="67"/>
      <c r="E88" s="67"/>
      <c r="F88" s="67"/>
      <c r="G88" s="67"/>
      <c r="H88" s="67"/>
      <c r="I88" s="67"/>
      <c r="J88" s="58"/>
    </row>
    <row r="89" spans="2:10">
      <c r="B89" s="116"/>
      <c r="D89" s="67"/>
      <c r="E89" s="67"/>
      <c r="F89" s="67"/>
      <c r="G89" s="67"/>
      <c r="H89" s="67"/>
      <c r="I89" s="67"/>
      <c r="J89" s="58"/>
    </row>
    <row r="90" spans="2:10">
      <c r="B90" s="116"/>
      <c r="D90" s="67"/>
      <c r="E90" s="67"/>
      <c r="F90" s="67"/>
      <c r="G90" s="67"/>
      <c r="H90" s="67"/>
      <c r="I90" s="67"/>
      <c r="J90" s="58"/>
    </row>
    <row r="91" spans="2:10">
      <c r="B91" s="116"/>
      <c r="D91" s="67"/>
      <c r="E91" s="67"/>
      <c r="F91" s="67"/>
      <c r="G91" s="67"/>
      <c r="H91" s="67"/>
      <c r="I91" s="67"/>
      <c r="J91" s="58"/>
    </row>
    <row r="92" spans="2:10">
      <c r="B92" s="116"/>
      <c r="D92" s="67"/>
      <c r="E92" s="67"/>
      <c r="F92" s="67"/>
      <c r="G92" s="67"/>
      <c r="H92" s="67"/>
      <c r="I92" s="67"/>
      <c r="J92" s="58"/>
    </row>
    <row r="93" spans="2:10">
      <c r="B93" s="116"/>
      <c r="D93" s="67"/>
      <c r="E93" s="67"/>
      <c r="F93" s="67"/>
      <c r="G93" s="67"/>
      <c r="H93" s="67"/>
      <c r="I93" s="67"/>
      <c r="J93" s="58"/>
    </row>
    <row r="94" spans="2:10">
      <c r="B94" s="116"/>
      <c r="D94" s="67"/>
      <c r="E94" s="67"/>
      <c r="F94" s="67"/>
      <c r="G94" s="67"/>
      <c r="H94" s="67"/>
      <c r="I94" s="67"/>
      <c r="J94" s="58"/>
    </row>
    <row r="95" spans="2:10">
      <c r="B95" s="116"/>
      <c r="D95" s="67"/>
      <c r="E95" s="67"/>
      <c r="F95" s="67"/>
      <c r="G95" s="67"/>
      <c r="H95" s="67"/>
      <c r="I95" s="67"/>
      <c r="J95" s="58"/>
    </row>
    <row r="96" spans="2:10">
      <c r="B96" s="113"/>
      <c r="D96" s="67"/>
      <c r="E96" s="67"/>
      <c r="F96" s="67"/>
      <c r="G96" s="67"/>
      <c r="H96" s="67"/>
      <c r="I96" s="67"/>
      <c r="J96" s="58"/>
    </row>
    <row r="97" spans="2:10">
      <c r="B97" s="113"/>
      <c r="D97" s="67"/>
      <c r="E97" s="67"/>
      <c r="F97" s="67"/>
      <c r="G97" s="67"/>
      <c r="H97" s="67"/>
      <c r="I97" s="67"/>
      <c r="J97" s="58"/>
    </row>
    <row r="98" spans="2:10">
      <c r="B98" s="113"/>
      <c r="D98" s="67"/>
      <c r="E98" s="67"/>
      <c r="F98" s="67"/>
      <c r="G98" s="67"/>
      <c r="H98" s="67"/>
      <c r="I98" s="67"/>
      <c r="J98" s="58"/>
    </row>
    <row r="99" spans="2:10">
      <c r="B99" s="113"/>
      <c r="D99" s="67"/>
      <c r="E99" s="67"/>
      <c r="F99" s="67"/>
      <c r="G99" s="67"/>
      <c r="H99" s="67"/>
      <c r="I99" s="67"/>
      <c r="J99" s="58"/>
    </row>
    <row r="100" spans="2:10">
      <c r="B100" s="113"/>
      <c r="D100" s="67"/>
      <c r="E100" s="67"/>
      <c r="F100" s="67"/>
      <c r="G100" s="67"/>
      <c r="H100" s="67"/>
      <c r="I100" s="67"/>
      <c r="J100" s="58"/>
    </row>
    <row r="101" spans="2:10">
      <c r="B101" s="113"/>
      <c r="D101" s="67"/>
      <c r="E101" s="67"/>
      <c r="F101" s="67"/>
      <c r="G101" s="67"/>
      <c r="H101" s="67"/>
      <c r="I101" s="67"/>
      <c r="J101" s="58"/>
    </row>
    <row r="102" spans="2:10">
      <c r="B102" s="113"/>
      <c r="D102" s="67"/>
      <c r="E102" s="67"/>
      <c r="F102" s="67"/>
      <c r="G102" s="67"/>
      <c r="H102" s="67"/>
      <c r="I102" s="67"/>
      <c r="J102" s="58"/>
    </row>
    <row r="103" spans="2:10">
      <c r="B103" s="113"/>
      <c r="D103" s="67"/>
      <c r="E103" s="67"/>
      <c r="F103" s="67"/>
      <c r="G103" s="67"/>
      <c r="H103" s="67"/>
      <c r="I103" s="67"/>
      <c r="J103" s="58"/>
    </row>
    <row r="104" spans="2:10">
      <c r="B104" s="113"/>
      <c r="D104" s="67"/>
      <c r="E104" s="67"/>
      <c r="F104" s="67"/>
      <c r="G104" s="67"/>
      <c r="H104" s="67"/>
      <c r="I104" s="67"/>
      <c r="J104" s="58"/>
    </row>
    <row r="105" spans="2:10">
      <c r="B105" s="113"/>
      <c r="D105" s="67"/>
      <c r="E105" s="67"/>
      <c r="F105" s="67"/>
      <c r="G105" s="67"/>
      <c r="H105" s="67"/>
      <c r="I105" s="67"/>
      <c r="J105" s="58"/>
    </row>
    <row r="106" spans="2:10">
      <c r="B106" s="113"/>
      <c r="D106" s="67"/>
      <c r="E106" s="67"/>
      <c r="F106" s="67"/>
      <c r="G106" s="67"/>
      <c r="H106" s="67"/>
      <c r="I106" s="67"/>
      <c r="J106" s="58"/>
    </row>
    <row r="107" spans="2:10">
      <c r="B107" s="113"/>
      <c r="D107" s="67"/>
      <c r="E107" s="67"/>
      <c r="F107" s="67"/>
      <c r="G107" s="67"/>
      <c r="H107" s="67"/>
      <c r="I107" s="67"/>
      <c r="J107" s="58"/>
    </row>
    <row r="108" spans="2:10">
      <c r="B108" s="113"/>
      <c r="D108" s="67"/>
      <c r="E108" s="67"/>
      <c r="F108" s="67"/>
      <c r="G108" s="67"/>
      <c r="H108" s="67"/>
      <c r="I108" s="67"/>
      <c r="J108" s="58"/>
    </row>
    <row r="109" spans="2:10">
      <c r="B109" s="113"/>
      <c r="C109" s="114"/>
      <c r="D109" s="114"/>
      <c r="E109" s="114"/>
      <c r="F109" s="114"/>
      <c r="G109" s="114"/>
      <c r="H109" s="114"/>
      <c r="I109" s="114"/>
      <c r="J109" s="115"/>
    </row>
    <row r="110" spans="2:10">
      <c r="B110" s="116"/>
      <c r="D110" s="67"/>
      <c r="E110" s="67"/>
      <c r="F110" s="67"/>
      <c r="G110" s="67"/>
      <c r="H110" s="67"/>
      <c r="I110" s="67"/>
      <c r="J110" s="58"/>
    </row>
    <row r="111" spans="2:10">
      <c r="B111" s="116"/>
      <c r="D111" s="67"/>
      <c r="E111" s="67"/>
      <c r="F111" s="67"/>
      <c r="G111" s="67"/>
      <c r="H111" s="67"/>
      <c r="I111" s="67"/>
      <c r="J111" s="58"/>
    </row>
    <row r="112" spans="2:10">
      <c r="B112" s="116"/>
      <c r="D112" s="67"/>
      <c r="E112" s="67"/>
      <c r="F112" s="67"/>
      <c r="G112" s="67"/>
      <c r="H112" s="67"/>
      <c r="I112" s="67"/>
      <c r="J112" s="58"/>
    </row>
    <row r="113" spans="2:10">
      <c r="B113" s="113"/>
      <c r="C113" s="114"/>
      <c r="D113" s="114"/>
      <c r="E113" s="114"/>
      <c r="F113" s="114"/>
      <c r="G113" s="114"/>
      <c r="H113" s="114"/>
      <c r="I113" s="114"/>
      <c r="J113" s="115"/>
    </row>
    <row r="114" spans="2:10">
      <c r="B114" s="113"/>
      <c r="C114" s="114"/>
      <c r="D114" s="114"/>
      <c r="E114" s="114"/>
      <c r="F114" s="114"/>
      <c r="G114" s="114"/>
      <c r="H114" s="114"/>
      <c r="I114" s="114"/>
      <c r="J114" s="115"/>
    </row>
    <row r="115" spans="2:10">
      <c r="B115" s="113"/>
      <c r="C115" s="114"/>
      <c r="D115" s="114"/>
      <c r="E115" s="114"/>
      <c r="F115" s="114"/>
      <c r="G115" s="114"/>
      <c r="H115" s="114"/>
      <c r="I115" s="114"/>
      <c r="J115" s="115"/>
    </row>
    <row r="116" spans="2:10">
      <c r="B116" s="116"/>
      <c r="D116" s="67"/>
      <c r="E116" s="67"/>
      <c r="F116" s="67"/>
      <c r="G116" s="67"/>
      <c r="H116" s="67"/>
      <c r="I116" s="67"/>
      <c r="J116" s="58"/>
    </row>
    <row r="117" spans="2:10" ht="15.5" thickBot="1">
      <c r="B117" s="116"/>
      <c r="D117" s="67"/>
      <c r="E117" s="67"/>
      <c r="F117" s="67"/>
      <c r="G117" s="67"/>
      <c r="H117" s="67"/>
      <c r="I117" s="67"/>
      <c r="J117" s="58"/>
    </row>
    <row r="118" spans="2:10">
      <c r="B118" s="120"/>
      <c r="C118" s="121"/>
      <c r="D118" s="121"/>
      <c r="E118" s="121"/>
      <c r="F118" s="121"/>
      <c r="G118" s="121"/>
      <c r="H118" s="121"/>
      <c r="I118" s="121"/>
      <c r="J118" s="122"/>
    </row>
    <row r="119" spans="2:10">
      <c r="B119" s="113"/>
      <c r="C119" s="119" t="s">
        <v>191</v>
      </c>
      <c r="D119" s="114"/>
      <c r="E119" s="114"/>
      <c r="F119" s="114"/>
      <c r="G119" s="114"/>
      <c r="H119" s="114"/>
      <c r="I119" s="114"/>
      <c r="J119" s="115"/>
    </row>
    <row r="120" spans="2:10">
      <c r="B120" s="116"/>
      <c r="D120" s="67"/>
      <c r="E120" s="67"/>
      <c r="F120" s="67"/>
      <c r="G120" s="67"/>
      <c r="H120" s="67"/>
      <c r="I120" s="67"/>
      <c r="J120" s="58"/>
    </row>
    <row r="121" spans="2:10">
      <c r="B121" s="117"/>
      <c r="C121" s="118"/>
      <c r="D121" s="67"/>
      <c r="E121" s="67"/>
      <c r="F121" s="67"/>
      <c r="G121" s="67"/>
      <c r="H121" s="67"/>
      <c r="I121" s="67"/>
      <c r="J121" s="58"/>
    </row>
    <row r="122" spans="2:10">
      <c r="B122" s="116"/>
      <c r="D122" s="67"/>
      <c r="E122" s="67"/>
      <c r="F122" s="67"/>
      <c r="G122" s="67"/>
      <c r="H122" s="67"/>
      <c r="I122" s="67"/>
      <c r="J122" s="58"/>
    </row>
    <row r="123" spans="2:10">
      <c r="B123" s="116"/>
      <c r="D123" s="67"/>
      <c r="E123" s="67"/>
      <c r="F123" s="67"/>
      <c r="G123" s="67"/>
      <c r="H123" s="67"/>
      <c r="I123" s="67"/>
      <c r="J123" s="58"/>
    </row>
    <row r="124" spans="2:10">
      <c r="B124" s="116"/>
      <c r="D124" s="67"/>
      <c r="E124" s="67"/>
      <c r="F124" s="67"/>
      <c r="G124" s="67"/>
      <c r="H124" s="67"/>
      <c r="I124" s="67"/>
      <c r="J124" s="58"/>
    </row>
    <row r="125" spans="2:10">
      <c r="B125" s="116"/>
      <c r="D125" s="67"/>
      <c r="E125" s="67"/>
      <c r="F125" s="67"/>
      <c r="G125" s="67"/>
      <c r="H125" s="67"/>
      <c r="I125" s="67"/>
      <c r="J125" s="58"/>
    </row>
    <row r="126" spans="2:10">
      <c r="B126" s="116"/>
      <c r="D126" s="67"/>
      <c r="E126" s="67"/>
      <c r="F126" s="67"/>
      <c r="G126" s="67"/>
      <c r="H126" s="67"/>
      <c r="I126" s="67"/>
      <c r="J126" s="58"/>
    </row>
    <row r="127" spans="2:10">
      <c r="B127" s="116"/>
      <c r="D127" s="67"/>
      <c r="E127" s="67"/>
      <c r="F127" s="67"/>
      <c r="G127" s="67"/>
      <c r="H127" s="67"/>
      <c r="I127" s="67"/>
      <c r="J127" s="58"/>
    </row>
    <row r="128" spans="2:10">
      <c r="B128" s="116"/>
      <c r="D128" s="67"/>
      <c r="E128" s="67"/>
      <c r="F128" s="67"/>
      <c r="G128" s="67"/>
      <c r="H128" s="67"/>
      <c r="I128" s="67"/>
      <c r="J128" s="58"/>
    </row>
    <row r="129" spans="2:10">
      <c r="B129" s="116"/>
      <c r="D129" s="67"/>
      <c r="E129" s="67"/>
      <c r="F129" s="67"/>
      <c r="G129" s="67"/>
      <c r="H129" s="67"/>
      <c r="I129" s="67"/>
      <c r="J129" s="58"/>
    </row>
    <row r="130" spans="2:10">
      <c r="B130" s="116"/>
      <c r="D130" s="67"/>
      <c r="E130" s="67"/>
      <c r="F130" s="67"/>
      <c r="G130" s="67"/>
      <c r="H130" s="67"/>
      <c r="I130" s="67"/>
      <c r="J130" s="58"/>
    </row>
    <row r="131" spans="2:10">
      <c r="B131" s="116"/>
      <c r="D131" s="67"/>
      <c r="E131" s="67"/>
      <c r="F131" s="67"/>
      <c r="G131" s="67"/>
      <c r="H131" s="67"/>
      <c r="I131" s="67"/>
      <c r="J131" s="58"/>
    </row>
    <row r="132" spans="2:10">
      <c r="B132" s="116"/>
      <c r="D132" s="67"/>
      <c r="E132" s="67"/>
      <c r="F132" s="67"/>
      <c r="G132" s="67"/>
      <c r="H132" s="67"/>
      <c r="I132" s="67"/>
      <c r="J132" s="58"/>
    </row>
    <row r="133" spans="2:10">
      <c r="B133" s="116"/>
      <c r="D133" s="67"/>
      <c r="E133" s="67"/>
      <c r="F133" s="67"/>
      <c r="G133" s="67"/>
      <c r="H133" s="67"/>
      <c r="I133" s="67"/>
      <c r="J133" s="58"/>
    </row>
    <row r="134" spans="2:10">
      <c r="B134" s="116"/>
      <c r="D134" s="67"/>
      <c r="E134" s="67"/>
      <c r="F134" s="67"/>
      <c r="G134" s="67"/>
      <c r="H134" s="67"/>
      <c r="I134" s="67"/>
      <c r="J134" s="58"/>
    </row>
    <row r="135" spans="2:10">
      <c r="B135" s="116"/>
      <c r="D135" s="67"/>
      <c r="E135" s="67"/>
      <c r="F135" s="67"/>
      <c r="G135" s="67"/>
      <c r="H135" s="67"/>
      <c r="I135" s="67"/>
      <c r="J135" s="58"/>
    </row>
    <row r="136" spans="2:10">
      <c r="B136" s="116"/>
      <c r="D136" s="67"/>
      <c r="E136" s="67"/>
      <c r="F136" s="67"/>
      <c r="G136" s="67"/>
      <c r="H136" s="67"/>
      <c r="I136" s="67"/>
      <c r="J136" s="58"/>
    </row>
    <row r="137" spans="2:10">
      <c r="B137" s="116"/>
      <c r="D137" s="67"/>
      <c r="E137" s="67"/>
      <c r="F137" s="67"/>
      <c r="G137" s="67"/>
      <c r="H137" s="67"/>
      <c r="I137" s="67"/>
      <c r="J137" s="58"/>
    </row>
    <row r="138" spans="2:10">
      <c r="B138" s="116"/>
      <c r="D138" s="67"/>
      <c r="E138" s="67"/>
      <c r="F138" s="67"/>
      <c r="G138" s="67"/>
      <c r="H138" s="67"/>
      <c r="I138" s="67"/>
      <c r="J138" s="58"/>
    </row>
    <row r="139" spans="2:10">
      <c r="B139" s="116"/>
      <c r="D139" s="67"/>
      <c r="E139" s="67"/>
      <c r="F139" s="67"/>
      <c r="G139" s="67"/>
      <c r="H139" s="67"/>
      <c r="I139" s="67"/>
      <c r="J139" s="58"/>
    </row>
    <row r="140" spans="2:10">
      <c r="B140" s="116"/>
      <c r="D140" s="67"/>
      <c r="E140" s="67"/>
      <c r="F140" s="67"/>
      <c r="G140" s="67"/>
      <c r="H140" s="67"/>
      <c r="I140" s="67"/>
      <c r="J140" s="58"/>
    </row>
    <row r="141" spans="2:10">
      <c r="B141" s="116"/>
      <c r="D141" s="67"/>
      <c r="E141" s="67"/>
      <c r="F141" s="67"/>
      <c r="G141" s="67"/>
      <c r="H141" s="67"/>
      <c r="I141" s="67"/>
      <c r="J141" s="58"/>
    </row>
    <row r="142" spans="2:10">
      <c r="B142" s="116"/>
      <c r="D142" s="67"/>
      <c r="E142" s="67"/>
      <c r="F142" s="67"/>
      <c r="G142" s="67"/>
      <c r="H142" s="67"/>
      <c r="I142" s="67"/>
      <c r="J142" s="58"/>
    </row>
    <row r="143" spans="2:10">
      <c r="B143" s="113"/>
      <c r="D143" s="67"/>
      <c r="E143" s="67"/>
      <c r="F143" s="67"/>
      <c r="G143" s="67"/>
      <c r="H143" s="67"/>
      <c r="I143" s="67"/>
      <c r="J143" s="58"/>
    </row>
    <row r="144" spans="2:10">
      <c r="B144" s="113"/>
      <c r="C144" s="114"/>
      <c r="D144" s="114"/>
      <c r="E144" s="114"/>
      <c r="F144" s="114"/>
      <c r="G144" s="114"/>
      <c r="H144" s="114"/>
      <c r="I144" s="114"/>
      <c r="J144" s="115"/>
    </row>
    <row r="145" spans="2:10">
      <c r="B145" s="113"/>
      <c r="C145" s="114"/>
      <c r="D145" s="114"/>
      <c r="E145" s="114"/>
      <c r="F145" s="114"/>
      <c r="G145" s="114"/>
      <c r="H145" s="114"/>
      <c r="I145" s="114"/>
      <c r="J145" s="115"/>
    </row>
    <row r="146" spans="2:10">
      <c r="B146" s="113"/>
      <c r="C146" s="114"/>
      <c r="D146" s="114"/>
      <c r="E146" s="114"/>
      <c r="F146" s="114"/>
      <c r="G146" s="114"/>
      <c r="H146" s="114"/>
      <c r="I146" s="114"/>
      <c r="J146" s="115"/>
    </row>
    <row r="147" spans="2:10">
      <c r="B147" s="116"/>
      <c r="D147" s="67"/>
      <c r="E147" s="67"/>
      <c r="F147" s="67"/>
      <c r="G147" s="67"/>
      <c r="H147" s="67"/>
      <c r="I147" s="67"/>
      <c r="J147" s="58"/>
    </row>
    <row r="148" spans="2:10">
      <c r="B148" s="117"/>
      <c r="C148" s="118"/>
      <c r="D148" s="67"/>
      <c r="E148" s="67"/>
      <c r="F148" s="67"/>
      <c r="G148" s="67"/>
      <c r="H148" s="67"/>
      <c r="I148" s="67"/>
      <c r="J148" s="58"/>
    </row>
    <row r="149" spans="2:10">
      <c r="B149" s="116"/>
      <c r="D149" s="67"/>
      <c r="E149" s="67"/>
      <c r="F149" s="67"/>
      <c r="G149" s="67"/>
      <c r="H149" s="67"/>
      <c r="I149" s="67"/>
      <c r="J149" s="58"/>
    </row>
    <row r="150" spans="2:10">
      <c r="B150" s="116"/>
      <c r="D150" s="67"/>
      <c r="E150" s="67"/>
      <c r="F150" s="67"/>
      <c r="G150" s="67"/>
      <c r="H150" s="67"/>
      <c r="I150" s="67"/>
      <c r="J150" s="58"/>
    </row>
    <row r="151" spans="2:10">
      <c r="B151" s="116"/>
      <c r="D151" s="67"/>
      <c r="E151" s="67"/>
      <c r="F151" s="67"/>
      <c r="G151" s="67"/>
      <c r="H151" s="67"/>
      <c r="I151" s="67"/>
      <c r="J151" s="58"/>
    </row>
    <row r="152" spans="2:10">
      <c r="B152" s="113"/>
      <c r="C152" s="114"/>
      <c r="D152" s="114"/>
      <c r="E152" s="114"/>
      <c r="F152" s="114"/>
      <c r="G152" s="114"/>
      <c r="H152" s="114"/>
      <c r="I152" s="114"/>
      <c r="J152" s="115"/>
    </row>
    <row r="153" spans="2:10">
      <c r="B153" s="113"/>
      <c r="C153" s="114"/>
      <c r="D153" s="114"/>
      <c r="E153" s="114"/>
      <c r="F153" s="114"/>
      <c r="G153" s="114"/>
      <c r="H153" s="114"/>
      <c r="I153" s="114"/>
      <c r="J153" s="115"/>
    </row>
    <row r="154" spans="2:10">
      <c r="B154" s="113"/>
      <c r="C154" s="114"/>
      <c r="D154" s="114"/>
      <c r="E154" s="114"/>
      <c r="F154" s="114"/>
      <c r="G154" s="114"/>
      <c r="H154" s="114"/>
      <c r="I154" s="114"/>
      <c r="J154" s="115"/>
    </row>
    <row r="155" spans="2:10">
      <c r="B155" s="116"/>
      <c r="D155" s="67"/>
      <c r="E155" s="67"/>
      <c r="F155" s="67"/>
      <c r="G155" s="67"/>
      <c r="H155" s="67"/>
      <c r="I155" s="67"/>
      <c r="J155" s="58"/>
    </row>
    <row r="156" spans="2:10">
      <c r="B156" s="117"/>
      <c r="C156" s="118"/>
      <c r="D156" s="67"/>
      <c r="E156" s="67"/>
      <c r="F156" s="67"/>
      <c r="G156" s="67"/>
      <c r="H156" s="67"/>
      <c r="I156" s="67"/>
      <c r="J156" s="58"/>
    </row>
    <row r="157" spans="2:10">
      <c r="B157" s="116"/>
      <c r="D157" s="67"/>
      <c r="E157" s="67"/>
      <c r="F157" s="67"/>
      <c r="G157" s="67"/>
      <c r="H157" s="67"/>
      <c r="I157" s="67"/>
      <c r="J157" s="58"/>
    </row>
    <row r="158" spans="2:10">
      <c r="B158" s="116"/>
      <c r="D158" s="67"/>
      <c r="E158" s="67"/>
      <c r="F158" s="67"/>
      <c r="G158" s="67"/>
      <c r="H158" s="67"/>
      <c r="I158" s="67"/>
      <c r="J158" s="58"/>
    </row>
    <row r="159" spans="2:10" ht="15.5" thickBot="1">
      <c r="B159" s="116"/>
      <c r="D159" s="67"/>
      <c r="E159" s="67"/>
      <c r="F159" s="67"/>
      <c r="G159" s="67"/>
      <c r="H159" s="67"/>
      <c r="I159" s="67"/>
      <c r="J159" s="58"/>
    </row>
    <row r="160" spans="2:10">
      <c r="B160" s="120"/>
      <c r="C160" s="121"/>
      <c r="D160" s="121"/>
      <c r="E160" s="121"/>
      <c r="F160" s="121"/>
      <c r="G160" s="121"/>
      <c r="H160" s="121"/>
      <c r="I160" s="121"/>
      <c r="J160" s="122"/>
    </row>
    <row r="161" spans="2:10">
      <c r="B161" s="113"/>
      <c r="C161" s="119" t="s">
        <v>192</v>
      </c>
      <c r="D161" s="114"/>
      <c r="E161" s="114"/>
      <c r="F161" s="114"/>
      <c r="G161" s="114"/>
      <c r="H161" s="114"/>
      <c r="I161" s="114"/>
      <c r="J161" s="115"/>
    </row>
    <row r="162" spans="2:10">
      <c r="B162" s="116"/>
      <c r="D162" s="67"/>
      <c r="E162" s="67"/>
      <c r="F162" s="67"/>
      <c r="G162" s="67"/>
      <c r="H162" s="67"/>
      <c r="I162" s="67"/>
      <c r="J162" s="58"/>
    </row>
    <row r="163" spans="2:10">
      <c r="B163" s="117"/>
      <c r="C163" s="118"/>
      <c r="D163" s="67"/>
      <c r="E163" s="67"/>
      <c r="F163" s="67"/>
      <c r="G163" s="67"/>
      <c r="H163" s="67"/>
      <c r="I163" s="67"/>
      <c r="J163" s="58"/>
    </row>
    <row r="164" spans="2:10">
      <c r="B164" s="116"/>
      <c r="D164" s="67"/>
      <c r="E164" s="67"/>
      <c r="F164" s="67"/>
      <c r="G164" s="67"/>
      <c r="H164" s="67"/>
      <c r="I164" s="67"/>
      <c r="J164" s="58"/>
    </row>
    <row r="165" spans="2:10">
      <c r="B165" s="116"/>
      <c r="D165" s="67"/>
      <c r="E165" s="67"/>
      <c r="F165" s="67"/>
      <c r="G165" s="67"/>
      <c r="H165" s="67"/>
      <c r="I165" s="67"/>
      <c r="J165" s="58"/>
    </row>
    <row r="166" spans="2:10">
      <c r="B166" s="116"/>
      <c r="D166" s="67"/>
      <c r="E166" s="67"/>
      <c r="F166" s="67"/>
      <c r="G166" s="67"/>
      <c r="H166" s="67"/>
      <c r="I166" s="67"/>
      <c r="J166" s="58"/>
    </row>
    <row r="167" spans="2:10">
      <c r="B167" s="116"/>
      <c r="D167" s="67"/>
      <c r="E167" s="67"/>
      <c r="F167" s="67"/>
      <c r="G167" s="67"/>
      <c r="H167" s="67"/>
      <c r="I167" s="67"/>
      <c r="J167" s="58"/>
    </row>
    <row r="168" spans="2:10">
      <c r="B168" s="116"/>
      <c r="D168" s="67"/>
      <c r="E168" s="67"/>
      <c r="F168" s="67"/>
      <c r="G168" s="67"/>
      <c r="H168" s="67"/>
      <c r="I168" s="67"/>
      <c r="J168" s="58"/>
    </row>
    <row r="169" spans="2:10">
      <c r="B169" s="116"/>
      <c r="D169" s="67"/>
      <c r="E169" s="67"/>
      <c r="F169" s="67"/>
      <c r="G169" s="67"/>
      <c r="H169" s="67"/>
      <c r="I169" s="67"/>
      <c r="J169" s="58"/>
    </row>
    <row r="170" spans="2:10">
      <c r="B170" s="116"/>
      <c r="D170" s="67"/>
      <c r="E170" s="67"/>
      <c r="F170" s="67"/>
      <c r="G170" s="67"/>
      <c r="H170" s="67"/>
      <c r="I170" s="67"/>
      <c r="J170" s="58"/>
    </row>
    <row r="171" spans="2:10">
      <c r="B171" s="117"/>
      <c r="C171" s="118"/>
      <c r="D171" s="67"/>
      <c r="E171" s="67"/>
      <c r="F171" s="67"/>
      <c r="G171" s="67"/>
      <c r="H171" s="67"/>
      <c r="I171" s="67"/>
      <c r="J171" s="58"/>
    </row>
    <row r="172" spans="2:10">
      <c r="B172" s="116"/>
      <c r="D172" s="67"/>
      <c r="E172" s="67"/>
      <c r="F172" s="67"/>
      <c r="G172" s="67"/>
      <c r="H172" s="67"/>
      <c r="I172" s="67"/>
      <c r="J172" s="58"/>
    </row>
    <row r="173" spans="2:10">
      <c r="B173" s="116"/>
      <c r="D173" s="67"/>
      <c r="E173" s="67"/>
      <c r="F173" s="67"/>
      <c r="G173" s="67"/>
      <c r="H173" s="67"/>
      <c r="I173" s="67"/>
      <c r="J173" s="58"/>
    </row>
    <row r="174" spans="2:10">
      <c r="B174" s="116"/>
      <c r="D174" s="67"/>
      <c r="E174" s="67"/>
      <c r="F174" s="67"/>
      <c r="G174" s="67"/>
      <c r="H174" s="67"/>
      <c r="I174" s="67"/>
      <c r="J174" s="58"/>
    </row>
    <row r="175" spans="2:10">
      <c r="B175" s="116"/>
      <c r="D175" s="67"/>
      <c r="E175" s="67"/>
      <c r="F175" s="67"/>
      <c r="G175" s="67"/>
      <c r="H175" s="67"/>
      <c r="I175" s="67"/>
      <c r="J175" s="58"/>
    </row>
    <row r="176" spans="2:10">
      <c r="B176" s="116"/>
      <c r="D176" s="67"/>
      <c r="E176" s="67"/>
      <c r="F176" s="67"/>
      <c r="G176" s="67"/>
      <c r="H176" s="67"/>
      <c r="I176" s="67"/>
      <c r="J176" s="58"/>
    </row>
    <row r="177" spans="2:10">
      <c r="B177" s="116"/>
      <c r="D177" s="67"/>
      <c r="E177" s="67"/>
      <c r="F177" s="67"/>
      <c r="G177" s="67"/>
      <c r="H177" s="67"/>
      <c r="I177" s="67"/>
      <c r="J177" s="58"/>
    </row>
    <row r="178" spans="2:10">
      <c r="B178" s="116"/>
      <c r="D178" s="67"/>
      <c r="E178" s="67"/>
      <c r="F178" s="67"/>
      <c r="G178" s="67"/>
      <c r="H178" s="67"/>
      <c r="I178" s="67"/>
      <c r="J178" s="58"/>
    </row>
    <row r="179" spans="2:10">
      <c r="B179" s="116"/>
      <c r="D179" s="67"/>
      <c r="E179" s="67"/>
      <c r="F179" s="67"/>
      <c r="G179" s="67"/>
      <c r="H179" s="67"/>
      <c r="I179" s="67"/>
      <c r="J179" s="58"/>
    </row>
    <row r="180" spans="2:10">
      <c r="B180" s="116"/>
      <c r="D180" s="67"/>
      <c r="E180" s="67"/>
      <c r="F180" s="67"/>
      <c r="G180" s="67"/>
      <c r="H180" s="67"/>
      <c r="I180" s="67"/>
      <c r="J180" s="58"/>
    </row>
    <row r="181" spans="2:10">
      <c r="B181" s="116"/>
      <c r="D181" s="67"/>
      <c r="E181" s="67"/>
      <c r="F181" s="67"/>
      <c r="G181" s="67"/>
      <c r="H181" s="67"/>
      <c r="I181" s="67"/>
      <c r="J181" s="58"/>
    </row>
    <row r="182" spans="2:10">
      <c r="B182" s="116"/>
      <c r="D182" s="67"/>
      <c r="E182" s="67"/>
      <c r="F182" s="67"/>
      <c r="G182" s="67"/>
      <c r="H182" s="67"/>
      <c r="I182" s="67"/>
      <c r="J182" s="58"/>
    </row>
    <row r="183" spans="2:10">
      <c r="B183" s="116"/>
      <c r="D183" s="67"/>
      <c r="E183" s="67"/>
      <c r="F183" s="67"/>
      <c r="G183" s="67"/>
      <c r="H183" s="67"/>
      <c r="I183" s="67"/>
      <c r="J183" s="58"/>
    </row>
    <row r="184" spans="2:10">
      <c r="B184" s="116"/>
      <c r="D184" s="67"/>
      <c r="E184" s="67"/>
      <c r="F184" s="67"/>
      <c r="G184" s="67"/>
      <c r="H184" s="67"/>
      <c r="I184" s="67"/>
      <c r="J184" s="58"/>
    </row>
    <row r="185" spans="2:10">
      <c r="B185" s="116"/>
      <c r="D185" s="67"/>
      <c r="E185" s="67"/>
      <c r="F185" s="67"/>
      <c r="G185" s="67"/>
      <c r="H185" s="67"/>
      <c r="I185" s="67"/>
      <c r="J185" s="58"/>
    </row>
    <row r="186" spans="2:10">
      <c r="B186" s="116"/>
      <c r="D186" s="67"/>
      <c r="E186" s="67"/>
      <c r="F186" s="67"/>
      <c r="G186" s="67"/>
      <c r="H186" s="67"/>
      <c r="I186" s="67"/>
      <c r="J186" s="58"/>
    </row>
    <row r="187" spans="2:10">
      <c r="B187" s="116"/>
      <c r="D187" s="67"/>
      <c r="E187" s="67"/>
      <c r="F187" s="67"/>
      <c r="G187" s="67"/>
      <c r="H187" s="67"/>
      <c r="I187" s="67"/>
      <c r="J187" s="58"/>
    </row>
    <row r="188" spans="2:10">
      <c r="B188" s="116"/>
      <c r="D188" s="67"/>
      <c r="E188" s="67"/>
      <c r="F188" s="67"/>
      <c r="G188" s="67"/>
      <c r="H188" s="67"/>
      <c r="I188" s="67"/>
      <c r="J188" s="58"/>
    </row>
    <row r="189" spans="2:10">
      <c r="B189" s="116"/>
      <c r="D189" s="67"/>
      <c r="E189" s="67"/>
      <c r="F189" s="67"/>
      <c r="G189" s="67"/>
      <c r="H189" s="67"/>
      <c r="I189" s="67"/>
      <c r="J189" s="58"/>
    </row>
    <row r="190" spans="2:10">
      <c r="B190" s="116"/>
      <c r="D190" s="67"/>
      <c r="E190" s="67"/>
      <c r="F190" s="67"/>
      <c r="G190" s="67"/>
      <c r="H190" s="67"/>
      <c r="I190" s="67"/>
      <c r="J190" s="58"/>
    </row>
    <row r="191" spans="2:10">
      <c r="B191" s="116"/>
      <c r="D191" s="67"/>
      <c r="E191" s="67"/>
      <c r="F191" s="67"/>
      <c r="G191" s="67"/>
      <c r="H191" s="67"/>
      <c r="I191" s="67"/>
      <c r="J191" s="58"/>
    </row>
    <row r="192" spans="2:10">
      <c r="B192" s="116"/>
      <c r="D192" s="67"/>
      <c r="E192" s="67"/>
      <c r="F192" s="67"/>
      <c r="G192" s="67"/>
      <c r="H192" s="67"/>
      <c r="I192" s="67"/>
      <c r="J192" s="58"/>
    </row>
    <row r="193" spans="2:10">
      <c r="B193" s="116"/>
      <c r="D193" s="67"/>
      <c r="E193" s="67"/>
      <c r="F193" s="67"/>
      <c r="G193" s="67"/>
      <c r="H193" s="67"/>
      <c r="I193" s="67"/>
      <c r="J193" s="58"/>
    </row>
    <row r="194" spans="2:10">
      <c r="B194" s="116"/>
      <c r="D194" s="67"/>
      <c r="E194" s="67"/>
      <c r="F194" s="67"/>
      <c r="G194" s="67"/>
      <c r="H194" s="67"/>
      <c r="I194" s="67"/>
      <c r="J194" s="58"/>
    </row>
    <row r="195" spans="2:10">
      <c r="B195" s="116"/>
      <c r="D195" s="67"/>
      <c r="E195" s="67"/>
      <c r="F195" s="67"/>
      <c r="G195" s="67"/>
      <c r="H195" s="67"/>
      <c r="I195" s="67"/>
      <c r="J195" s="58"/>
    </row>
    <row r="196" spans="2:10">
      <c r="B196" s="116"/>
      <c r="D196" s="67"/>
      <c r="E196" s="67"/>
      <c r="F196" s="67"/>
      <c r="G196" s="67"/>
      <c r="H196" s="67"/>
      <c r="I196" s="67"/>
      <c r="J196" s="58"/>
    </row>
    <row r="197" spans="2:10">
      <c r="B197" s="116"/>
      <c r="D197" s="67"/>
      <c r="E197" s="67"/>
      <c r="F197" s="67"/>
      <c r="G197" s="67"/>
      <c r="H197" s="67"/>
      <c r="I197" s="67"/>
      <c r="J197" s="58"/>
    </row>
    <row r="198" spans="2:10">
      <c r="B198" s="116"/>
      <c r="D198" s="67"/>
      <c r="E198" s="67"/>
      <c r="F198" s="67"/>
      <c r="G198" s="67"/>
      <c r="H198" s="67"/>
      <c r="I198" s="67"/>
      <c r="J198" s="58"/>
    </row>
    <row r="199" spans="2:10">
      <c r="B199" s="116"/>
      <c r="D199" s="67"/>
      <c r="E199" s="67"/>
      <c r="F199" s="67"/>
      <c r="G199" s="67"/>
      <c r="H199" s="67"/>
      <c r="I199" s="67"/>
      <c r="J199" s="58"/>
    </row>
    <row r="200" spans="2:10">
      <c r="B200" s="113"/>
      <c r="D200" s="67"/>
      <c r="E200" s="67"/>
      <c r="F200" s="67"/>
      <c r="G200" s="67"/>
      <c r="H200" s="67"/>
      <c r="I200" s="67"/>
      <c r="J200" s="58"/>
    </row>
    <row r="201" spans="2:10">
      <c r="B201" s="113"/>
      <c r="C201" s="114"/>
      <c r="D201" s="114"/>
      <c r="E201" s="114"/>
      <c r="F201" s="114"/>
      <c r="G201" s="114"/>
      <c r="H201" s="114"/>
      <c r="I201" s="114"/>
      <c r="J201" s="115"/>
    </row>
    <row r="202" spans="2:10">
      <c r="B202" s="113"/>
      <c r="C202" s="114"/>
      <c r="D202" s="114"/>
      <c r="E202" s="114"/>
      <c r="F202" s="114"/>
      <c r="G202" s="114"/>
      <c r="H202" s="114"/>
      <c r="I202" s="114"/>
      <c r="J202" s="115"/>
    </row>
    <row r="203" spans="2:10">
      <c r="B203" s="113"/>
      <c r="C203" s="114"/>
      <c r="D203" s="114"/>
      <c r="E203" s="114"/>
      <c r="F203" s="114"/>
      <c r="G203" s="114"/>
      <c r="H203" s="114"/>
      <c r="I203" s="114"/>
      <c r="J203" s="115"/>
    </row>
    <row r="204" spans="2:10">
      <c r="B204" s="116"/>
      <c r="D204" s="67"/>
      <c r="E204" s="67"/>
      <c r="F204" s="67"/>
      <c r="G204" s="67"/>
      <c r="H204" s="67"/>
      <c r="I204" s="67"/>
      <c r="J204" s="58"/>
    </row>
    <row r="205" spans="2:10">
      <c r="B205" s="116"/>
      <c r="D205" s="67"/>
      <c r="E205" s="67"/>
      <c r="F205" s="67"/>
      <c r="G205" s="67"/>
      <c r="H205" s="67"/>
      <c r="I205" s="67"/>
      <c r="J205" s="58"/>
    </row>
    <row r="206" spans="2:10">
      <c r="B206" s="116"/>
      <c r="D206" s="67"/>
      <c r="E206" s="67"/>
      <c r="F206" s="67"/>
      <c r="G206" s="67"/>
      <c r="H206" s="67"/>
      <c r="I206" s="67"/>
      <c r="J206" s="58"/>
    </row>
    <row r="207" spans="2:10">
      <c r="B207" s="113"/>
      <c r="C207" s="114"/>
      <c r="D207" s="114"/>
      <c r="E207" s="114"/>
      <c r="F207" s="114"/>
      <c r="G207" s="114"/>
      <c r="H207" s="114"/>
      <c r="I207" s="114"/>
      <c r="J207" s="115"/>
    </row>
    <row r="208" spans="2:10">
      <c r="B208" s="113"/>
      <c r="C208" s="114"/>
      <c r="D208" s="114"/>
      <c r="E208" s="114"/>
      <c r="F208" s="114"/>
      <c r="G208" s="114"/>
      <c r="H208" s="114"/>
      <c r="I208" s="114"/>
      <c r="J208" s="115"/>
    </row>
    <row r="209" spans="2:10">
      <c r="B209" s="113"/>
      <c r="C209" s="114"/>
      <c r="D209" s="114"/>
      <c r="E209" s="114"/>
      <c r="F209" s="114"/>
      <c r="G209" s="114"/>
      <c r="H209" s="114"/>
      <c r="I209" s="114"/>
      <c r="J209" s="115"/>
    </row>
    <row r="210" spans="2:10">
      <c r="B210" s="116"/>
      <c r="D210" s="67"/>
      <c r="E210" s="67"/>
      <c r="F210" s="67"/>
      <c r="G210" s="67"/>
      <c r="H210" s="67"/>
      <c r="I210" s="67"/>
      <c r="J210" s="58"/>
    </row>
    <row r="211" spans="2:10">
      <c r="B211" s="117"/>
      <c r="C211" s="118"/>
      <c r="D211" s="67"/>
      <c r="E211" s="67"/>
      <c r="F211" s="67"/>
      <c r="G211" s="67"/>
      <c r="H211" s="67"/>
      <c r="I211" s="67"/>
      <c r="J211" s="58"/>
    </row>
    <row r="212" spans="2:10">
      <c r="B212" s="116"/>
      <c r="D212" s="67"/>
      <c r="E212" s="67"/>
      <c r="F212" s="67"/>
      <c r="G212" s="67"/>
      <c r="H212" s="67"/>
      <c r="I212" s="67"/>
      <c r="J212" s="58"/>
    </row>
    <row r="213" spans="2:10">
      <c r="B213" s="116"/>
      <c r="D213" s="67"/>
      <c r="E213" s="67"/>
      <c r="F213" s="67"/>
      <c r="G213" s="67"/>
      <c r="H213" s="67"/>
      <c r="I213" s="67"/>
      <c r="J213" s="58"/>
    </row>
    <row r="214" spans="2:10">
      <c r="B214" s="116"/>
      <c r="D214" s="67"/>
      <c r="E214" s="67"/>
      <c r="F214" s="67"/>
      <c r="G214" s="67"/>
      <c r="H214" s="67"/>
      <c r="I214" s="67"/>
      <c r="J214" s="58"/>
    </row>
    <row r="215" spans="2:10" ht="15.5" thickBot="1">
      <c r="B215" s="123"/>
      <c r="C215" s="124"/>
      <c r="D215" s="125"/>
      <c r="E215" s="125"/>
      <c r="F215" s="125"/>
      <c r="G215" s="125"/>
      <c r="H215" s="125"/>
      <c r="I215" s="125"/>
      <c r="J215" s="126"/>
    </row>
    <row r="216" spans="2:10" ht="14.25" customHeight="1">
      <c r="B216" s="419" t="s">
        <v>193</v>
      </c>
      <c r="C216" s="111" t="s">
        <v>194</v>
      </c>
      <c r="D216" s="111"/>
      <c r="E216" s="111"/>
      <c r="F216" s="111"/>
      <c r="G216" s="111"/>
      <c r="H216" s="111"/>
      <c r="I216" s="111"/>
      <c r="J216" s="112"/>
    </row>
    <row r="217" spans="2:10" ht="14.25" customHeight="1" thickBot="1">
      <c r="B217" s="420"/>
      <c r="C217" s="421" t="s">
        <v>185</v>
      </c>
      <c r="D217" s="422"/>
      <c r="E217" s="423"/>
      <c r="F217" s="423"/>
      <c r="G217" s="423"/>
      <c r="H217" s="423"/>
      <c r="I217" s="423"/>
      <c r="J217" s="424"/>
    </row>
    <row r="218" spans="2:10">
      <c r="B218" s="127" t="s">
        <v>195</v>
      </c>
      <c r="C218" s="128"/>
      <c r="D218" s="128"/>
      <c r="E218" s="128"/>
      <c r="F218" s="128"/>
      <c r="G218" s="128"/>
      <c r="H218" s="128"/>
      <c r="I218" s="128"/>
      <c r="J218" s="129"/>
    </row>
    <row r="219" spans="2:10">
      <c r="B219" s="113"/>
      <c r="C219" s="114"/>
      <c r="D219" s="114"/>
      <c r="E219" s="114"/>
      <c r="F219" s="114"/>
      <c r="G219" s="114"/>
      <c r="H219" s="114"/>
      <c r="I219" s="114"/>
      <c r="J219" s="115"/>
    </row>
    <row r="220" spans="2:10">
      <c r="B220" s="116"/>
      <c r="D220" s="67"/>
      <c r="E220" s="67"/>
      <c r="F220" s="67"/>
      <c r="G220" s="67"/>
      <c r="H220" s="67"/>
      <c r="I220" s="67"/>
      <c r="J220" s="58"/>
    </row>
    <row r="221" spans="2:10">
      <c r="B221" s="116"/>
      <c r="D221" s="67"/>
      <c r="E221" s="67"/>
      <c r="F221" s="67"/>
      <c r="G221" s="67"/>
      <c r="H221" s="67"/>
      <c r="I221" s="67"/>
      <c r="J221" s="58"/>
    </row>
    <row r="222" spans="2:10">
      <c r="B222" s="116"/>
      <c r="D222" s="67"/>
      <c r="E222" s="67"/>
      <c r="F222" s="67"/>
      <c r="G222" s="67"/>
      <c r="H222" s="67"/>
      <c r="I222" s="67"/>
      <c r="J222" s="58"/>
    </row>
    <row r="223" spans="2:10">
      <c r="B223" s="116"/>
      <c r="D223" s="67"/>
      <c r="E223" s="67"/>
      <c r="F223" s="67"/>
      <c r="G223" s="67"/>
      <c r="H223" s="67"/>
      <c r="I223" s="67"/>
      <c r="J223" s="58"/>
    </row>
    <row r="224" spans="2:10">
      <c r="B224" s="116"/>
      <c r="D224" s="67"/>
      <c r="E224" s="67"/>
      <c r="F224" s="67"/>
      <c r="G224" s="67"/>
      <c r="H224" s="67"/>
      <c r="I224" s="67"/>
      <c r="J224" s="58"/>
    </row>
    <row r="225" spans="2:10">
      <c r="B225" s="116"/>
      <c r="C225" s="130" t="s">
        <v>196</v>
      </c>
      <c r="D225" s="67"/>
      <c r="E225" s="67"/>
      <c r="F225" s="67"/>
      <c r="G225" s="67"/>
      <c r="H225" s="67"/>
      <c r="I225" s="67"/>
      <c r="J225" s="58"/>
    </row>
    <row r="226" spans="2:10" ht="15.5" thickBot="1">
      <c r="B226" s="123"/>
      <c r="C226" s="124"/>
      <c r="D226" s="125"/>
      <c r="E226" s="125"/>
      <c r="F226" s="125"/>
      <c r="G226" s="125"/>
      <c r="H226" s="125"/>
      <c r="I226" s="125"/>
      <c r="J226" s="126"/>
    </row>
    <row r="227" spans="2:10" ht="14.25" customHeight="1">
      <c r="B227" s="419" t="s">
        <v>197</v>
      </c>
      <c r="C227" s="111" t="s">
        <v>198</v>
      </c>
      <c r="D227" s="111"/>
      <c r="E227" s="111"/>
      <c r="F227" s="111"/>
      <c r="G227" s="111"/>
      <c r="H227" s="111"/>
      <c r="I227" s="111"/>
      <c r="J227" s="112"/>
    </row>
    <row r="228" spans="2:10" ht="14.25" customHeight="1" thickBot="1">
      <c r="B228" s="420"/>
      <c r="C228" s="421" t="s">
        <v>185</v>
      </c>
      <c r="D228" s="422"/>
      <c r="E228" s="423"/>
      <c r="F228" s="423"/>
      <c r="G228" s="423"/>
      <c r="H228" s="423"/>
      <c r="I228" s="423"/>
      <c r="J228" s="424"/>
    </row>
    <row r="229" spans="2:10">
      <c r="B229" s="116"/>
      <c r="D229" s="67"/>
      <c r="E229" s="67"/>
      <c r="F229" s="67"/>
      <c r="G229" s="67"/>
      <c r="H229" s="67"/>
      <c r="I229" s="67"/>
      <c r="J229" s="58"/>
    </row>
    <row r="230" spans="2:10">
      <c r="B230" s="117"/>
      <c r="C230" s="118"/>
      <c r="D230" s="67"/>
      <c r="E230" s="67"/>
      <c r="F230" s="67"/>
      <c r="G230" s="67"/>
      <c r="H230" s="67"/>
      <c r="I230" s="67"/>
      <c r="J230" s="58"/>
    </row>
    <row r="231" spans="2:10">
      <c r="B231" s="116"/>
      <c r="D231" s="67"/>
      <c r="E231" s="67"/>
      <c r="F231" s="67"/>
      <c r="G231" s="67"/>
      <c r="H231" s="67"/>
      <c r="I231" s="67"/>
      <c r="J231" s="58"/>
    </row>
    <row r="232" spans="2:10">
      <c r="B232" s="116"/>
      <c r="D232" s="67"/>
      <c r="E232" s="67"/>
      <c r="F232" s="67"/>
      <c r="G232" s="67"/>
      <c r="H232" s="67"/>
      <c r="I232" s="67"/>
      <c r="J232" s="58"/>
    </row>
    <row r="233" spans="2:10">
      <c r="B233" s="116"/>
      <c r="D233" s="67"/>
      <c r="E233" s="67"/>
      <c r="F233" s="67"/>
      <c r="G233" s="67"/>
      <c r="H233" s="67"/>
      <c r="I233" s="67"/>
      <c r="J233" s="58"/>
    </row>
    <row r="234" spans="2:10">
      <c r="B234" s="116"/>
      <c r="C234" s="130" t="s">
        <v>199</v>
      </c>
      <c r="D234" s="67"/>
      <c r="E234" s="67"/>
      <c r="F234" s="67"/>
      <c r="G234" s="67"/>
      <c r="H234" s="67"/>
      <c r="I234" s="67"/>
      <c r="J234" s="58"/>
    </row>
    <row r="235" spans="2:10" ht="15.5" thickBot="1">
      <c r="B235" s="123"/>
      <c r="C235" s="124"/>
      <c r="D235" s="125"/>
      <c r="E235" s="125"/>
      <c r="F235" s="125"/>
      <c r="G235" s="125"/>
      <c r="H235" s="125"/>
      <c r="I235" s="125"/>
      <c r="J235" s="126"/>
    </row>
    <row r="236" spans="2:10" ht="14.25" customHeight="1">
      <c r="B236" s="419" t="s">
        <v>200</v>
      </c>
      <c r="C236" s="111" t="s">
        <v>201</v>
      </c>
      <c r="D236" s="111"/>
      <c r="E236" s="111"/>
      <c r="F236" s="111"/>
      <c r="G236" s="111"/>
      <c r="H236" s="111"/>
      <c r="I236" s="111"/>
      <c r="J236" s="112"/>
    </row>
    <row r="237" spans="2:10" ht="14.25" customHeight="1" thickBot="1">
      <c r="B237" s="420"/>
      <c r="C237" s="421" t="s">
        <v>185</v>
      </c>
      <c r="D237" s="422"/>
      <c r="E237" s="423"/>
      <c r="F237" s="423"/>
      <c r="G237" s="423"/>
      <c r="H237" s="423"/>
      <c r="I237" s="423"/>
      <c r="J237" s="424"/>
    </row>
    <row r="238" spans="2:10">
      <c r="B238" s="116"/>
      <c r="D238" s="67"/>
      <c r="E238" s="67"/>
      <c r="F238" s="67"/>
      <c r="G238" s="67"/>
      <c r="H238" s="67"/>
      <c r="I238" s="67"/>
      <c r="J238" s="58"/>
    </row>
    <row r="239" spans="2:10">
      <c r="B239" s="117"/>
      <c r="C239" s="118"/>
      <c r="D239" s="67"/>
      <c r="E239" s="67"/>
      <c r="F239" s="67"/>
      <c r="G239" s="67"/>
      <c r="H239" s="67"/>
      <c r="I239" s="67"/>
      <c r="J239" s="58"/>
    </row>
    <row r="240" spans="2:10">
      <c r="B240" s="116"/>
      <c r="D240" s="67"/>
      <c r="E240" s="67"/>
      <c r="F240" s="67"/>
      <c r="G240" s="67"/>
      <c r="H240" s="67"/>
      <c r="I240" s="67"/>
      <c r="J240" s="58"/>
    </row>
    <row r="241" spans="2:10">
      <c r="B241" s="116"/>
      <c r="D241" s="67"/>
      <c r="E241" s="67"/>
      <c r="F241" s="67"/>
      <c r="G241" s="67"/>
      <c r="H241" s="67"/>
      <c r="I241" s="67"/>
      <c r="J241" s="58"/>
    </row>
    <row r="242" spans="2:10">
      <c r="B242" s="116"/>
      <c r="D242" s="67"/>
      <c r="E242" s="67"/>
      <c r="F242" s="67"/>
      <c r="G242" s="67"/>
      <c r="H242" s="67"/>
      <c r="I242" s="67"/>
      <c r="J242" s="58"/>
    </row>
    <row r="243" spans="2:10">
      <c r="B243" s="116"/>
      <c r="C243" s="130" t="s">
        <v>199</v>
      </c>
      <c r="D243" s="67"/>
      <c r="E243" s="67"/>
      <c r="F243" s="67"/>
      <c r="G243" s="67"/>
      <c r="H243" s="67"/>
      <c r="I243" s="67"/>
      <c r="J243" s="58"/>
    </row>
    <row r="244" spans="2:10" ht="15.5" thickBot="1">
      <c r="B244" s="123"/>
      <c r="C244" s="124"/>
      <c r="D244" s="125"/>
      <c r="E244" s="125"/>
      <c r="F244" s="125"/>
      <c r="G244" s="125"/>
      <c r="H244" s="125"/>
      <c r="I244" s="125"/>
      <c r="J244" s="126"/>
    </row>
    <row r="245" spans="2:10" ht="14.25" customHeight="1">
      <c r="B245" s="419" t="s">
        <v>202</v>
      </c>
      <c r="C245" s="111" t="s">
        <v>203</v>
      </c>
      <c r="D245" s="111"/>
      <c r="E245" s="111"/>
      <c r="F245" s="111"/>
      <c r="G245" s="111"/>
      <c r="H245" s="111"/>
      <c r="I245" s="111"/>
      <c r="J245" s="112"/>
    </row>
    <row r="246" spans="2:10" ht="14.25" customHeight="1" thickBot="1">
      <c r="B246" s="420"/>
      <c r="C246" s="421" t="s">
        <v>185</v>
      </c>
      <c r="D246" s="422"/>
      <c r="E246" s="423"/>
      <c r="F246" s="423"/>
      <c r="G246" s="423"/>
      <c r="H246" s="423"/>
      <c r="I246" s="423"/>
      <c r="J246" s="424"/>
    </row>
    <row r="247" spans="2:10">
      <c r="B247" s="116"/>
      <c r="D247" s="67"/>
      <c r="E247" s="67"/>
      <c r="F247" s="67"/>
      <c r="G247" s="67"/>
      <c r="H247" s="67"/>
      <c r="I247" s="67"/>
      <c r="J247" s="58"/>
    </row>
    <row r="248" spans="2:10">
      <c r="B248" s="117"/>
      <c r="C248" s="118"/>
      <c r="D248" s="67"/>
      <c r="E248" s="67"/>
      <c r="F248" s="67"/>
      <c r="G248" s="67"/>
      <c r="H248" s="67"/>
      <c r="I248" s="67"/>
      <c r="J248" s="58"/>
    </row>
    <row r="249" spans="2:10">
      <c r="B249" s="117"/>
      <c r="C249" s="118"/>
      <c r="D249" s="67"/>
      <c r="E249" s="67"/>
      <c r="F249" s="67"/>
      <c r="G249" s="67"/>
      <c r="H249" s="67"/>
      <c r="I249" s="67"/>
      <c r="J249" s="58"/>
    </row>
    <row r="250" spans="2:10">
      <c r="B250" s="116"/>
      <c r="D250" s="67"/>
      <c r="E250" s="67"/>
      <c r="F250" s="67"/>
      <c r="G250" s="67"/>
      <c r="H250" s="67"/>
      <c r="I250" s="67"/>
      <c r="J250" s="58"/>
    </row>
    <row r="251" spans="2:10">
      <c r="B251" s="116"/>
      <c r="D251" s="67"/>
      <c r="E251" s="67"/>
      <c r="F251" s="67"/>
      <c r="G251" s="67"/>
      <c r="H251" s="67"/>
      <c r="I251" s="67"/>
      <c r="J251" s="58"/>
    </row>
    <row r="252" spans="2:10">
      <c r="B252" s="116"/>
      <c r="D252" s="67"/>
      <c r="E252" s="67"/>
      <c r="F252" s="67"/>
      <c r="G252" s="67"/>
      <c r="H252" s="67"/>
      <c r="I252" s="67"/>
      <c r="J252" s="58"/>
    </row>
    <row r="253" spans="2:10">
      <c r="B253" s="116"/>
      <c r="C253" s="130" t="s">
        <v>199</v>
      </c>
      <c r="D253" s="130"/>
      <c r="E253" s="67"/>
      <c r="F253" s="67"/>
      <c r="G253" s="67"/>
      <c r="H253" s="67"/>
      <c r="I253" s="67"/>
      <c r="J253" s="58"/>
    </row>
    <row r="254" spans="2:10" ht="15.5" thickBot="1">
      <c r="B254" s="131"/>
      <c r="C254" s="132"/>
      <c r="D254" s="81"/>
      <c r="E254" s="81"/>
      <c r="F254" s="81"/>
      <c r="G254" s="81"/>
      <c r="H254" s="81"/>
      <c r="I254" s="81"/>
      <c r="J254" s="82"/>
    </row>
  </sheetData>
  <mergeCells count="22">
    <mergeCell ref="B245:B246"/>
    <mergeCell ref="C246:D246"/>
    <mergeCell ref="E246:J246"/>
    <mergeCell ref="B227:B228"/>
    <mergeCell ref="C228:D228"/>
    <mergeCell ref="E228:J228"/>
    <mergeCell ref="B236:B237"/>
    <mergeCell ref="C237:D237"/>
    <mergeCell ref="E237:J237"/>
    <mergeCell ref="B82:B83"/>
    <mergeCell ref="C83:D83"/>
    <mergeCell ref="E83:J83"/>
    <mergeCell ref="B216:B217"/>
    <mergeCell ref="C217:D217"/>
    <mergeCell ref="E217:J217"/>
    <mergeCell ref="B2:J2"/>
    <mergeCell ref="B8:B9"/>
    <mergeCell ref="C9:D9"/>
    <mergeCell ref="E9:J9"/>
    <mergeCell ref="B47:B48"/>
    <mergeCell ref="C48:D48"/>
    <mergeCell ref="E48:J48"/>
  </mergeCells>
  <phoneticPr fontId="27" type="noConversion"/>
  <hyperlinks>
    <hyperlink ref="A1" location="【TCS】!A1" display="戻る" xr:uid="{C4AD4116-6857-4D07-8A53-03AD73106803}"/>
  </hyperlinks>
  <pageMargins left="0.75" right="0.75" top="1" bottom="1" header="0.51200000000000001" footer="0.51200000000000001"/>
  <pageSetup paperSize="9" orientation="portrait" verticalDpi="0"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F95BB-2975-4B7A-B913-C3BAD5B92E3A}">
  <dimension ref="A1:K95"/>
  <sheetViews>
    <sheetView showGridLines="0" workbookViewId="0">
      <pane ySplit="3" topLeftCell="A4" activePane="bottomLeft" state="frozen"/>
      <selection pane="bottomLeft"/>
    </sheetView>
  </sheetViews>
  <sheetFormatPr defaultRowHeight="15"/>
  <cols>
    <col min="1" max="1" width="3.26953125" style="35" customWidth="1"/>
    <col min="2" max="2" width="7.7265625" style="35" customWidth="1"/>
    <col min="3" max="3" width="10" style="35" customWidth="1"/>
    <col min="4" max="4" width="12.36328125" style="37" customWidth="1"/>
    <col min="5" max="5" width="14.90625" style="37" customWidth="1"/>
    <col min="6" max="6" width="16.36328125" style="37" bestFit="1" customWidth="1"/>
    <col min="7" max="7" width="7" style="35" bestFit="1" customWidth="1"/>
    <col min="8" max="8" width="16.36328125" style="35" bestFit="1" customWidth="1"/>
    <col min="9" max="9" width="7" style="35" bestFit="1" customWidth="1"/>
    <col min="10" max="10" width="16.26953125" style="35" customWidth="1"/>
    <col min="11" max="256" width="9" style="35"/>
    <col min="257" max="257" width="3.26953125" style="35" customWidth="1"/>
    <col min="258" max="258" width="7.7265625" style="35" customWidth="1"/>
    <col min="259" max="259" width="10" style="35" customWidth="1"/>
    <col min="260" max="260" width="12.36328125" style="35" customWidth="1"/>
    <col min="261" max="261" width="14.90625" style="35" customWidth="1"/>
    <col min="262" max="262" width="16.36328125" style="35" bestFit="1" customWidth="1"/>
    <col min="263" max="263" width="7" style="35" bestFit="1" customWidth="1"/>
    <col min="264" max="264" width="16.36328125" style="35" bestFit="1" customWidth="1"/>
    <col min="265" max="265" width="7" style="35" bestFit="1" customWidth="1"/>
    <col min="266" max="266" width="16.26953125" style="35" customWidth="1"/>
    <col min="267" max="512" width="9" style="35"/>
    <col min="513" max="513" width="3.26953125" style="35" customWidth="1"/>
    <col min="514" max="514" width="7.7265625" style="35" customWidth="1"/>
    <col min="515" max="515" width="10" style="35" customWidth="1"/>
    <col min="516" max="516" width="12.36328125" style="35" customWidth="1"/>
    <col min="517" max="517" width="14.90625" style="35" customWidth="1"/>
    <col min="518" max="518" width="16.36328125" style="35" bestFit="1" customWidth="1"/>
    <col min="519" max="519" width="7" style="35" bestFit="1" customWidth="1"/>
    <col min="520" max="520" width="16.36328125" style="35" bestFit="1" customWidth="1"/>
    <col min="521" max="521" width="7" style="35" bestFit="1" customWidth="1"/>
    <col min="522" max="522" width="16.26953125" style="35" customWidth="1"/>
    <col min="523" max="768" width="9" style="35"/>
    <col min="769" max="769" width="3.26953125" style="35" customWidth="1"/>
    <col min="770" max="770" width="7.7265625" style="35" customWidth="1"/>
    <col min="771" max="771" width="10" style="35" customWidth="1"/>
    <col min="772" max="772" width="12.36328125" style="35" customWidth="1"/>
    <col min="773" max="773" width="14.90625" style="35" customWidth="1"/>
    <col min="774" max="774" width="16.36328125" style="35" bestFit="1" customWidth="1"/>
    <col min="775" max="775" width="7" style="35" bestFit="1" customWidth="1"/>
    <col min="776" max="776" width="16.36328125" style="35" bestFit="1" customWidth="1"/>
    <col min="777" max="777" width="7" style="35" bestFit="1" customWidth="1"/>
    <col min="778" max="778" width="16.26953125" style="35" customWidth="1"/>
    <col min="779" max="1024" width="9" style="35"/>
    <col min="1025" max="1025" width="3.26953125" style="35" customWidth="1"/>
    <col min="1026" max="1026" width="7.7265625" style="35" customWidth="1"/>
    <col min="1027" max="1027" width="10" style="35" customWidth="1"/>
    <col min="1028" max="1028" width="12.36328125" style="35" customWidth="1"/>
    <col min="1029" max="1029" width="14.90625" style="35" customWidth="1"/>
    <col min="1030" max="1030" width="16.36328125" style="35" bestFit="1" customWidth="1"/>
    <col min="1031" max="1031" width="7" style="35" bestFit="1" customWidth="1"/>
    <col min="1032" max="1032" width="16.36328125" style="35" bestFit="1" customWidth="1"/>
    <col min="1033" max="1033" width="7" style="35" bestFit="1" customWidth="1"/>
    <col min="1034" max="1034" width="16.26953125" style="35" customWidth="1"/>
    <col min="1035" max="1280" width="9" style="35"/>
    <col min="1281" max="1281" width="3.26953125" style="35" customWidth="1"/>
    <col min="1282" max="1282" width="7.7265625" style="35" customWidth="1"/>
    <col min="1283" max="1283" width="10" style="35" customWidth="1"/>
    <col min="1284" max="1284" width="12.36328125" style="35" customWidth="1"/>
    <col min="1285" max="1285" width="14.90625" style="35" customWidth="1"/>
    <col min="1286" max="1286" width="16.36328125" style="35" bestFit="1" customWidth="1"/>
    <col min="1287" max="1287" width="7" style="35" bestFit="1" customWidth="1"/>
    <col min="1288" max="1288" width="16.36328125" style="35" bestFit="1" customWidth="1"/>
    <col min="1289" max="1289" width="7" style="35" bestFit="1" customWidth="1"/>
    <col min="1290" max="1290" width="16.26953125" style="35" customWidth="1"/>
    <col min="1291" max="1536" width="9" style="35"/>
    <col min="1537" max="1537" width="3.26953125" style="35" customWidth="1"/>
    <col min="1538" max="1538" width="7.7265625" style="35" customWidth="1"/>
    <col min="1539" max="1539" width="10" style="35" customWidth="1"/>
    <col min="1540" max="1540" width="12.36328125" style="35" customWidth="1"/>
    <col min="1541" max="1541" width="14.90625" style="35" customWidth="1"/>
    <col min="1542" max="1542" width="16.36328125" style="35" bestFit="1" customWidth="1"/>
    <col min="1543" max="1543" width="7" style="35" bestFit="1" customWidth="1"/>
    <col min="1544" max="1544" width="16.36328125" style="35" bestFit="1" customWidth="1"/>
    <col min="1545" max="1545" width="7" style="35" bestFit="1" customWidth="1"/>
    <col min="1546" max="1546" width="16.26953125" style="35" customWidth="1"/>
    <col min="1547" max="1792" width="9" style="35"/>
    <col min="1793" max="1793" width="3.26953125" style="35" customWidth="1"/>
    <col min="1794" max="1794" width="7.7265625" style="35" customWidth="1"/>
    <col min="1795" max="1795" width="10" style="35" customWidth="1"/>
    <col min="1796" max="1796" width="12.36328125" style="35" customWidth="1"/>
    <col min="1797" max="1797" width="14.90625" style="35" customWidth="1"/>
    <col min="1798" max="1798" width="16.36328125" style="35" bestFit="1" customWidth="1"/>
    <col min="1799" max="1799" width="7" style="35" bestFit="1" customWidth="1"/>
    <col min="1800" max="1800" width="16.36328125" style="35" bestFit="1" customWidth="1"/>
    <col min="1801" max="1801" width="7" style="35" bestFit="1" customWidth="1"/>
    <col min="1802" max="1802" width="16.26953125" style="35" customWidth="1"/>
    <col min="1803" max="2048" width="9" style="35"/>
    <col min="2049" max="2049" width="3.26953125" style="35" customWidth="1"/>
    <col min="2050" max="2050" width="7.7265625" style="35" customWidth="1"/>
    <col min="2051" max="2051" width="10" style="35" customWidth="1"/>
    <col min="2052" max="2052" width="12.36328125" style="35" customWidth="1"/>
    <col min="2053" max="2053" width="14.90625" style="35" customWidth="1"/>
    <col min="2054" max="2054" width="16.36328125" style="35" bestFit="1" customWidth="1"/>
    <col min="2055" max="2055" width="7" style="35" bestFit="1" customWidth="1"/>
    <col min="2056" max="2056" width="16.36328125" style="35" bestFit="1" customWidth="1"/>
    <col min="2057" max="2057" width="7" style="35" bestFit="1" customWidth="1"/>
    <col min="2058" max="2058" width="16.26953125" style="35" customWidth="1"/>
    <col min="2059" max="2304" width="9" style="35"/>
    <col min="2305" max="2305" width="3.26953125" style="35" customWidth="1"/>
    <col min="2306" max="2306" width="7.7265625" style="35" customWidth="1"/>
    <col min="2307" max="2307" width="10" style="35" customWidth="1"/>
    <col min="2308" max="2308" width="12.36328125" style="35" customWidth="1"/>
    <col min="2309" max="2309" width="14.90625" style="35" customWidth="1"/>
    <col min="2310" max="2310" width="16.36328125" style="35" bestFit="1" customWidth="1"/>
    <col min="2311" max="2311" width="7" style="35" bestFit="1" customWidth="1"/>
    <col min="2312" max="2312" width="16.36328125" style="35" bestFit="1" customWidth="1"/>
    <col min="2313" max="2313" width="7" style="35" bestFit="1" customWidth="1"/>
    <col min="2314" max="2314" width="16.26953125" style="35" customWidth="1"/>
    <col min="2315" max="2560" width="9" style="35"/>
    <col min="2561" max="2561" width="3.26953125" style="35" customWidth="1"/>
    <col min="2562" max="2562" width="7.7265625" style="35" customWidth="1"/>
    <col min="2563" max="2563" width="10" style="35" customWidth="1"/>
    <col min="2564" max="2564" width="12.36328125" style="35" customWidth="1"/>
    <col min="2565" max="2565" width="14.90625" style="35" customWidth="1"/>
    <col min="2566" max="2566" width="16.36328125" style="35" bestFit="1" customWidth="1"/>
    <col min="2567" max="2567" width="7" style="35" bestFit="1" customWidth="1"/>
    <col min="2568" max="2568" width="16.36328125" style="35" bestFit="1" customWidth="1"/>
    <col min="2569" max="2569" width="7" style="35" bestFit="1" customWidth="1"/>
    <col min="2570" max="2570" width="16.26953125" style="35" customWidth="1"/>
    <col min="2571" max="2816" width="9" style="35"/>
    <col min="2817" max="2817" width="3.26953125" style="35" customWidth="1"/>
    <col min="2818" max="2818" width="7.7265625" style="35" customWidth="1"/>
    <col min="2819" max="2819" width="10" style="35" customWidth="1"/>
    <col min="2820" max="2820" width="12.36328125" style="35" customWidth="1"/>
    <col min="2821" max="2821" width="14.90625" style="35" customWidth="1"/>
    <col min="2822" max="2822" width="16.36328125" style="35" bestFit="1" customWidth="1"/>
    <col min="2823" max="2823" width="7" style="35" bestFit="1" customWidth="1"/>
    <col min="2824" max="2824" width="16.36328125" style="35" bestFit="1" customWidth="1"/>
    <col min="2825" max="2825" width="7" style="35" bestFit="1" customWidth="1"/>
    <col min="2826" max="2826" width="16.26953125" style="35" customWidth="1"/>
    <col min="2827" max="3072" width="9" style="35"/>
    <col min="3073" max="3073" width="3.26953125" style="35" customWidth="1"/>
    <col min="3074" max="3074" width="7.7265625" style="35" customWidth="1"/>
    <col min="3075" max="3075" width="10" style="35" customWidth="1"/>
    <col min="3076" max="3076" width="12.36328125" style="35" customWidth="1"/>
    <col min="3077" max="3077" width="14.90625" style="35" customWidth="1"/>
    <col min="3078" max="3078" width="16.36328125" style="35" bestFit="1" customWidth="1"/>
    <col min="3079" max="3079" width="7" style="35" bestFit="1" customWidth="1"/>
    <col min="3080" max="3080" width="16.36328125" style="35" bestFit="1" customWidth="1"/>
    <col min="3081" max="3081" width="7" style="35" bestFit="1" customWidth="1"/>
    <col min="3082" max="3082" width="16.26953125" style="35" customWidth="1"/>
    <col min="3083" max="3328" width="9" style="35"/>
    <col min="3329" max="3329" width="3.26953125" style="35" customWidth="1"/>
    <col min="3330" max="3330" width="7.7265625" style="35" customWidth="1"/>
    <col min="3331" max="3331" width="10" style="35" customWidth="1"/>
    <col min="3332" max="3332" width="12.36328125" style="35" customWidth="1"/>
    <col min="3333" max="3333" width="14.90625" style="35" customWidth="1"/>
    <col min="3334" max="3334" width="16.36328125" style="35" bestFit="1" customWidth="1"/>
    <col min="3335" max="3335" width="7" style="35" bestFit="1" customWidth="1"/>
    <col min="3336" max="3336" width="16.36328125" style="35" bestFit="1" customWidth="1"/>
    <col min="3337" max="3337" width="7" style="35" bestFit="1" customWidth="1"/>
    <col min="3338" max="3338" width="16.26953125" style="35" customWidth="1"/>
    <col min="3339" max="3584" width="9" style="35"/>
    <col min="3585" max="3585" width="3.26953125" style="35" customWidth="1"/>
    <col min="3586" max="3586" width="7.7265625" style="35" customWidth="1"/>
    <col min="3587" max="3587" width="10" style="35" customWidth="1"/>
    <col min="3588" max="3588" width="12.36328125" style="35" customWidth="1"/>
    <col min="3589" max="3589" width="14.90625" style="35" customWidth="1"/>
    <col min="3590" max="3590" width="16.36328125" style="35" bestFit="1" customWidth="1"/>
    <col min="3591" max="3591" width="7" style="35" bestFit="1" customWidth="1"/>
    <col min="3592" max="3592" width="16.36328125" style="35" bestFit="1" customWidth="1"/>
    <col min="3593" max="3593" width="7" style="35" bestFit="1" customWidth="1"/>
    <col min="3594" max="3594" width="16.26953125" style="35" customWidth="1"/>
    <col min="3595" max="3840" width="9" style="35"/>
    <col min="3841" max="3841" width="3.26953125" style="35" customWidth="1"/>
    <col min="3842" max="3842" width="7.7265625" style="35" customWidth="1"/>
    <col min="3843" max="3843" width="10" style="35" customWidth="1"/>
    <col min="3844" max="3844" width="12.36328125" style="35" customWidth="1"/>
    <col min="3845" max="3845" width="14.90625" style="35" customWidth="1"/>
    <col min="3846" max="3846" width="16.36328125" style="35" bestFit="1" customWidth="1"/>
    <col min="3847" max="3847" width="7" style="35" bestFit="1" customWidth="1"/>
    <col min="3848" max="3848" width="16.36328125" style="35" bestFit="1" customWidth="1"/>
    <col min="3849" max="3849" width="7" style="35" bestFit="1" customWidth="1"/>
    <col min="3850" max="3850" width="16.26953125" style="35" customWidth="1"/>
    <col min="3851" max="4096" width="9" style="35"/>
    <col min="4097" max="4097" width="3.26953125" style="35" customWidth="1"/>
    <col min="4098" max="4098" width="7.7265625" style="35" customWidth="1"/>
    <col min="4099" max="4099" width="10" style="35" customWidth="1"/>
    <col min="4100" max="4100" width="12.36328125" style="35" customWidth="1"/>
    <col min="4101" max="4101" width="14.90625" style="35" customWidth="1"/>
    <col min="4102" max="4102" width="16.36328125" style="35" bestFit="1" customWidth="1"/>
    <col min="4103" max="4103" width="7" style="35" bestFit="1" customWidth="1"/>
    <col min="4104" max="4104" width="16.36328125" style="35" bestFit="1" customWidth="1"/>
    <col min="4105" max="4105" width="7" style="35" bestFit="1" customWidth="1"/>
    <col min="4106" max="4106" width="16.26953125" style="35" customWidth="1"/>
    <col min="4107" max="4352" width="9" style="35"/>
    <col min="4353" max="4353" width="3.26953125" style="35" customWidth="1"/>
    <col min="4354" max="4354" width="7.7265625" style="35" customWidth="1"/>
    <col min="4355" max="4355" width="10" style="35" customWidth="1"/>
    <col min="4356" max="4356" width="12.36328125" style="35" customWidth="1"/>
    <col min="4357" max="4357" width="14.90625" style="35" customWidth="1"/>
    <col min="4358" max="4358" width="16.36328125" style="35" bestFit="1" customWidth="1"/>
    <col min="4359" max="4359" width="7" style="35" bestFit="1" customWidth="1"/>
    <col min="4360" max="4360" width="16.36328125" style="35" bestFit="1" customWidth="1"/>
    <col min="4361" max="4361" width="7" style="35" bestFit="1" customWidth="1"/>
    <col min="4362" max="4362" width="16.26953125" style="35" customWidth="1"/>
    <col min="4363" max="4608" width="9" style="35"/>
    <col min="4609" max="4609" width="3.26953125" style="35" customWidth="1"/>
    <col min="4610" max="4610" width="7.7265625" style="35" customWidth="1"/>
    <col min="4611" max="4611" width="10" style="35" customWidth="1"/>
    <col min="4612" max="4612" width="12.36328125" style="35" customWidth="1"/>
    <col min="4613" max="4613" width="14.90625" style="35" customWidth="1"/>
    <col min="4614" max="4614" width="16.36328125" style="35" bestFit="1" customWidth="1"/>
    <col min="4615" max="4615" width="7" style="35" bestFit="1" customWidth="1"/>
    <col min="4616" max="4616" width="16.36328125" style="35" bestFit="1" customWidth="1"/>
    <col min="4617" max="4617" width="7" style="35" bestFit="1" customWidth="1"/>
    <col min="4618" max="4618" width="16.26953125" style="35" customWidth="1"/>
    <col min="4619" max="4864" width="9" style="35"/>
    <col min="4865" max="4865" width="3.26953125" style="35" customWidth="1"/>
    <col min="4866" max="4866" width="7.7265625" style="35" customWidth="1"/>
    <col min="4867" max="4867" width="10" style="35" customWidth="1"/>
    <col min="4868" max="4868" width="12.36328125" style="35" customWidth="1"/>
    <col min="4869" max="4869" width="14.90625" style="35" customWidth="1"/>
    <col min="4870" max="4870" width="16.36328125" style="35" bestFit="1" customWidth="1"/>
    <col min="4871" max="4871" width="7" style="35" bestFit="1" customWidth="1"/>
    <col min="4872" max="4872" width="16.36328125" style="35" bestFit="1" customWidth="1"/>
    <col min="4873" max="4873" width="7" style="35" bestFit="1" customWidth="1"/>
    <col min="4874" max="4874" width="16.26953125" style="35" customWidth="1"/>
    <col min="4875" max="5120" width="9" style="35"/>
    <col min="5121" max="5121" width="3.26953125" style="35" customWidth="1"/>
    <col min="5122" max="5122" width="7.7265625" style="35" customWidth="1"/>
    <col min="5123" max="5123" width="10" style="35" customWidth="1"/>
    <col min="5124" max="5124" width="12.36328125" style="35" customWidth="1"/>
    <col min="5125" max="5125" width="14.90625" style="35" customWidth="1"/>
    <col min="5126" max="5126" width="16.36328125" style="35" bestFit="1" customWidth="1"/>
    <col min="5127" max="5127" width="7" style="35" bestFit="1" customWidth="1"/>
    <col min="5128" max="5128" width="16.36328125" style="35" bestFit="1" customWidth="1"/>
    <col min="5129" max="5129" width="7" style="35" bestFit="1" customWidth="1"/>
    <col min="5130" max="5130" width="16.26953125" style="35" customWidth="1"/>
    <col min="5131" max="5376" width="9" style="35"/>
    <col min="5377" max="5377" width="3.26953125" style="35" customWidth="1"/>
    <col min="5378" max="5378" width="7.7265625" style="35" customWidth="1"/>
    <col min="5379" max="5379" width="10" style="35" customWidth="1"/>
    <col min="5380" max="5380" width="12.36328125" style="35" customWidth="1"/>
    <col min="5381" max="5381" width="14.90625" style="35" customWidth="1"/>
    <col min="5382" max="5382" width="16.36328125" style="35" bestFit="1" customWidth="1"/>
    <col min="5383" max="5383" width="7" style="35" bestFit="1" customWidth="1"/>
    <col min="5384" max="5384" width="16.36328125" style="35" bestFit="1" customWidth="1"/>
    <col min="5385" max="5385" width="7" style="35" bestFit="1" customWidth="1"/>
    <col min="5386" max="5386" width="16.26953125" style="35" customWidth="1"/>
    <col min="5387" max="5632" width="9" style="35"/>
    <col min="5633" max="5633" width="3.26953125" style="35" customWidth="1"/>
    <col min="5634" max="5634" width="7.7265625" style="35" customWidth="1"/>
    <col min="5635" max="5635" width="10" style="35" customWidth="1"/>
    <col min="5636" max="5636" width="12.36328125" style="35" customWidth="1"/>
    <col min="5637" max="5637" width="14.90625" style="35" customWidth="1"/>
    <col min="5638" max="5638" width="16.36328125" style="35" bestFit="1" customWidth="1"/>
    <col min="5639" max="5639" width="7" style="35" bestFit="1" customWidth="1"/>
    <col min="5640" max="5640" width="16.36328125" style="35" bestFit="1" customWidth="1"/>
    <col min="5641" max="5641" width="7" style="35" bestFit="1" customWidth="1"/>
    <col min="5642" max="5642" width="16.26953125" style="35" customWidth="1"/>
    <col min="5643" max="5888" width="9" style="35"/>
    <col min="5889" max="5889" width="3.26953125" style="35" customWidth="1"/>
    <col min="5890" max="5890" width="7.7265625" style="35" customWidth="1"/>
    <col min="5891" max="5891" width="10" style="35" customWidth="1"/>
    <col min="5892" max="5892" width="12.36328125" style="35" customWidth="1"/>
    <col min="5893" max="5893" width="14.90625" style="35" customWidth="1"/>
    <col min="5894" max="5894" width="16.36328125" style="35" bestFit="1" customWidth="1"/>
    <col min="5895" max="5895" width="7" style="35" bestFit="1" customWidth="1"/>
    <col min="5896" max="5896" width="16.36328125" style="35" bestFit="1" customWidth="1"/>
    <col min="5897" max="5897" width="7" style="35" bestFit="1" customWidth="1"/>
    <col min="5898" max="5898" width="16.26953125" style="35" customWidth="1"/>
    <col min="5899" max="6144" width="9" style="35"/>
    <col min="6145" max="6145" width="3.26953125" style="35" customWidth="1"/>
    <col min="6146" max="6146" width="7.7265625" style="35" customWidth="1"/>
    <col min="6147" max="6147" width="10" style="35" customWidth="1"/>
    <col min="6148" max="6148" width="12.36328125" style="35" customWidth="1"/>
    <col min="6149" max="6149" width="14.90625" style="35" customWidth="1"/>
    <col min="6150" max="6150" width="16.36328125" style="35" bestFit="1" customWidth="1"/>
    <col min="6151" max="6151" width="7" style="35" bestFit="1" customWidth="1"/>
    <col min="6152" max="6152" width="16.36328125" style="35" bestFit="1" customWidth="1"/>
    <col min="6153" max="6153" width="7" style="35" bestFit="1" customWidth="1"/>
    <col min="6154" max="6154" width="16.26953125" style="35" customWidth="1"/>
    <col min="6155" max="6400" width="9" style="35"/>
    <col min="6401" max="6401" width="3.26953125" style="35" customWidth="1"/>
    <col min="6402" max="6402" width="7.7265625" style="35" customWidth="1"/>
    <col min="6403" max="6403" width="10" style="35" customWidth="1"/>
    <col min="6404" max="6404" width="12.36328125" style="35" customWidth="1"/>
    <col min="6405" max="6405" width="14.90625" style="35" customWidth="1"/>
    <col min="6406" max="6406" width="16.36328125" style="35" bestFit="1" customWidth="1"/>
    <col min="6407" max="6407" width="7" style="35" bestFit="1" customWidth="1"/>
    <col min="6408" max="6408" width="16.36328125" style="35" bestFit="1" customWidth="1"/>
    <col min="6409" max="6409" width="7" style="35" bestFit="1" customWidth="1"/>
    <col min="6410" max="6410" width="16.26953125" style="35" customWidth="1"/>
    <col min="6411" max="6656" width="9" style="35"/>
    <col min="6657" max="6657" width="3.26953125" style="35" customWidth="1"/>
    <col min="6658" max="6658" width="7.7265625" style="35" customWidth="1"/>
    <col min="6659" max="6659" width="10" style="35" customWidth="1"/>
    <col min="6660" max="6660" width="12.36328125" style="35" customWidth="1"/>
    <col min="6661" max="6661" width="14.90625" style="35" customWidth="1"/>
    <col min="6662" max="6662" width="16.36328125" style="35" bestFit="1" customWidth="1"/>
    <col min="6663" max="6663" width="7" style="35" bestFit="1" customWidth="1"/>
    <col min="6664" max="6664" width="16.36328125" style="35" bestFit="1" customWidth="1"/>
    <col min="6665" max="6665" width="7" style="35" bestFit="1" customWidth="1"/>
    <col min="6666" max="6666" width="16.26953125" style="35" customWidth="1"/>
    <col min="6667" max="6912" width="9" style="35"/>
    <col min="6913" max="6913" width="3.26953125" style="35" customWidth="1"/>
    <col min="6914" max="6914" width="7.7265625" style="35" customWidth="1"/>
    <col min="6915" max="6915" width="10" style="35" customWidth="1"/>
    <col min="6916" max="6916" width="12.36328125" style="35" customWidth="1"/>
    <col min="6917" max="6917" width="14.90625" style="35" customWidth="1"/>
    <col min="6918" max="6918" width="16.36328125" style="35" bestFit="1" customWidth="1"/>
    <col min="6919" max="6919" width="7" style="35" bestFit="1" customWidth="1"/>
    <col min="6920" max="6920" width="16.36328125" style="35" bestFit="1" customWidth="1"/>
    <col min="6921" max="6921" width="7" style="35" bestFit="1" customWidth="1"/>
    <col min="6922" max="6922" width="16.26953125" style="35" customWidth="1"/>
    <col min="6923" max="7168" width="9" style="35"/>
    <col min="7169" max="7169" width="3.26953125" style="35" customWidth="1"/>
    <col min="7170" max="7170" width="7.7265625" style="35" customWidth="1"/>
    <col min="7171" max="7171" width="10" style="35" customWidth="1"/>
    <col min="7172" max="7172" width="12.36328125" style="35" customWidth="1"/>
    <col min="7173" max="7173" width="14.90625" style="35" customWidth="1"/>
    <col min="7174" max="7174" width="16.36328125" style="35" bestFit="1" customWidth="1"/>
    <col min="7175" max="7175" width="7" style="35" bestFit="1" customWidth="1"/>
    <col min="7176" max="7176" width="16.36328125" style="35" bestFit="1" customWidth="1"/>
    <col min="7177" max="7177" width="7" style="35" bestFit="1" customWidth="1"/>
    <col min="7178" max="7178" width="16.26953125" style="35" customWidth="1"/>
    <col min="7179" max="7424" width="9" style="35"/>
    <col min="7425" max="7425" width="3.26953125" style="35" customWidth="1"/>
    <col min="7426" max="7426" width="7.7265625" style="35" customWidth="1"/>
    <col min="7427" max="7427" width="10" style="35" customWidth="1"/>
    <col min="7428" max="7428" width="12.36328125" style="35" customWidth="1"/>
    <col min="7429" max="7429" width="14.90625" style="35" customWidth="1"/>
    <col min="7430" max="7430" width="16.36328125" style="35" bestFit="1" customWidth="1"/>
    <col min="7431" max="7431" width="7" style="35" bestFit="1" customWidth="1"/>
    <col min="7432" max="7432" width="16.36328125" style="35" bestFit="1" customWidth="1"/>
    <col min="7433" max="7433" width="7" style="35" bestFit="1" customWidth="1"/>
    <col min="7434" max="7434" width="16.26953125" style="35" customWidth="1"/>
    <col min="7435" max="7680" width="9" style="35"/>
    <col min="7681" max="7681" width="3.26953125" style="35" customWidth="1"/>
    <col min="7682" max="7682" width="7.7265625" style="35" customWidth="1"/>
    <col min="7683" max="7683" width="10" style="35" customWidth="1"/>
    <col min="7684" max="7684" width="12.36328125" style="35" customWidth="1"/>
    <col min="7685" max="7685" width="14.90625" style="35" customWidth="1"/>
    <col min="7686" max="7686" width="16.36328125" style="35" bestFit="1" customWidth="1"/>
    <col min="7687" max="7687" width="7" style="35" bestFit="1" customWidth="1"/>
    <col min="7688" max="7688" width="16.36328125" style="35" bestFit="1" customWidth="1"/>
    <col min="7689" max="7689" width="7" style="35" bestFit="1" customWidth="1"/>
    <col min="7690" max="7690" width="16.26953125" style="35" customWidth="1"/>
    <col min="7691" max="7936" width="9" style="35"/>
    <col min="7937" max="7937" width="3.26953125" style="35" customWidth="1"/>
    <col min="7938" max="7938" width="7.7265625" style="35" customWidth="1"/>
    <col min="7939" max="7939" width="10" style="35" customWidth="1"/>
    <col min="7940" max="7940" width="12.36328125" style="35" customWidth="1"/>
    <col min="7941" max="7941" width="14.90625" style="35" customWidth="1"/>
    <col min="7942" max="7942" width="16.36328125" style="35" bestFit="1" customWidth="1"/>
    <col min="7943" max="7943" width="7" style="35" bestFit="1" customWidth="1"/>
    <col min="7944" max="7944" width="16.36328125" style="35" bestFit="1" customWidth="1"/>
    <col min="7945" max="7945" width="7" style="35" bestFit="1" customWidth="1"/>
    <col min="7946" max="7946" width="16.26953125" style="35" customWidth="1"/>
    <col min="7947" max="8192" width="9" style="35"/>
    <col min="8193" max="8193" width="3.26953125" style="35" customWidth="1"/>
    <col min="8194" max="8194" width="7.7265625" style="35" customWidth="1"/>
    <col min="8195" max="8195" width="10" style="35" customWidth="1"/>
    <col min="8196" max="8196" width="12.36328125" style="35" customWidth="1"/>
    <col min="8197" max="8197" width="14.90625" style="35" customWidth="1"/>
    <col min="8198" max="8198" width="16.36328125" style="35" bestFit="1" customWidth="1"/>
    <col min="8199" max="8199" width="7" style="35" bestFit="1" customWidth="1"/>
    <col min="8200" max="8200" width="16.36328125" style="35" bestFit="1" customWidth="1"/>
    <col min="8201" max="8201" width="7" style="35" bestFit="1" customWidth="1"/>
    <col min="8202" max="8202" width="16.26953125" style="35" customWidth="1"/>
    <col min="8203" max="8448" width="9" style="35"/>
    <col min="8449" max="8449" width="3.26953125" style="35" customWidth="1"/>
    <col min="8450" max="8450" width="7.7265625" style="35" customWidth="1"/>
    <col min="8451" max="8451" width="10" style="35" customWidth="1"/>
    <col min="8452" max="8452" width="12.36328125" style="35" customWidth="1"/>
    <col min="8453" max="8453" width="14.90625" style="35" customWidth="1"/>
    <col min="8454" max="8454" width="16.36328125" style="35" bestFit="1" customWidth="1"/>
    <col min="8455" max="8455" width="7" style="35" bestFit="1" customWidth="1"/>
    <col min="8456" max="8456" width="16.36328125" style="35" bestFit="1" customWidth="1"/>
    <col min="8457" max="8457" width="7" style="35" bestFit="1" customWidth="1"/>
    <col min="8458" max="8458" width="16.26953125" style="35" customWidth="1"/>
    <col min="8459" max="8704" width="9" style="35"/>
    <col min="8705" max="8705" width="3.26953125" style="35" customWidth="1"/>
    <col min="8706" max="8706" width="7.7265625" style="35" customWidth="1"/>
    <col min="8707" max="8707" width="10" style="35" customWidth="1"/>
    <col min="8708" max="8708" width="12.36328125" style="35" customWidth="1"/>
    <col min="8709" max="8709" width="14.90625" style="35" customWidth="1"/>
    <col min="8710" max="8710" width="16.36328125" style="35" bestFit="1" customWidth="1"/>
    <col min="8711" max="8711" width="7" style="35" bestFit="1" customWidth="1"/>
    <col min="8712" max="8712" width="16.36328125" style="35" bestFit="1" customWidth="1"/>
    <col min="8713" max="8713" width="7" style="35" bestFit="1" customWidth="1"/>
    <col min="8714" max="8714" width="16.26953125" style="35" customWidth="1"/>
    <col min="8715" max="8960" width="9" style="35"/>
    <col min="8961" max="8961" width="3.26953125" style="35" customWidth="1"/>
    <col min="8962" max="8962" width="7.7265625" style="35" customWidth="1"/>
    <col min="8963" max="8963" width="10" style="35" customWidth="1"/>
    <col min="8964" max="8964" width="12.36328125" style="35" customWidth="1"/>
    <col min="8965" max="8965" width="14.90625" style="35" customWidth="1"/>
    <col min="8966" max="8966" width="16.36328125" style="35" bestFit="1" customWidth="1"/>
    <col min="8967" max="8967" width="7" style="35" bestFit="1" customWidth="1"/>
    <col min="8968" max="8968" width="16.36328125" style="35" bestFit="1" customWidth="1"/>
    <col min="8969" max="8969" width="7" style="35" bestFit="1" customWidth="1"/>
    <col min="8970" max="8970" width="16.26953125" style="35" customWidth="1"/>
    <col min="8971" max="9216" width="9" style="35"/>
    <col min="9217" max="9217" width="3.26953125" style="35" customWidth="1"/>
    <col min="9218" max="9218" width="7.7265625" style="35" customWidth="1"/>
    <col min="9219" max="9219" width="10" style="35" customWidth="1"/>
    <col min="9220" max="9220" width="12.36328125" style="35" customWidth="1"/>
    <col min="9221" max="9221" width="14.90625" style="35" customWidth="1"/>
    <col min="9222" max="9222" width="16.36328125" style="35" bestFit="1" customWidth="1"/>
    <col min="9223" max="9223" width="7" style="35" bestFit="1" customWidth="1"/>
    <col min="9224" max="9224" width="16.36328125" style="35" bestFit="1" customWidth="1"/>
    <col min="9225" max="9225" width="7" style="35" bestFit="1" customWidth="1"/>
    <col min="9226" max="9226" width="16.26953125" style="35" customWidth="1"/>
    <col min="9227" max="9472" width="9" style="35"/>
    <col min="9473" max="9473" width="3.26953125" style="35" customWidth="1"/>
    <col min="9474" max="9474" width="7.7265625" style="35" customWidth="1"/>
    <col min="9475" max="9475" width="10" style="35" customWidth="1"/>
    <col min="9476" max="9476" width="12.36328125" style="35" customWidth="1"/>
    <col min="9477" max="9477" width="14.90625" style="35" customWidth="1"/>
    <col min="9478" max="9478" width="16.36328125" style="35" bestFit="1" customWidth="1"/>
    <col min="9479" max="9479" width="7" style="35" bestFit="1" customWidth="1"/>
    <col min="9480" max="9480" width="16.36328125" style="35" bestFit="1" customWidth="1"/>
    <col min="9481" max="9481" width="7" style="35" bestFit="1" customWidth="1"/>
    <col min="9482" max="9482" width="16.26953125" style="35" customWidth="1"/>
    <col min="9483" max="9728" width="9" style="35"/>
    <col min="9729" max="9729" width="3.26953125" style="35" customWidth="1"/>
    <col min="9730" max="9730" width="7.7265625" style="35" customWidth="1"/>
    <col min="9731" max="9731" width="10" style="35" customWidth="1"/>
    <col min="9732" max="9732" width="12.36328125" style="35" customWidth="1"/>
    <col min="9733" max="9733" width="14.90625" style="35" customWidth="1"/>
    <col min="9734" max="9734" width="16.36328125" style="35" bestFit="1" customWidth="1"/>
    <col min="9735" max="9735" width="7" style="35" bestFit="1" customWidth="1"/>
    <col min="9736" max="9736" width="16.36328125" style="35" bestFit="1" customWidth="1"/>
    <col min="9737" max="9737" width="7" style="35" bestFit="1" customWidth="1"/>
    <col min="9738" max="9738" width="16.26953125" style="35" customWidth="1"/>
    <col min="9739" max="9984" width="9" style="35"/>
    <col min="9985" max="9985" width="3.26953125" style="35" customWidth="1"/>
    <col min="9986" max="9986" width="7.7265625" style="35" customWidth="1"/>
    <col min="9987" max="9987" width="10" style="35" customWidth="1"/>
    <col min="9988" max="9988" width="12.36328125" style="35" customWidth="1"/>
    <col min="9989" max="9989" width="14.90625" style="35" customWidth="1"/>
    <col min="9990" max="9990" width="16.36328125" style="35" bestFit="1" customWidth="1"/>
    <col min="9991" max="9991" width="7" style="35" bestFit="1" customWidth="1"/>
    <col min="9992" max="9992" width="16.36328125" style="35" bestFit="1" customWidth="1"/>
    <col min="9993" max="9993" width="7" style="35" bestFit="1" customWidth="1"/>
    <col min="9994" max="9994" width="16.26953125" style="35" customWidth="1"/>
    <col min="9995" max="10240" width="9" style="35"/>
    <col min="10241" max="10241" width="3.26953125" style="35" customWidth="1"/>
    <col min="10242" max="10242" width="7.7265625" style="35" customWidth="1"/>
    <col min="10243" max="10243" width="10" style="35" customWidth="1"/>
    <col min="10244" max="10244" width="12.36328125" style="35" customWidth="1"/>
    <col min="10245" max="10245" width="14.90625" style="35" customWidth="1"/>
    <col min="10246" max="10246" width="16.36328125" style="35" bestFit="1" customWidth="1"/>
    <col min="10247" max="10247" width="7" style="35" bestFit="1" customWidth="1"/>
    <col min="10248" max="10248" width="16.36328125" style="35" bestFit="1" customWidth="1"/>
    <col min="10249" max="10249" width="7" style="35" bestFit="1" customWidth="1"/>
    <col min="10250" max="10250" width="16.26953125" style="35" customWidth="1"/>
    <col min="10251" max="10496" width="9" style="35"/>
    <col min="10497" max="10497" width="3.26953125" style="35" customWidth="1"/>
    <col min="10498" max="10498" width="7.7265625" style="35" customWidth="1"/>
    <col min="10499" max="10499" width="10" style="35" customWidth="1"/>
    <col min="10500" max="10500" width="12.36328125" style="35" customWidth="1"/>
    <col min="10501" max="10501" width="14.90625" style="35" customWidth="1"/>
    <col min="10502" max="10502" width="16.36328125" style="35" bestFit="1" customWidth="1"/>
    <col min="10503" max="10503" width="7" style="35" bestFit="1" customWidth="1"/>
    <col min="10504" max="10504" width="16.36328125" style="35" bestFit="1" customWidth="1"/>
    <col min="10505" max="10505" width="7" style="35" bestFit="1" customWidth="1"/>
    <col min="10506" max="10506" width="16.26953125" style="35" customWidth="1"/>
    <col min="10507" max="10752" width="9" style="35"/>
    <col min="10753" max="10753" width="3.26953125" style="35" customWidth="1"/>
    <col min="10754" max="10754" width="7.7265625" style="35" customWidth="1"/>
    <col min="10755" max="10755" width="10" style="35" customWidth="1"/>
    <col min="10756" max="10756" width="12.36328125" style="35" customWidth="1"/>
    <col min="10757" max="10757" width="14.90625" style="35" customWidth="1"/>
    <col min="10758" max="10758" width="16.36328125" style="35" bestFit="1" customWidth="1"/>
    <col min="10759" max="10759" width="7" style="35" bestFit="1" customWidth="1"/>
    <col min="10760" max="10760" width="16.36328125" style="35" bestFit="1" customWidth="1"/>
    <col min="10761" max="10761" width="7" style="35" bestFit="1" customWidth="1"/>
    <col min="10762" max="10762" width="16.26953125" style="35" customWidth="1"/>
    <col min="10763" max="11008" width="9" style="35"/>
    <col min="11009" max="11009" width="3.26953125" style="35" customWidth="1"/>
    <col min="11010" max="11010" width="7.7265625" style="35" customWidth="1"/>
    <col min="11011" max="11011" width="10" style="35" customWidth="1"/>
    <col min="11012" max="11012" width="12.36328125" style="35" customWidth="1"/>
    <col min="11013" max="11013" width="14.90625" style="35" customWidth="1"/>
    <col min="11014" max="11014" width="16.36328125" style="35" bestFit="1" customWidth="1"/>
    <col min="11015" max="11015" width="7" style="35" bestFit="1" customWidth="1"/>
    <col min="11016" max="11016" width="16.36328125" style="35" bestFit="1" customWidth="1"/>
    <col min="11017" max="11017" width="7" style="35" bestFit="1" customWidth="1"/>
    <col min="11018" max="11018" width="16.26953125" style="35" customWidth="1"/>
    <col min="11019" max="11264" width="9" style="35"/>
    <col min="11265" max="11265" width="3.26953125" style="35" customWidth="1"/>
    <col min="11266" max="11266" width="7.7265625" style="35" customWidth="1"/>
    <col min="11267" max="11267" width="10" style="35" customWidth="1"/>
    <col min="11268" max="11268" width="12.36328125" style="35" customWidth="1"/>
    <col min="11269" max="11269" width="14.90625" style="35" customWidth="1"/>
    <col min="11270" max="11270" width="16.36328125" style="35" bestFit="1" customWidth="1"/>
    <col min="11271" max="11271" width="7" style="35" bestFit="1" customWidth="1"/>
    <col min="11272" max="11272" width="16.36328125" style="35" bestFit="1" customWidth="1"/>
    <col min="11273" max="11273" width="7" style="35" bestFit="1" customWidth="1"/>
    <col min="11274" max="11274" width="16.26953125" style="35" customWidth="1"/>
    <col min="11275" max="11520" width="9" style="35"/>
    <col min="11521" max="11521" width="3.26953125" style="35" customWidth="1"/>
    <col min="11522" max="11522" width="7.7265625" style="35" customWidth="1"/>
    <col min="11523" max="11523" width="10" style="35" customWidth="1"/>
    <col min="11524" max="11524" width="12.36328125" style="35" customWidth="1"/>
    <col min="11525" max="11525" width="14.90625" style="35" customWidth="1"/>
    <col min="11526" max="11526" width="16.36328125" style="35" bestFit="1" customWidth="1"/>
    <col min="11527" max="11527" width="7" style="35" bestFit="1" customWidth="1"/>
    <col min="11528" max="11528" width="16.36328125" style="35" bestFit="1" customWidth="1"/>
    <col min="11529" max="11529" width="7" style="35" bestFit="1" customWidth="1"/>
    <col min="11530" max="11530" width="16.26953125" style="35" customWidth="1"/>
    <col min="11531" max="11776" width="9" style="35"/>
    <col min="11777" max="11777" width="3.26953125" style="35" customWidth="1"/>
    <col min="11778" max="11778" width="7.7265625" style="35" customWidth="1"/>
    <col min="11779" max="11779" width="10" style="35" customWidth="1"/>
    <col min="11780" max="11780" width="12.36328125" style="35" customWidth="1"/>
    <col min="11781" max="11781" width="14.90625" style="35" customWidth="1"/>
    <col min="11782" max="11782" width="16.36328125" style="35" bestFit="1" customWidth="1"/>
    <col min="11783" max="11783" width="7" style="35" bestFit="1" customWidth="1"/>
    <col min="11784" max="11784" width="16.36328125" style="35" bestFit="1" customWidth="1"/>
    <col min="11785" max="11785" width="7" style="35" bestFit="1" customWidth="1"/>
    <col min="11786" max="11786" width="16.26953125" style="35" customWidth="1"/>
    <col min="11787" max="12032" width="9" style="35"/>
    <col min="12033" max="12033" width="3.26953125" style="35" customWidth="1"/>
    <col min="12034" max="12034" width="7.7265625" style="35" customWidth="1"/>
    <col min="12035" max="12035" width="10" style="35" customWidth="1"/>
    <col min="12036" max="12036" width="12.36328125" style="35" customWidth="1"/>
    <col min="12037" max="12037" width="14.90625" style="35" customWidth="1"/>
    <col min="12038" max="12038" width="16.36328125" style="35" bestFit="1" customWidth="1"/>
    <col min="12039" max="12039" width="7" style="35" bestFit="1" customWidth="1"/>
    <col min="12040" max="12040" width="16.36328125" style="35" bestFit="1" customWidth="1"/>
    <col min="12041" max="12041" width="7" style="35" bestFit="1" customWidth="1"/>
    <col min="12042" max="12042" width="16.26953125" style="35" customWidth="1"/>
    <col min="12043" max="12288" width="9" style="35"/>
    <col min="12289" max="12289" width="3.26953125" style="35" customWidth="1"/>
    <col min="12290" max="12290" width="7.7265625" style="35" customWidth="1"/>
    <col min="12291" max="12291" width="10" style="35" customWidth="1"/>
    <col min="12292" max="12292" width="12.36328125" style="35" customWidth="1"/>
    <col min="12293" max="12293" width="14.90625" style="35" customWidth="1"/>
    <col min="12294" max="12294" width="16.36328125" style="35" bestFit="1" customWidth="1"/>
    <col min="12295" max="12295" width="7" style="35" bestFit="1" customWidth="1"/>
    <col min="12296" max="12296" width="16.36328125" style="35" bestFit="1" customWidth="1"/>
    <col min="12297" max="12297" width="7" style="35" bestFit="1" customWidth="1"/>
    <col min="12298" max="12298" width="16.26953125" style="35" customWidth="1"/>
    <col min="12299" max="12544" width="9" style="35"/>
    <col min="12545" max="12545" width="3.26953125" style="35" customWidth="1"/>
    <col min="12546" max="12546" width="7.7265625" style="35" customWidth="1"/>
    <col min="12547" max="12547" width="10" style="35" customWidth="1"/>
    <col min="12548" max="12548" width="12.36328125" style="35" customWidth="1"/>
    <col min="12549" max="12549" width="14.90625" style="35" customWidth="1"/>
    <col min="12550" max="12550" width="16.36328125" style="35" bestFit="1" customWidth="1"/>
    <col min="12551" max="12551" width="7" style="35" bestFit="1" customWidth="1"/>
    <col min="12552" max="12552" width="16.36328125" style="35" bestFit="1" customWidth="1"/>
    <col min="12553" max="12553" width="7" style="35" bestFit="1" customWidth="1"/>
    <col min="12554" max="12554" width="16.26953125" style="35" customWidth="1"/>
    <col min="12555" max="12800" width="9" style="35"/>
    <col min="12801" max="12801" width="3.26953125" style="35" customWidth="1"/>
    <col min="12802" max="12802" width="7.7265625" style="35" customWidth="1"/>
    <col min="12803" max="12803" width="10" style="35" customWidth="1"/>
    <col min="12804" max="12804" width="12.36328125" style="35" customWidth="1"/>
    <col min="12805" max="12805" width="14.90625" style="35" customWidth="1"/>
    <col min="12806" max="12806" width="16.36328125" style="35" bestFit="1" customWidth="1"/>
    <col min="12807" max="12807" width="7" style="35" bestFit="1" customWidth="1"/>
    <col min="12808" max="12808" width="16.36328125" style="35" bestFit="1" customWidth="1"/>
    <col min="12809" max="12809" width="7" style="35" bestFit="1" customWidth="1"/>
    <col min="12810" max="12810" width="16.26953125" style="35" customWidth="1"/>
    <col min="12811" max="13056" width="9" style="35"/>
    <col min="13057" max="13057" width="3.26953125" style="35" customWidth="1"/>
    <col min="13058" max="13058" width="7.7265625" style="35" customWidth="1"/>
    <col min="13059" max="13059" width="10" style="35" customWidth="1"/>
    <col min="13060" max="13060" width="12.36328125" style="35" customWidth="1"/>
    <col min="13061" max="13061" width="14.90625" style="35" customWidth="1"/>
    <col min="13062" max="13062" width="16.36328125" style="35" bestFit="1" customWidth="1"/>
    <col min="13063" max="13063" width="7" style="35" bestFit="1" customWidth="1"/>
    <col min="13064" max="13064" width="16.36328125" style="35" bestFit="1" customWidth="1"/>
    <col min="13065" max="13065" width="7" style="35" bestFit="1" customWidth="1"/>
    <col min="13066" max="13066" width="16.26953125" style="35" customWidth="1"/>
    <col min="13067" max="13312" width="9" style="35"/>
    <col min="13313" max="13313" width="3.26953125" style="35" customWidth="1"/>
    <col min="13314" max="13314" width="7.7265625" style="35" customWidth="1"/>
    <col min="13315" max="13315" width="10" style="35" customWidth="1"/>
    <col min="13316" max="13316" width="12.36328125" style="35" customWidth="1"/>
    <col min="13317" max="13317" width="14.90625" style="35" customWidth="1"/>
    <col min="13318" max="13318" width="16.36328125" style="35" bestFit="1" customWidth="1"/>
    <col min="13319" max="13319" width="7" style="35" bestFit="1" customWidth="1"/>
    <col min="13320" max="13320" width="16.36328125" style="35" bestFit="1" customWidth="1"/>
    <col min="13321" max="13321" width="7" style="35" bestFit="1" customWidth="1"/>
    <col min="13322" max="13322" width="16.26953125" style="35" customWidth="1"/>
    <col min="13323" max="13568" width="9" style="35"/>
    <col min="13569" max="13569" width="3.26953125" style="35" customWidth="1"/>
    <col min="13570" max="13570" width="7.7265625" style="35" customWidth="1"/>
    <col min="13571" max="13571" width="10" style="35" customWidth="1"/>
    <col min="13572" max="13572" width="12.36328125" style="35" customWidth="1"/>
    <col min="13573" max="13573" width="14.90625" style="35" customWidth="1"/>
    <col min="13574" max="13574" width="16.36328125" style="35" bestFit="1" customWidth="1"/>
    <col min="13575" max="13575" width="7" style="35" bestFit="1" customWidth="1"/>
    <col min="13576" max="13576" width="16.36328125" style="35" bestFit="1" customWidth="1"/>
    <col min="13577" max="13577" width="7" style="35" bestFit="1" customWidth="1"/>
    <col min="13578" max="13578" width="16.26953125" style="35" customWidth="1"/>
    <col min="13579" max="13824" width="9" style="35"/>
    <col min="13825" max="13825" width="3.26953125" style="35" customWidth="1"/>
    <col min="13826" max="13826" width="7.7265625" style="35" customWidth="1"/>
    <col min="13827" max="13827" width="10" style="35" customWidth="1"/>
    <col min="13828" max="13828" width="12.36328125" style="35" customWidth="1"/>
    <col min="13829" max="13829" width="14.90625" style="35" customWidth="1"/>
    <col min="13830" max="13830" width="16.36328125" style="35" bestFit="1" customWidth="1"/>
    <col min="13831" max="13831" width="7" style="35" bestFit="1" customWidth="1"/>
    <col min="13832" max="13832" width="16.36328125" style="35" bestFit="1" customWidth="1"/>
    <col min="13833" max="13833" width="7" style="35" bestFit="1" customWidth="1"/>
    <col min="13834" max="13834" width="16.26953125" style="35" customWidth="1"/>
    <col min="13835" max="14080" width="9" style="35"/>
    <col min="14081" max="14081" width="3.26953125" style="35" customWidth="1"/>
    <col min="14082" max="14082" width="7.7265625" style="35" customWidth="1"/>
    <col min="14083" max="14083" width="10" style="35" customWidth="1"/>
    <col min="14084" max="14084" width="12.36328125" style="35" customWidth="1"/>
    <col min="14085" max="14085" width="14.90625" style="35" customWidth="1"/>
    <col min="14086" max="14086" width="16.36328125" style="35" bestFit="1" customWidth="1"/>
    <col min="14087" max="14087" width="7" style="35" bestFit="1" customWidth="1"/>
    <col min="14088" max="14088" width="16.36328125" style="35" bestFit="1" customWidth="1"/>
    <col min="14089" max="14089" width="7" style="35" bestFit="1" customWidth="1"/>
    <col min="14090" max="14090" width="16.26953125" style="35" customWidth="1"/>
    <col min="14091" max="14336" width="9" style="35"/>
    <col min="14337" max="14337" width="3.26953125" style="35" customWidth="1"/>
    <col min="14338" max="14338" width="7.7265625" style="35" customWidth="1"/>
    <col min="14339" max="14339" width="10" style="35" customWidth="1"/>
    <col min="14340" max="14340" width="12.36328125" style="35" customWidth="1"/>
    <col min="14341" max="14341" width="14.90625" style="35" customWidth="1"/>
    <col min="14342" max="14342" width="16.36328125" style="35" bestFit="1" customWidth="1"/>
    <col min="14343" max="14343" width="7" style="35" bestFit="1" customWidth="1"/>
    <col min="14344" max="14344" width="16.36328125" style="35" bestFit="1" customWidth="1"/>
    <col min="14345" max="14345" width="7" style="35" bestFit="1" customWidth="1"/>
    <col min="14346" max="14346" width="16.26953125" style="35" customWidth="1"/>
    <col min="14347" max="14592" width="9" style="35"/>
    <col min="14593" max="14593" width="3.26953125" style="35" customWidth="1"/>
    <col min="14594" max="14594" width="7.7265625" style="35" customWidth="1"/>
    <col min="14595" max="14595" width="10" style="35" customWidth="1"/>
    <col min="14596" max="14596" width="12.36328125" style="35" customWidth="1"/>
    <col min="14597" max="14597" width="14.90625" style="35" customWidth="1"/>
    <col min="14598" max="14598" width="16.36328125" style="35" bestFit="1" customWidth="1"/>
    <col min="14599" max="14599" width="7" style="35" bestFit="1" customWidth="1"/>
    <col min="14600" max="14600" width="16.36328125" style="35" bestFit="1" customWidth="1"/>
    <col min="14601" max="14601" width="7" style="35" bestFit="1" customWidth="1"/>
    <col min="14602" max="14602" width="16.26953125" style="35" customWidth="1"/>
    <col min="14603" max="14848" width="9" style="35"/>
    <col min="14849" max="14849" width="3.26953125" style="35" customWidth="1"/>
    <col min="14850" max="14850" width="7.7265625" style="35" customWidth="1"/>
    <col min="14851" max="14851" width="10" style="35" customWidth="1"/>
    <col min="14852" max="14852" width="12.36328125" style="35" customWidth="1"/>
    <col min="14853" max="14853" width="14.90625" style="35" customWidth="1"/>
    <col min="14854" max="14854" width="16.36328125" style="35" bestFit="1" customWidth="1"/>
    <col min="14855" max="14855" width="7" style="35" bestFit="1" customWidth="1"/>
    <col min="14856" max="14856" width="16.36328125" style="35" bestFit="1" customWidth="1"/>
    <col min="14857" max="14857" width="7" style="35" bestFit="1" customWidth="1"/>
    <col min="14858" max="14858" width="16.26953125" style="35" customWidth="1"/>
    <col min="14859" max="15104" width="9" style="35"/>
    <col min="15105" max="15105" width="3.26953125" style="35" customWidth="1"/>
    <col min="15106" max="15106" width="7.7265625" style="35" customWidth="1"/>
    <col min="15107" max="15107" width="10" style="35" customWidth="1"/>
    <col min="15108" max="15108" width="12.36328125" style="35" customWidth="1"/>
    <col min="15109" max="15109" width="14.90625" style="35" customWidth="1"/>
    <col min="15110" max="15110" width="16.36328125" style="35" bestFit="1" customWidth="1"/>
    <col min="15111" max="15111" width="7" style="35" bestFit="1" customWidth="1"/>
    <col min="15112" max="15112" width="16.36328125" style="35" bestFit="1" customWidth="1"/>
    <col min="15113" max="15113" width="7" style="35" bestFit="1" customWidth="1"/>
    <col min="15114" max="15114" width="16.26953125" style="35" customWidth="1"/>
    <col min="15115" max="15360" width="9" style="35"/>
    <col min="15361" max="15361" width="3.26953125" style="35" customWidth="1"/>
    <col min="15362" max="15362" width="7.7265625" style="35" customWidth="1"/>
    <col min="15363" max="15363" width="10" style="35" customWidth="1"/>
    <col min="15364" max="15364" width="12.36328125" style="35" customWidth="1"/>
    <col min="15365" max="15365" width="14.90625" style="35" customWidth="1"/>
    <col min="15366" max="15366" width="16.36328125" style="35" bestFit="1" customWidth="1"/>
    <col min="15367" max="15367" width="7" style="35" bestFit="1" customWidth="1"/>
    <col min="15368" max="15368" width="16.36328125" style="35" bestFit="1" customWidth="1"/>
    <col min="15369" max="15369" width="7" style="35" bestFit="1" customWidth="1"/>
    <col min="15370" max="15370" width="16.26953125" style="35" customWidth="1"/>
    <col min="15371" max="15616" width="9" style="35"/>
    <col min="15617" max="15617" width="3.26953125" style="35" customWidth="1"/>
    <col min="15618" max="15618" width="7.7265625" style="35" customWidth="1"/>
    <col min="15619" max="15619" width="10" style="35" customWidth="1"/>
    <col min="15620" max="15620" width="12.36328125" style="35" customWidth="1"/>
    <col min="15621" max="15621" width="14.90625" style="35" customWidth="1"/>
    <col min="15622" max="15622" width="16.36328125" style="35" bestFit="1" customWidth="1"/>
    <col min="15623" max="15623" width="7" style="35" bestFit="1" customWidth="1"/>
    <col min="15624" max="15624" width="16.36328125" style="35" bestFit="1" customWidth="1"/>
    <col min="15625" max="15625" width="7" style="35" bestFit="1" customWidth="1"/>
    <col min="15626" max="15626" width="16.26953125" style="35" customWidth="1"/>
    <col min="15627" max="15872" width="9" style="35"/>
    <col min="15873" max="15873" width="3.26953125" style="35" customWidth="1"/>
    <col min="15874" max="15874" width="7.7265625" style="35" customWidth="1"/>
    <col min="15875" max="15875" width="10" style="35" customWidth="1"/>
    <col min="15876" max="15876" width="12.36328125" style="35" customWidth="1"/>
    <col min="15877" max="15877" width="14.90625" style="35" customWidth="1"/>
    <col min="15878" max="15878" width="16.36328125" style="35" bestFit="1" customWidth="1"/>
    <col min="15879" max="15879" width="7" style="35" bestFit="1" customWidth="1"/>
    <col min="15880" max="15880" width="16.36328125" style="35" bestFit="1" customWidth="1"/>
    <col min="15881" max="15881" width="7" style="35" bestFit="1" customWidth="1"/>
    <col min="15882" max="15882" width="16.26953125" style="35" customWidth="1"/>
    <col min="15883" max="16128" width="9" style="35"/>
    <col min="16129" max="16129" width="3.26953125" style="35" customWidth="1"/>
    <col min="16130" max="16130" width="7.7265625" style="35" customWidth="1"/>
    <col min="16131" max="16131" width="10" style="35" customWidth="1"/>
    <col min="16132" max="16132" width="12.36328125" style="35" customWidth="1"/>
    <col min="16133" max="16133" width="14.90625" style="35" customWidth="1"/>
    <col min="16134" max="16134" width="16.36328125" style="35" bestFit="1" customWidth="1"/>
    <col min="16135" max="16135" width="7" style="35" bestFit="1" customWidth="1"/>
    <col min="16136" max="16136" width="16.36328125" style="35" bestFit="1" customWidth="1"/>
    <col min="16137" max="16137" width="7" style="35" bestFit="1" customWidth="1"/>
    <col min="16138" max="16138" width="16.26953125" style="35" customWidth="1"/>
    <col min="16139" max="16384" width="9" style="35"/>
  </cols>
  <sheetData>
    <row r="1" spans="1:11">
      <c r="A1" s="36" t="s">
        <v>85</v>
      </c>
    </row>
    <row r="2" spans="1:11" s="84" customFormat="1" ht="24" customHeight="1" thickBot="1">
      <c r="A2" s="110"/>
      <c r="B2" s="418" t="s">
        <v>204</v>
      </c>
      <c r="C2" s="418"/>
      <c r="D2" s="418"/>
      <c r="E2" s="418"/>
      <c r="F2" s="418"/>
      <c r="G2" s="418"/>
      <c r="H2" s="418"/>
      <c r="I2" s="418"/>
      <c r="J2" s="418"/>
      <c r="K2" s="133"/>
    </row>
    <row r="3" spans="1:11" ht="14.25" customHeight="1" thickTop="1" thickBot="1">
      <c r="B3" s="41" t="s">
        <v>87</v>
      </c>
      <c r="C3" s="41" t="s">
        <v>88</v>
      </c>
      <c r="D3" s="41"/>
      <c r="E3" s="42"/>
      <c r="G3" s="37"/>
      <c r="H3" s="37"/>
      <c r="I3" s="37"/>
      <c r="J3" s="37"/>
    </row>
    <row r="4" spans="1:11" ht="14.25" customHeight="1">
      <c r="B4" s="419" t="s">
        <v>205</v>
      </c>
      <c r="C4" s="111" t="s">
        <v>206</v>
      </c>
      <c r="D4" s="111" t="s">
        <v>207</v>
      </c>
      <c r="E4" s="111"/>
      <c r="F4" s="111"/>
      <c r="G4" s="111"/>
      <c r="H4" s="111"/>
      <c r="I4" s="111"/>
      <c r="J4" s="112"/>
    </row>
    <row r="5" spans="1:11" ht="14.25" customHeight="1" thickBot="1">
      <c r="B5" s="420"/>
      <c r="C5" s="421"/>
      <c r="D5" s="422"/>
      <c r="E5" s="423"/>
      <c r="F5" s="423"/>
      <c r="G5" s="423"/>
      <c r="H5" s="423"/>
      <c r="I5" s="423"/>
      <c r="J5" s="424"/>
    </row>
    <row r="6" spans="1:11">
      <c r="B6" s="134"/>
      <c r="C6" s="135"/>
      <c r="D6" s="67"/>
      <c r="E6" s="67"/>
      <c r="F6" s="67"/>
      <c r="J6" s="136"/>
    </row>
    <row r="7" spans="1:11" ht="17.25" customHeight="1">
      <c r="B7" s="116"/>
      <c r="C7" s="137" t="s">
        <v>208</v>
      </c>
      <c r="D7" s="425" t="s">
        <v>209</v>
      </c>
      <c r="E7" s="426"/>
      <c r="F7" s="426"/>
      <c r="G7" s="426"/>
      <c r="H7" s="426"/>
      <c r="I7" s="427"/>
      <c r="J7" s="138"/>
      <c r="K7" s="139"/>
    </row>
    <row r="8" spans="1:11" ht="15" customHeight="1">
      <c r="B8" s="140"/>
      <c r="C8" s="141" t="s">
        <v>210</v>
      </c>
      <c r="D8" s="142" t="s">
        <v>211</v>
      </c>
      <c r="E8" s="142" t="s">
        <v>212</v>
      </c>
      <c r="F8" s="143" t="s">
        <v>213</v>
      </c>
      <c r="G8" s="143" t="s">
        <v>214</v>
      </c>
      <c r="H8" s="143" t="s">
        <v>215</v>
      </c>
      <c r="I8" s="144" t="s">
        <v>216</v>
      </c>
      <c r="J8" s="145"/>
      <c r="K8" s="146"/>
    </row>
    <row r="9" spans="1:11" ht="12" customHeight="1">
      <c r="B9" s="147"/>
      <c r="C9" s="148" t="s">
        <v>217</v>
      </c>
      <c r="D9" s="149" t="s">
        <v>218</v>
      </c>
      <c r="E9" s="149" t="s">
        <v>219</v>
      </c>
      <c r="F9" s="150" t="s">
        <v>220</v>
      </c>
      <c r="G9" s="150" t="s">
        <v>221</v>
      </c>
      <c r="H9" s="150" t="s">
        <v>222</v>
      </c>
      <c r="I9" s="151" t="s">
        <v>223</v>
      </c>
      <c r="J9" s="152"/>
      <c r="K9" s="153"/>
    </row>
    <row r="10" spans="1:11" ht="12" customHeight="1">
      <c r="B10" s="147"/>
      <c r="C10" s="154" t="s">
        <v>224</v>
      </c>
      <c r="D10" s="155" t="s">
        <v>225</v>
      </c>
      <c r="E10" s="156">
        <v>66666</v>
      </c>
      <c r="F10" s="157" t="s">
        <v>226</v>
      </c>
      <c r="G10" s="157" t="s">
        <v>227</v>
      </c>
      <c r="H10" s="157" t="s">
        <v>226</v>
      </c>
      <c r="I10" s="158" t="s">
        <v>227</v>
      </c>
      <c r="J10" s="159"/>
      <c r="K10" s="160"/>
    </row>
    <row r="11" spans="1:11" ht="12" customHeight="1">
      <c r="B11" s="147"/>
      <c r="C11" s="154" t="s">
        <v>224</v>
      </c>
      <c r="D11" s="155" t="s">
        <v>228</v>
      </c>
      <c r="E11" s="156">
        <v>3500</v>
      </c>
      <c r="F11" s="157" t="s">
        <v>226</v>
      </c>
      <c r="G11" s="157" t="s">
        <v>227</v>
      </c>
      <c r="H11" s="157" t="s">
        <v>226</v>
      </c>
      <c r="I11" s="158" t="s">
        <v>227</v>
      </c>
      <c r="J11" s="159"/>
      <c r="K11" s="160"/>
    </row>
    <row r="12" spans="1:11" ht="12" customHeight="1">
      <c r="B12" s="147"/>
      <c r="C12" s="154" t="s">
        <v>229</v>
      </c>
      <c r="D12" s="155" t="s">
        <v>230</v>
      </c>
      <c r="E12" s="156">
        <v>12000</v>
      </c>
      <c r="F12" s="157" t="s">
        <v>226</v>
      </c>
      <c r="G12" s="157" t="s">
        <v>227</v>
      </c>
      <c r="H12" s="157" t="s">
        <v>226</v>
      </c>
      <c r="I12" s="158" t="s">
        <v>227</v>
      </c>
      <c r="J12" s="159"/>
      <c r="K12" s="160"/>
    </row>
    <row r="13" spans="1:11" ht="12" customHeight="1">
      <c r="B13" s="147"/>
      <c r="C13" s="154" t="s">
        <v>229</v>
      </c>
      <c r="D13" s="155" t="s">
        <v>231</v>
      </c>
      <c r="E13" s="156">
        <v>300</v>
      </c>
      <c r="F13" s="157" t="s">
        <v>226</v>
      </c>
      <c r="G13" s="157" t="s">
        <v>227</v>
      </c>
      <c r="H13" s="157" t="s">
        <v>226</v>
      </c>
      <c r="I13" s="158" t="s">
        <v>227</v>
      </c>
      <c r="J13" s="159"/>
      <c r="K13" s="160"/>
    </row>
    <row r="14" spans="1:11" ht="12" customHeight="1">
      <c r="B14" s="147"/>
      <c r="C14" s="154" t="s">
        <v>229</v>
      </c>
      <c r="D14" s="155" t="s">
        <v>228</v>
      </c>
      <c r="E14" s="156">
        <v>100</v>
      </c>
      <c r="F14" s="157" t="s">
        <v>226</v>
      </c>
      <c r="G14" s="157" t="s">
        <v>227</v>
      </c>
      <c r="H14" s="157" t="s">
        <v>226</v>
      </c>
      <c r="I14" s="158" t="s">
        <v>227</v>
      </c>
      <c r="J14" s="159"/>
      <c r="K14" s="160"/>
    </row>
    <row r="15" spans="1:11" ht="12" customHeight="1">
      <c r="B15" s="147"/>
      <c r="C15" s="154" t="s">
        <v>229</v>
      </c>
      <c r="D15" s="155" t="s">
        <v>232</v>
      </c>
      <c r="E15" s="156">
        <v>50</v>
      </c>
      <c r="F15" s="157" t="s">
        <v>226</v>
      </c>
      <c r="G15" s="157" t="s">
        <v>227</v>
      </c>
      <c r="H15" s="157" t="s">
        <v>226</v>
      </c>
      <c r="I15" s="158" t="s">
        <v>227</v>
      </c>
      <c r="J15" s="159"/>
      <c r="K15" s="160"/>
    </row>
    <row r="16" spans="1:11" ht="12" customHeight="1">
      <c r="B16" s="147"/>
      <c r="C16" s="161" t="s">
        <v>233</v>
      </c>
      <c r="D16" s="162" t="s">
        <v>232</v>
      </c>
      <c r="E16" s="163">
        <v>3000</v>
      </c>
      <c r="F16" s="164" t="s">
        <v>226</v>
      </c>
      <c r="G16" s="164" t="s">
        <v>234</v>
      </c>
      <c r="H16" s="164" t="s">
        <v>226</v>
      </c>
      <c r="I16" s="165" t="s">
        <v>234</v>
      </c>
      <c r="J16" s="159"/>
      <c r="K16" s="166"/>
    </row>
    <row r="17" spans="2:11" ht="12" customHeight="1">
      <c r="B17" s="147"/>
      <c r="C17" s="161" t="s">
        <v>235</v>
      </c>
      <c r="D17" s="162" t="s">
        <v>232</v>
      </c>
      <c r="E17" s="163">
        <v>200</v>
      </c>
      <c r="F17" s="164" t="s">
        <v>226</v>
      </c>
      <c r="G17" s="164" t="s">
        <v>234</v>
      </c>
      <c r="H17" s="164" t="s">
        <v>226</v>
      </c>
      <c r="I17" s="165" t="s">
        <v>234</v>
      </c>
      <c r="J17" s="159"/>
      <c r="K17" s="166"/>
    </row>
    <row r="18" spans="2:11" ht="12" customHeight="1">
      <c r="B18" s="147"/>
      <c r="C18" s="161" t="s">
        <v>236</v>
      </c>
      <c r="D18" s="162" t="s">
        <v>237</v>
      </c>
      <c r="E18" s="163">
        <v>999999999999999</v>
      </c>
      <c r="F18" s="164" t="s">
        <v>226</v>
      </c>
      <c r="G18" s="164" t="s">
        <v>234</v>
      </c>
      <c r="H18" s="164" t="s">
        <v>226</v>
      </c>
      <c r="I18" s="165" t="s">
        <v>234</v>
      </c>
      <c r="J18" s="159"/>
      <c r="K18" s="167"/>
    </row>
    <row r="19" spans="2:11" ht="12" customHeight="1">
      <c r="B19" s="147"/>
      <c r="C19" s="154" t="s">
        <v>236</v>
      </c>
      <c r="D19" s="155" t="s">
        <v>232</v>
      </c>
      <c r="E19" s="156">
        <v>200000</v>
      </c>
      <c r="F19" s="157" t="s">
        <v>226</v>
      </c>
      <c r="G19" s="157" t="s">
        <v>227</v>
      </c>
      <c r="H19" s="157" t="s">
        <v>226</v>
      </c>
      <c r="I19" s="158" t="s">
        <v>227</v>
      </c>
      <c r="J19" s="159"/>
      <c r="K19" s="167"/>
    </row>
    <row r="20" spans="2:11" ht="12" customHeight="1">
      <c r="B20" s="147"/>
      <c r="C20" s="154" t="s">
        <v>236</v>
      </c>
      <c r="D20" s="155" t="s">
        <v>238</v>
      </c>
      <c r="E20" s="156">
        <v>0</v>
      </c>
      <c r="F20" s="157" t="s">
        <v>226</v>
      </c>
      <c r="G20" s="157" t="s">
        <v>227</v>
      </c>
      <c r="H20" s="157" t="s">
        <v>226</v>
      </c>
      <c r="I20" s="158" t="s">
        <v>227</v>
      </c>
      <c r="J20" s="159"/>
      <c r="K20" s="167"/>
    </row>
    <row r="21" spans="2:11" ht="12" customHeight="1">
      <c r="B21" s="147"/>
      <c r="C21" s="168" t="s">
        <v>236</v>
      </c>
      <c r="D21" s="169" t="s">
        <v>239</v>
      </c>
      <c r="E21" s="170">
        <v>333333333</v>
      </c>
      <c r="F21" s="171" t="s">
        <v>226</v>
      </c>
      <c r="G21" s="171" t="s">
        <v>227</v>
      </c>
      <c r="H21" s="171" t="s">
        <v>226</v>
      </c>
      <c r="I21" s="172" t="s">
        <v>227</v>
      </c>
      <c r="J21" s="159"/>
      <c r="K21" s="167"/>
    </row>
    <row r="22" spans="2:11" ht="12" customHeight="1">
      <c r="B22" s="147"/>
      <c r="C22" s="173" t="s">
        <v>236</v>
      </c>
      <c r="D22" s="173" t="s">
        <v>240</v>
      </c>
      <c r="E22" s="174">
        <v>999999999999999</v>
      </c>
      <c r="F22" s="175"/>
      <c r="G22" s="175"/>
      <c r="H22" s="175"/>
      <c r="I22" s="175"/>
      <c r="J22" s="159"/>
      <c r="K22" s="167"/>
    </row>
    <row r="23" spans="2:11" ht="12" customHeight="1">
      <c r="B23" s="147"/>
      <c r="C23" s="173" t="s">
        <v>236</v>
      </c>
      <c r="D23" s="173" t="s">
        <v>241</v>
      </c>
      <c r="E23" s="176">
        <v>300</v>
      </c>
      <c r="F23" s="175"/>
      <c r="G23" s="175"/>
      <c r="H23" s="175"/>
      <c r="I23" s="175"/>
      <c r="J23" s="159"/>
      <c r="K23" s="167"/>
    </row>
    <row r="24" spans="2:11" ht="11.25" customHeight="1">
      <c r="B24" s="147"/>
      <c r="C24" s="173" t="s">
        <v>236</v>
      </c>
      <c r="D24" s="173" t="s">
        <v>242</v>
      </c>
      <c r="E24" s="176">
        <v>20</v>
      </c>
      <c r="F24" s="175"/>
      <c r="G24" s="175"/>
      <c r="H24" s="175"/>
      <c r="I24" s="175"/>
      <c r="J24" s="159"/>
      <c r="K24" s="177"/>
    </row>
    <row r="25" spans="2:11">
      <c r="B25" s="147"/>
      <c r="C25" s="173" t="s">
        <v>243</v>
      </c>
      <c r="D25" s="173" t="s">
        <v>244</v>
      </c>
      <c r="E25" s="176">
        <v>6000</v>
      </c>
      <c r="F25" s="175"/>
      <c r="G25" s="175"/>
      <c r="H25" s="175"/>
      <c r="I25" s="175"/>
      <c r="J25" s="159"/>
      <c r="K25" s="178"/>
    </row>
    <row r="26" spans="2:11">
      <c r="B26" s="116"/>
      <c r="C26" s="175"/>
      <c r="D26" s="175"/>
      <c r="E26" s="175"/>
      <c r="F26" s="175"/>
      <c r="G26" s="175"/>
      <c r="H26" s="175"/>
      <c r="I26" s="175"/>
      <c r="J26" s="159"/>
      <c r="K26" s="167"/>
    </row>
    <row r="27" spans="2:11">
      <c r="B27" s="116"/>
      <c r="C27" s="179"/>
      <c r="D27" s="179"/>
      <c r="E27" s="179"/>
      <c r="F27" s="179"/>
      <c r="G27" s="179"/>
      <c r="H27" s="179"/>
      <c r="I27" s="179"/>
      <c r="J27" s="159"/>
      <c r="K27" s="167"/>
    </row>
    <row r="28" spans="2:11">
      <c r="B28" s="116"/>
      <c r="C28" s="179"/>
      <c r="D28" s="179"/>
      <c r="E28" s="179"/>
      <c r="F28" s="179"/>
      <c r="G28" s="179"/>
      <c r="H28" s="179"/>
      <c r="I28" s="179"/>
      <c r="J28" s="159"/>
      <c r="K28" s="180"/>
    </row>
    <row r="29" spans="2:11">
      <c r="B29" s="116"/>
      <c r="C29" s="160"/>
      <c r="D29" s="160"/>
      <c r="E29" s="160"/>
      <c r="F29" s="160"/>
      <c r="G29" s="160"/>
      <c r="H29" s="160"/>
      <c r="I29" s="160"/>
      <c r="J29" s="181"/>
      <c r="K29" s="160"/>
    </row>
    <row r="30" spans="2:11" ht="17.25" customHeight="1">
      <c r="B30" s="116"/>
      <c r="C30" s="137" t="s">
        <v>245</v>
      </c>
      <c r="D30" s="425" t="s">
        <v>209</v>
      </c>
      <c r="E30" s="426"/>
      <c r="F30" s="426"/>
      <c r="G30" s="426"/>
      <c r="H30" s="426"/>
      <c r="I30" s="427"/>
      <c r="J30" s="138"/>
      <c r="K30" s="139"/>
    </row>
    <row r="31" spans="2:11" ht="15" customHeight="1">
      <c r="B31" s="140"/>
      <c r="C31" s="141" t="s">
        <v>210</v>
      </c>
      <c r="D31" s="142" t="s">
        <v>211</v>
      </c>
      <c r="E31" s="142" t="s">
        <v>212</v>
      </c>
      <c r="F31" s="143" t="s">
        <v>213</v>
      </c>
      <c r="G31" s="143" t="s">
        <v>214</v>
      </c>
      <c r="H31" s="143" t="s">
        <v>215</v>
      </c>
      <c r="I31" s="144" t="s">
        <v>216</v>
      </c>
      <c r="J31" s="145"/>
      <c r="K31" s="146"/>
    </row>
    <row r="32" spans="2:11" ht="12" customHeight="1">
      <c r="B32" s="147"/>
      <c r="C32" s="148" t="s">
        <v>217</v>
      </c>
      <c r="D32" s="149" t="s">
        <v>218</v>
      </c>
      <c r="E32" s="149" t="s">
        <v>219</v>
      </c>
      <c r="F32" s="150" t="s">
        <v>220</v>
      </c>
      <c r="G32" s="150" t="s">
        <v>221</v>
      </c>
      <c r="H32" s="150" t="s">
        <v>222</v>
      </c>
      <c r="I32" s="151" t="s">
        <v>223</v>
      </c>
      <c r="J32" s="152"/>
      <c r="K32" s="153"/>
    </row>
    <row r="33" spans="2:11" ht="12" customHeight="1">
      <c r="B33" s="147"/>
      <c r="C33" s="182"/>
      <c r="D33" s="183"/>
      <c r="E33" s="184"/>
      <c r="F33" s="185"/>
      <c r="G33" s="185"/>
      <c r="H33" s="185"/>
      <c r="I33" s="186"/>
      <c r="J33" s="159"/>
      <c r="K33" s="160"/>
    </row>
    <row r="34" spans="2:11" ht="12" customHeight="1">
      <c r="B34" s="147"/>
      <c r="C34" s="187"/>
      <c r="D34" s="188"/>
      <c r="E34" s="189"/>
      <c r="F34" s="190"/>
      <c r="G34" s="190"/>
      <c r="H34" s="190"/>
      <c r="I34" s="191"/>
      <c r="J34" s="159"/>
      <c r="K34" s="160"/>
    </row>
    <row r="35" spans="2:11" ht="12" customHeight="1">
      <c r="B35" s="147"/>
      <c r="C35" s="187"/>
      <c r="D35" s="188"/>
      <c r="E35" s="189"/>
      <c r="F35" s="190"/>
      <c r="G35" s="190"/>
      <c r="H35" s="190"/>
      <c r="I35" s="191"/>
      <c r="J35" s="159"/>
      <c r="K35" s="160"/>
    </row>
    <row r="36" spans="2:11" ht="12" customHeight="1">
      <c r="B36" s="147"/>
      <c r="C36" s="192"/>
      <c r="D36" s="193"/>
      <c r="E36" s="194"/>
      <c r="F36" s="195"/>
      <c r="G36" s="195"/>
      <c r="H36" s="195"/>
      <c r="I36" s="196"/>
      <c r="J36" s="159"/>
      <c r="K36" s="160"/>
    </row>
    <row r="37" spans="2:11" ht="12" customHeight="1">
      <c r="B37" s="147"/>
      <c r="C37" s="197" t="s">
        <v>229</v>
      </c>
      <c r="D37" s="198" t="s">
        <v>228</v>
      </c>
      <c r="E37" s="199">
        <v>100</v>
      </c>
      <c r="F37" s="200" t="s">
        <v>226</v>
      </c>
      <c r="G37" s="157" t="s">
        <v>227</v>
      </c>
      <c r="H37" s="200" t="s">
        <v>226</v>
      </c>
      <c r="I37" s="158" t="s">
        <v>227</v>
      </c>
      <c r="J37" s="159"/>
      <c r="K37" s="160"/>
    </row>
    <row r="38" spans="2:11" ht="12" customHeight="1">
      <c r="B38" s="147"/>
      <c r="C38" s="201" t="s">
        <v>229</v>
      </c>
      <c r="D38" s="202" t="s">
        <v>232</v>
      </c>
      <c r="E38" s="203">
        <v>50</v>
      </c>
      <c r="F38" s="204" t="s">
        <v>226</v>
      </c>
      <c r="G38" s="157" t="s">
        <v>227</v>
      </c>
      <c r="H38" s="204" t="s">
        <v>226</v>
      </c>
      <c r="I38" s="158" t="s">
        <v>227</v>
      </c>
      <c r="J38" s="159"/>
      <c r="K38" s="160"/>
    </row>
    <row r="39" spans="2:11" ht="12" customHeight="1">
      <c r="B39" s="147"/>
      <c r="C39" s="201" t="s">
        <v>233</v>
      </c>
      <c r="D39" s="202" t="s">
        <v>232</v>
      </c>
      <c r="E39" s="205">
        <v>3000</v>
      </c>
      <c r="F39" s="206" t="s">
        <v>226</v>
      </c>
      <c r="G39" s="207" t="s">
        <v>227</v>
      </c>
      <c r="H39" s="208" t="s">
        <v>246</v>
      </c>
      <c r="I39" s="209" t="s">
        <v>247</v>
      </c>
      <c r="J39" s="159"/>
      <c r="K39" s="166"/>
    </row>
    <row r="40" spans="2:11" ht="12" customHeight="1">
      <c r="B40" s="147"/>
      <c r="C40" s="201" t="s">
        <v>235</v>
      </c>
      <c r="D40" s="202" t="s">
        <v>232</v>
      </c>
      <c r="E40" s="205">
        <v>200</v>
      </c>
      <c r="F40" s="206" t="s">
        <v>226</v>
      </c>
      <c r="G40" s="207" t="s">
        <v>227</v>
      </c>
      <c r="H40" s="208" t="s">
        <v>246</v>
      </c>
      <c r="I40" s="209" t="s">
        <v>247</v>
      </c>
      <c r="J40" s="159"/>
      <c r="K40" s="166"/>
    </row>
    <row r="41" spans="2:11" ht="12" customHeight="1">
      <c r="B41" s="147"/>
      <c r="C41" s="201" t="s">
        <v>236</v>
      </c>
      <c r="D41" s="202" t="s">
        <v>237</v>
      </c>
      <c r="E41" s="205">
        <v>999999999999999</v>
      </c>
      <c r="F41" s="206" t="s">
        <v>226</v>
      </c>
      <c r="G41" s="207" t="s">
        <v>227</v>
      </c>
      <c r="H41" s="208" t="s">
        <v>246</v>
      </c>
      <c r="I41" s="209" t="s">
        <v>247</v>
      </c>
      <c r="J41" s="159"/>
      <c r="K41" s="167"/>
    </row>
    <row r="42" spans="2:11" ht="12" customHeight="1">
      <c r="B42" s="147"/>
      <c r="C42" s="201" t="s">
        <v>236</v>
      </c>
      <c r="D42" s="202" t="s">
        <v>232</v>
      </c>
      <c r="E42" s="203">
        <v>200000</v>
      </c>
      <c r="F42" s="204" t="s">
        <v>226</v>
      </c>
      <c r="G42" s="157" t="s">
        <v>227</v>
      </c>
      <c r="H42" s="204" t="s">
        <v>226</v>
      </c>
      <c r="I42" s="158" t="s">
        <v>227</v>
      </c>
      <c r="J42" s="159"/>
      <c r="K42" s="167"/>
    </row>
    <row r="43" spans="2:11" ht="12" customHeight="1">
      <c r="B43" s="147"/>
      <c r="C43" s="201" t="s">
        <v>236</v>
      </c>
      <c r="D43" s="202" t="s">
        <v>238</v>
      </c>
      <c r="E43" s="203">
        <v>0</v>
      </c>
      <c r="F43" s="204" t="s">
        <v>226</v>
      </c>
      <c r="G43" s="157" t="s">
        <v>227</v>
      </c>
      <c r="H43" s="204" t="s">
        <v>226</v>
      </c>
      <c r="I43" s="158" t="s">
        <v>227</v>
      </c>
      <c r="J43" s="159"/>
      <c r="K43" s="167"/>
    </row>
    <row r="44" spans="2:11" ht="12" customHeight="1">
      <c r="B44" s="147"/>
      <c r="C44" s="201" t="s">
        <v>236</v>
      </c>
      <c r="D44" s="202" t="s">
        <v>239</v>
      </c>
      <c r="E44" s="210">
        <v>333333333</v>
      </c>
      <c r="F44" s="204" t="s">
        <v>226</v>
      </c>
      <c r="G44" s="157" t="s">
        <v>227</v>
      </c>
      <c r="H44" s="204" t="s">
        <v>226</v>
      </c>
      <c r="I44" s="158" t="s">
        <v>227</v>
      </c>
      <c r="J44" s="159"/>
      <c r="K44" s="167"/>
    </row>
    <row r="45" spans="2:11" ht="12" customHeight="1">
      <c r="B45" s="147"/>
      <c r="C45" s="201" t="s">
        <v>236</v>
      </c>
      <c r="D45" s="202" t="s">
        <v>240</v>
      </c>
      <c r="E45" s="210">
        <v>999999999999999</v>
      </c>
      <c r="F45" s="204" t="s">
        <v>248</v>
      </c>
      <c r="G45" s="204" t="s">
        <v>247</v>
      </c>
      <c r="H45" s="204" t="s">
        <v>248</v>
      </c>
      <c r="I45" s="211" t="s">
        <v>247</v>
      </c>
      <c r="J45" s="159"/>
      <c r="K45" s="167"/>
    </row>
    <row r="46" spans="2:11" ht="12" customHeight="1">
      <c r="B46" s="147"/>
      <c r="C46" s="201" t="s">
        <v>236</v>
      </c>
      <c r="D46" s="202" t="s">
        <v>241</v>
      </c>
      <c r="E46" s="203">
        <v>300</v>
      </c>
      <c r="F46" s="204" t="s">
        <v>248</v>
      </c>
      <c r="G46" s="204" t="s">
        <v>247</v>
      </c>
      <c r="H46" s="204" t="s">
        <v>248</v>
      </c>
      <c r="I46" s="211" t="s">
        <v>247</v>
      </c>
      <c r="J46" s="159"/>
      <c r="K46" s="167"/>
    </row>
    <row r="47" spans="2:11" ht="11.25" customHeight="1">
      <c r="B47" s="147"/>
      <c r="C47" s="212" t="s">
        <v>236</v>
      </c>
      <c r="D47" s="213" t="s">
        <v>242</v>
      </c>
      <c r="E47" s="214">
        <v>20</v>
      </c>
      <c r="F47" s="215" t="s">
        <v>248</v>
      </c>
      <c r="G47" s="215" t="s">
        <v>247</v>
      </c>
      <c r="H47" s="215" t="s">
        <v>248</v>
      </c>
      <c r="I47" s="216" t="s">
        <v>247</v>
      </c>
      <c r="J47" s="159"/>
      <c r="K47" s="177"/>
    </row>
    <row r="48" spans="2:11">
      <c r="B48" s="147"/>
      <c r="C48" s="217"/>
      <c r="D48" s="217"/>
      <c r="E48" s="218"/>
      <c r="F48" s="179"/>
      <c r="G48" s="179"/>
      <c r="H48" s="179"/>
      <c r="I48" s="179"/>
      <c r="J48" s="159"/>
      <c r="K48" s="178"/>
    </row>
    <row r="49" spans="2:10">
      <c r="B49" s="219"/>
      <c r="C49" s="135"/>
      <c r="D49" s="67"/>
      <c r="E49" s="67"/>
      <c r="F49" s="67"/>
      <c r="J49" s="136"/>
    </row>
    <row r="50" spans="2:10">
      <c r="B50" s="219"/>
      <c r="C50" s="135"/>
      <c r="D50" s="67"/>
      <c r="E50" s="67"/>
      <c r="F50" s="67"/>
      <c r="J50" s="136"/>
    </row>
    <row r="51" spans="2:10" ht="15.5" thickBot="1">
      <c r="B51" s="220"/>
      <c r="C51" s="221"/>
      <c r="D51" s="125"/>
      <c r="E51" s="125"/>
      <c r="F51" s="125"/>
      <c r="G51" s="124"/>
      <c r="H51" s="124"/>
      <c r="I51" s="124"/>
      <c r="J51" s="222"/>
    </row>
    <row r="52" spans="2:10" ht="14.25" customHeight="1">
      <c r="B52" s="419" t="s">
        <v>249</v>
      </c>
      <c r="C52" s="111" t="s">
        <v>250</v>
      </c>
      <c r="D52" s="111"/>
      <c r="E52" s="111"/>
      <c r="F52" s="111"/>
      <c r="G52" s="111"/>
      <c r="H52" s="111"/>
      <c r="I52" s="111"/>
      <c r="J52" s="112"/>
    </row>
    <row r="53" spans="2:10" ht="14.25" customHeight="1" thickBot="1">
      <c r="B53" s="420"/>
      <c r="C53" s="421"/>
      <c r="D53" s="422"/>
      <c r="E53" s="423"/>
      <c r="F53" s="423"/>
      <c r="G53" s="423"/>
      <c r="H53" s="423"/>
      <c r="I53" s="423"/>
      <c r="J53" s="424"/>
    </row>
    <row r="54" spans="2:10">
      <c r="B54" s="127" t="s">
        <v>251</v>
      </c>
      <c r="D54" s="67"/>
      <c r="E54" s="67"/>
      <c r="F54" s="67"/>
      <c r="J54" s="136"/>
    </row>
    <row r="55" spans="2:10">
      <c r="B55" s="223"/>
      <c r="C55" s="118"/>
      <c r="D55" s="67"/>
      <c r="E55" s="67"/>
      <c r="F55" s="67"/>
      <c r="J55" s="136"/>
    </row>
    <row r="56" spans="2:10">
      <c r="B56" s="116"/>
      <c r="D56" s="67"/>
      <c r="E56" s="67"/>
      <c r="F56" s="67"/>
      <c r="J56" s="136"/>
    </row>
    <row r="57" spans="2:10">
      <c r="B57" s="116"/>
      <c r="D57" s="67"/>
      <c r="E57" s="67"/>
      <c r="F57" s="67"/>
      <c r="J57" s="136"/>
    </row>
    <row r="58" spans="2:10">
      <c r="B58" s="116"/>
      <c r="D58" s="67"/>
      <c r="E58" s="67"/>
      <c r="F58" s="67"/>
      <c r="J58" s="136"/>
    </row>
    <row r="59" spans="2:10">
      <c r="B59" s="116"/>
      <c r="D59" s="67"/>
      <c r="E59" s="67"/>
      <c r="F59" s="67"/>
      <c r="J59" s="136"/>
    </row>
    <row r="60" spans="2:10">
      <c r="B60" s="116"/>
      <c r="D60" s="67"/>
      <c r="E60" s="67"/>
      <c r="F60" s="67"/>
      <c r="J60" s="136"/>
    </row>
    <row r="61" spans="2:10">
      <c r="B61" s="116"/>
      <c r="D61" s="67"/>
      <c r="E61" s="67"/>
      <c r="F61" s="67"/>
      <c r="J61" s="136"/>
    </row>
    <row r="62" spans="2:10">
      <c r="B62" s="116"/>
      <c r="C62" s="178"/>
      <c r="D62" s="67"/>
      <c r="E62" s="67"/>
      <c r="F62" s="67"/>
      <c r="H62" s="178" t="s">
        <v>196</v>
      </c>
      <c r="J62" s="136"/>
    </row>
    <row r="63" spans="2:10">
      <c r="B63" s="116"/>
      <c r="D63" s="67"/>
      <c r="E63" s="67"/>
      <c r="F63" s="67"/>
      <c r="J63" s="136"/>
    </row>
    <row r="64" spans="2:10" ht="15.5" thickBot="1">
      <c r="B64" s="131"/>
      <c r="C64" s="132"/>
      <c r="D64" s="81"/>
      <c r="E64" s="81"/>
      <c r="F64" s="81"/>
      <c r="G64" s="132"/>
      <c r="H64" s="132"/>
      <c r="I64" s="132"/>
      <c r="J64" s="224"/>
    </row>
    <row r="65" spans="2:10" ht="14.25" customHeight="1">
      <c r="B65" s="419" t="s">
        <v>252</v>
      </c>
      <c r="C65" s="111" t="s">
        <v>253</v>
      </c>
      <c r="D65" s="111"/>
      <c r="E65" s="111"/>
      <c r="F65" s="111"/>
      <c r="G65" s="111"/>
      <c r="H65" s="111"/>
      <c r="I65" s="111"/>
      <c r="J65" s="112"/>
    </row>
    <row r="66" spans="2:10" ht="14.25" customHeight="1" thickBot="1">
      <c r="B66" s="420"/>
      <c r="C66" s="421"/>
      <c r="D66" s="422"/>
      <c r="E66" s="423"/>
      <c r="F66" s="423"/>
      <c r="G66" s="423"/>
      <c r="H66" s="423"/>
      <c r="I66" s="423"/>
      <c r="J66" s="424"/>
    </row>
    <row r="67" spans="2:10">
      <c r="B67" s="127" t="s">
        <v>254</v>
      </c>
      <c r="D67" s="67"/>
      <c r="E67" s="67"/>
      <c r="F67" s="67"/>
      <c r="J67" s="136"/>
    </row>
    <row r="68" spans="2:10">
      <c r="B68" s="223"/>
      <c r="C68" s="118"/>
      <c r="D68" s="67"/>
      <c r="E68" s="67"/>
      <c r="F68" s="67"/>
      <c r="J68" s="136"/>
    </row>
    <row r="69" spans="2:10">
      <c r="B69" s="116"/>
      <c r="D69" s="67"/>
      <c r="E69" s="67"/>
      <c r="F69" s="67"/>
      <c r="J69" s="136"/>
    </row>
    <row r="70" spans="2:10">
      <c r="B70" s="116"/>
      <c r="D70" s="67"/>
      <c r="E70" s="67"/>
      <c r="F70" s="67"/>
      <c r="J70" s="136"/>
    </row>
    <row r="71" spans="2:10">
      <c r="B71" s="116"/>
      <c r="D71" s="67"/>
      <c r="E71" s="67"/>
      <c r="F71" s="67"/>
      <c r="J71" s="136"/>
    </row>
    <row r="72" spans="2:10">
      <c r="B72" s="116"/>
      <c r="D72" s="67"/>
      <c r="E72" s="67"/>
      <c r="F72" s="67"/>
      <c r="J72" s="136"/>
    </row>
    <row r="73" spans="2:10">
      <c r="B73" s="116"/>
      <c r="D73" s="67"/>
      <c r="E73" s="67"/>
      <c r="F73" s="67"/>
      <c r="J73" s="136"/>
    </row>
    <row r="74" spans="2:10">
      <c r="B74" s="116"/>
      <c r="C74" s="178"/>
      <c r="D74" s="67"/>
      <c r="E74" s="67"/>
      <c r="F74" s="67"/>
      <c r="H74" s="178" t="s">
        <v>196</v>
      </c>
      <c r="J74" s="136"/>
    </row>
    <row r="75" spans="2:10" ht="15.5" thickBot="1">
      <c r="B75" s="123"/>
      <c r="C75" s="124"/>
      <c r="D75" s="125"/>
      <c r="E75" s="125"/>
      <c r="F75" s="125"/>
      <c r="G75" s="124"/>
      <c r="H75" s="124"/>
      <c r="I75" s="124"/>
      <c r="J75" s="222"/>
    </row>
    <row r="76" spans="2:10" ht="14.25" customHeight="1">
      <c r="B76" s="419" t="s">
        <v>255</v>
      </c>
      <c r="C76" s="111" t="s">
        <v>256</v>
      </c>
      <c r="D76" s="111"/>
      <c r="E76" s="111"/>
      <c r="F76" s="111"/>
      <c r="G76" s="111"/>
      <c r="H76" s="111"/>
      <c r="I76" s="111"/>
      <c r="J76" s="112"/>
    </row>
    <row r="77" spans="2:10" ht="14.25" customHeight="1" thickBot="1">
      <c r="B77" s="420"/>
      <c r="C77" s="421"/>
      <c r="D77" s="422"/>
      <c r="E77" s="423"/>
      <c r="F77" s="423"/>
      <c r="G77" s="423"/>
      <c r="H77" s="423"/>
      <c r="I77" s="423"/>
      <c r="J77" s="424"/>
    </row>
    <row r="78" spans="2:10">
      <c r="B78" s="116"/>
      <c r="D78" s="67"/>
      <c r="E78" s="67"/>
      <c r="F78" s="67"/>
      <c r="J78" s="136"/>
    </row>
    <row r="79" spans="2:10">
      <c r="B79" s="223"/>
      <c r="C79" s="118"/>
      <c r="D79" s="67"/>
      <c r="E79" s="67"/>
      <c r="F79" s="67"/>
      <c r="J79" s="136"/>
    </row>
    <row r="80" spans="2:10">
      <c r="B80" s="116"/>
      <c r="D80" s="67"/>
      <c r="E80" s="67"/>
      <c r="F80" s="67"/>
      <c r="J80" s="136"/>
    </row>
    <row r="81" spans="2:10">
      <c r="B81" s="116"/>
      <c r="D81" s="67"/>
      <c r="E81" s="67"/>
      <c r="F81" s="67"/>
      <c r="J81" s="136"/>
    </row>
    <row r="82" spans="2:10">
      <c r="B82" s="116"/>
      <c r="D82" s="67"/>
      <c r="E82" s="67"/>
      <c r="F82" s="67"/>
      <c r="J82" s="136"/>
    </row>
    <row r="83" spans="2:10">
      <c r="B83" s="116"/>
      <c r="D83" s="67"/>
      <c r="E83" s="67"/>
      <c r="F83" s="67"/>
      <c r="J83" s="136"/>
    </row>
    <row r="84" spans="2:10">
      <c r="B84" s="116"/>
      <c r="C84" s="178"/>
      <c r="D84" s="67"/>
      <c r="E84" s="67"/>
      <c r="F84" s="67"/>
      <c r="H84" s="178" t="s">
        <v>199</v>
      </c>
      <c r="J84" s="136"/>
    </row>
    <row r="85" spans="2:10" ht="15.5" thickBot="1">
      <c r="B85" s="123"/>
      <c r="C85" s="124"/>
      <c r="D85" s="125"/>
      <c r="E85" s="125"/>
      <c r="F85" s="125"/>
      <c r="G85" s="124"/>
      <c r="H85" s="124"/>
      <c r="I85" s="124"/>
      <c r="J85" s="222"/>
    </row>
    <row r="86" spans="2:10" ht="14.25" customHeight="1">
      <c r="B86" s="419" t="s">
        <v>257</v>
      </c>
      <c r="C86" s="111" t="s">
        <v>258</v>
      </c>
      <c r="D86" s="111"/>
      <c r="E86" s="111"/>
      <c r="F86" s="111"/>
      <c r="G86" s="111"/>
      <c r="H86" s="111"/>
      <c r="I86" s="111"/>
      <c r="J86" s="112"/>
    </row>
    <row r="87" spans="2:10" ht="14.25" customHeight="1" thickBot="1">
      <c r="B87" s="420"/>
      <c r="C87" s="421"/>
      <c r="D87" s="422"/>
      <c r="E87" s="423"/>
      <c r="F87" s="423"/>
      <c r="G87" s="423"/>
      <c r="H87" s="423"/>
      <c r="I87" s="423"/>
      <c r="J87" s="424"/>
    </row>
    <row r="88" spans="2:10">
      <c r="B88" s="116"/>
      <c r="D88" s="67"/>
      <c r="E88" s="67"/>
      <c r="F88" s="67"/>
      <c r="J88" s="136"/>
    </row>
    <row r="89" spans="2:10">
      <c r="B89" s="223"/>
      <c r="C89" s="118"/>
      <c r="D89" s="67"/>
      <c r="E89" s="67"/>
      <c r="F89" s="67"/>
      <c r="J89" s="136"/>
    </row>
    <row r="90" spans="2:10">
      <c r="B90" s="116"/>
      <c r="D90" s="67"/>
      <c r="E90" s="67"/>
      <c r="F90" s="67"/>
      <c r="J90" s="136"/>
    </row>
    <row r="91" spans="2:10">
      <c r="B91" s="116"/>
      <c r="D91" s="67"/>
      <c r="E91" s="67"/>
      <c r="F91" s="67"/>
      <c r="J91" s="136"/>
    </row>
    <row r="92" spans="2:10">
      <c r="B92" s="116"/>
      <c r="D92" s="67"/>
      <c r="E92" s="67"/>
      <c r="F92" s="67"/>
      <c r="J92" s="136"/>
    </row>
    <row r="93" spans="2:10">
      <c r="B93" s="116"/>
      <c r="D93" s="67"/>
      <c r="E93" s="67"/>
      <c r="F93" s="67"/>
      <c r="J93" s="136"/>
    </row>
    <row r="94" spans="2:10">
      <c r="B94" s="116"/>
      <c r="C94" s="178"/>
      <c r="D94" s="67"/>
      <c r="E94" s="67"/>
      <c r="F94" s="67"/>
      <c r="H94" s="178" t="s">
        <v>199</v>
      </c>
      <c r="J94" s="136"/>
    </row>
    <row r="95" spans="2:10" ht="15.5" thickBot="1">
      <c r="B95" s="131"/>
      <c r="C95" s="132"/>
      <c r="D95" s="81"/>
      <c r="E95" s="81"/>
      <c r="F95" s="81"/>
      <c r="G95" s="132"/>
      <c r="H95" s="132"/>
      <c r="I95" s="132"/>
      <c r="J95" s="224"/>
    </row>
  </sheetData>
  <mergeCells count="18">
    <mergeCell ref="B76:B77"/>
    <mergeCell ref="C77:D77"/>
    <mergeCell ref="E77:J77"/>
    <mergeCell ref="B86:B87"/>
    <mergeCell ref="C87:D87"/>
    <mergeCell ref="E87:J87"/>
    <mergeCell ref="B52:B53"/>
    <mergeCell ref="C53:D53"/>
    <mergeCell ref="E53:J53"/>
    <mergeCell ref="B65:B66"/>
    <mergeCell ref="C66:D66"/>
    <mergeCell ref="E66:J66"/>
    <mergeCell ref="D30:I30"/>
    <mergeCell ref="B2:J2"/>
    <mergeCell ref="B4:B5"/>
    <mergeCell ref="C5:D5"/>
    <mergeCell ref="E5:J5"/>
    <mergeCell ref="D7:I7"/>
  </mergeCells>
  <phoneticPr fontId="27" type="noConversion"/>
  <hyperlinks>
    <hyperlink ref="A1" location="【TCS】!A1" display="戻る" xr:uid="{055C6575-65F3-4C29-BA1E-9FAE9623B502}"/>
  </hyperlinks>
  <pageMargins left="0.75" right="0.75" top="1" bottom="1" header="0.51200000000000001" footer="0.51200000000000001"/>
  <pageSetup paperSize="9" orientation="portrait" verticalDpi="0"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6241A-43BE-4FDC-A144-A4C0096FC319}">
  <dimension ref="A1:J309"/>
  <sheetViews>
    <sheetView showGridLines="0" workbookViewId="0">
      <pane ySplit="3" topLeftCell="A4" activePane="bottomLeft" state="frozen"/>
      <selection pane="bottomLeft"/>
    </sheetView>
  </sheetViews>
  <sheetFormatPr defaultRowHeight="15"/>
  <cols>
    <col min="1" max="1" width="3.6328125" style="35" customWidth="1"/>
    <col min="2" max="2" width="8.08984375" style="35" customWidth="1"/>
    <col min="3" max="3" width="7.26953125" style="35" customWidth="1"/>
    <col min="4" max="4" width="0.453125" style="35" hidden="1" customWidth="1"/>
    <col min="5" max="5" width="9" style="35" hidden="1" customWidth="1"/>
    <col min="6" max="9" width="9" style="35"/>
    <col min="10" max="10" width="62" style="35" customWidth="1"/>
    <col min="11" max="11" width="8.6328125" style="35" bestFit="1" customWidth="1"/>
    <col min="12" max="12" width="11.26953125" style="35" customWidth="1"/>
    <col min="13" max="13" width="14.6328125" style="35" customWidth="1"/>
    <col min="14" max="14" width="8.7265625" style="35" customWidth="1"/>
    <col min="15" max="16" width="9.7265625" style="35" customWidth="1"/>
    <col min="17" max="17" width="20" style="35" bestFit="1" customWidth="1"/>
    <col min="18" max="18" width="8" style="35" bestFit="1" customWidth="1"/>
    <col min="19" max="19" width="8.6328125" style="35" bestFit="1" customWidth="1"/>
    <col min="20" max="20" width="7.08984375" style="35" customWidth="1"/>
    <col min="21" max="21" width="17.453125" style="35" bestFit="1" customWidth="1"/>
    <col min="22" max="22" width="10.36328125" style="35" customWidth="1"/>
    <col min="23" max="23" width="7.453125" style="35" customWidth="1"/>
    <col min="24" max="24" width="9" style="35"/>
    <col min="25" max="25" width="10.36328125" style="35" customWidth="1"/>
    <col min="26" max="256" width="9" style="35"/>
    <col min="257" max="257" width="3.6328125" style="35" customWidth="1"/>
    <col min="258" max="258" width="8.08984375" style="35" customWidth="1"/>
    <col min="259" max="259" width="7.26953125" style="35" customWidth="1"/>
    <col min="260" max="261" width="0" style="35" hidden="1" customWidth="1"/>
    <col min="262" max="265" width="9" style="35"/>
    <col min="266" max="266" width="62" style="35" customWidth="1"/>
    <col min="267" max="267" width="8.6328125" style="35" bestFit="1" customWidth="1"/>
    <col min="268" max="268" width="11.26953125" style="35" customWidth="1"/>
    <col min="269" max="269" width="14.6328125" style="35" customWidth="1"/>
    <col min="270" max="270" width="8.7265625" style="35" customWidth="1"/>
    <col min="271" max="272" width="9.7265625" style="35" customWidth="1"/>
    <col min="273" max="273" width="20" style="35" bestFit="1" customWidth="1"/>
    <col min="274" max="274" width="8" style="35" bestFit="1" customWidth="1"/>
    <col min="275" max="275" width="8.6328125" style="35" bestFit="1" customWidth="1"/>
    <col min="276" max="276" width="7.08984375" style="35" customWidth="1"/>
    <col min="277" max="277" width="17.453125" style="35" bestFit="1" customWidth="1"/>
    <col min="278" max="278" width="10.36328125" style="35" customWidth="1"/>
    <col min="279" max="279" width="7.453125" style="35" customWidth="1"/>
    <col min="280" max="280" width="9" style="35"/>
    <col min="281" max="281" width="10.36328125" style="35" customWidth="1"/>
    <col min="282" max="512" width="9" style="35"/>
    <col min="513" max="513" width="3.6328125" style="35" customWidth="1"/>
    <col min="514" max="514" width="8.08984375" style="35" customWidth="1"/>
    <col min="515" max="515" width="7.26953125" style="35" customWidth="1"/>
    <col min="516" max="517" width="0" style="35" hidden="1" customWidth="1"/>
    <col min="518" max="521" width="9" style="35"/>
    <col min="522" max="522" width="62" style="35" customWidth="1"/>
    <col min="523" max="523" width="8.6328125" style="35" bestFit="1" customWidth="1"/>
    <col min="524" max="524" width="11.26953125" style="35" customWidth="1"/>
    <col min="525" max="525" width="14.6328125" style="35" customWidth="1"/>
    <col min="526" max="526" width="8.7265625" style="35" customWidth="1"/>
    <col min="527" max="528" width="9.7265625" style="35" customWidth="1"/>
    <col min="529" max="529" width="20" style="35" bestFit="1" customWidth="1"/>
    <col min="530" max="530" width="8" style="35" bestFit="1" customWidth="1"/>
    <col min="531" max="531" width="8.6328125" style="35" bestFit="1" customWidth="1"/>
    <col min="532" max="532" width="7.08984375" style="35" customWidth="1"/>
    <col min="533" max="533" width="17.453125" style="35" bestFit="1" customWidth="1"/>
    <col min="534" max="534" width="10.36328125" style="35" customWidth="1"/>
    <col min="535" max="535" width="7.453125" style="35" customWidth="1"/>
    <col min="536" max="536" width="9" style="35"/>
    <col min="537" max="537" width="10.36328125" style="35" customWidth="1"/>
    <col min="538" max="768" width="9" style="35"/>
    <col min="769" max="769" width="3.6328125" style="35" customWidth="1"/>
    <col min="770" max="770" width="8.08984375" style="35" customWidth="1"/>
    <col min="771" max="771" width="7.26953125" style="35" customWidth="1"/>
    <col min="772" max="773" width="0" style="35" hidden="1" customWidth="1"/>
    <col min="774" max="777" width="9" style="35"/>
    <col min="778" max="778" width="62" style="35" customWidth="1"/>
    <col min="779" max="779" width="8.6328125" style="35" bestFit="1" customWidth="1"/>
    <col min="780" max="780" width="11.26953125" style="35" customWidth="1"/>
    <col min="781" max="781" width="14.6328125" style="35" customWidth="1"/>
    <col min="782" max="782" width="8.7265625" style="35" customWidth="1"/>
    <col min="783" max="784" width="9.7265625" style="35" customWidth="1"/>
    <col min="785" max="785" width="20" style="35" bestFit="1" customWidth="1"/>
    <col min="786" max="786" width="8" style="35" bestFit="1" customWidth="1"/>
    <col min="787" max="787" width="8.6328125" style="35" bestFit="1" customWidth="1"/>
    <col min="788" max="788" width="7.08984375" style="35" customWidth="1"/>
    <col min="789" max="789" width="17.453125" style="35" bestFit="1" customWidth="1"/>
    <col min="790" max="790" width="10.36328125" style="35" customWidth="1"/>
    <col min="791" max="791" width="7.453125" style="35" customWidth="1"/>
    <col min="792" max="792" width="9" style="35"/>
    <col min="793" max="793" width="10.36328125" style="35" customWidth="1"/>
    <col min="794" max="1024" width="9" style="35"/>
    <col min="1025" max="1025" width="3.6328125" style="35" customWidth="1"/>
    <col min="1026" max="1026" width="8.08984375" style="35" customWidth="1"/>
    <col min="1027" max="1027" width="7.26953125" style="35" customWidth="1"/>
    <col min="1028" max="1029" width="0" style="35" hidden="1" customWidth="1"/>
    <col min="1030" max="1033" width="9" style="35"/>
    <col min="1034" max="1034" width="62" style="35" customWidth="1"/>
    <col min="1035" max="1035" width="8.6328125" style="35" bestFit="1" customWidth="1"/>
    <col min="1036" max="1036" width="11.26953125" style="35" customWidth="1"/>
    <col min="1037" max="1037" width="14.6328125" style="35" customWidth="1"/>
    <col min="1038" max="1038" width="8.7265625" style="35" customWidth="1"/>
    <col min="1039" max="1040" width="9.7265625" style="35" customWidth="1"/>
    <col min="1041" max="1041" width="20" style="35" bestFit="1" customWidth="1"/>
    <col min="1042" max="1042" width="8" style="35" bestFit="1" customWidth="1"/>
    <col min="1043" max="1043" width="8.6328125" style="35" bestFit="1" customWidth="1"/>
    <col min="1044" max="1044" width="7.08984375" style="35" customWidth="1"/>
    <col min="1045" max="1045" width="17.453125" style="35" bestFit="1" customWidth="1"/>
    <col min="1046" max="1046" width="10.36328125" style="35" customWidth="1"/>
    <col min="1047" max="1047" width="7.453125" style="35" customWidth="1"/>
    <col min="1048" max="1048" width="9" style="35"/>
    <col min="1049" max="1049" width="10.36328125" style="35" customWidth="1"/>
    <col min="1050" max="1280" width="9" style="35"/>
    <col min="1281" max="1281" width="3.6328125" style="35" customWidth="1"/>
    <col min="1282" max="1282" width="8.08984375" style="35" customWidth="1"/>
    <col min="1283" max="1283" width="7.26953125" style="35" customWidth="1"/>
    <col min="1284" max="1285" width="0" style="35" hidden="1" customWidth="1"/>
    <col min="1286" max="1289" width="9" style="35"/>
    <col min="1290" max="1290" width="62" style="35" customWidth="1"/>
    <col min="1291" max="1291" width="8.6328125" style="35" bestFit="1" customWidth="1"/>
    <col min="1292" max="1292" width="11.26953125" style="35" customWidth="1"/>
    <col min="1293" max="1293" width="14.6328125" style="35" customWidth="1"/>
    <col min="1294" max="1294" width="8.7265625" style="35" customWidth="1"/>
    <col min="1295" max="1296" width="9.7265625" style="35" customWidth="1"/>
    <col min="1297" max="1297" width="20" style="35" bestFit="1" customWidth="1"/>
    <col min="1298" max="1298" width="8" style="35" bestFit="1" customWidth="1"/>
    <col min="1299" max="1299" width="8.6328125" style="35" bestFit="1" customWidth="1"/>
    <col min="1300" max="1300" width="7.08984375" style="35" customWidth="1"/>
    <col min="1301" max="1301" width="17.453125" style="35" bestFit="1" customWidth="1"/>
    <col min="1302" max="1302" width="10.36328125" style="35" customWidth="1"/>
    <col min="1303" max="1303" width="7.453125" style="35" customWidth="1"/>
    <col min="1304" max="1304" width="9" style="35"/>
    <col min="1305" max="1305" width="10.36328125" style="35" customWidth="1"/>
    <col min="1306" max="1536" width="9" style="35"/>
    <col min="1537" max="1537" width="3.6328125" style="35" customWidth="1"/>
    <col min="1538" max="1538" width="8.08984375" style="35" customWidth="1"/>
    <col min="1539" max="1539" width="7.26953125" style="35" customWidth="1"/>
    <col min="1540" max="1541" width="0" style="35" hidden="1" customWidth="1"/>
    <col min="1542" max="1545" width="9" style="35"/>
    <col min="1546" max="1546" width="62" style="35" customWidth="1"/>
    <col min="1547" max="1547" width="8.6328125" style="35" bestFit="1" customWidth="1"/>
    <col min="1548" max="1548" width="11.26953125" style="35" customWidth="1"/>
    <col min="1549" max="1549" width="14.6328125" style="35" customWidth="1"/>
    <col min="1550" max="1550" width="8.7265625" style="35" customWidth="1"/>
    <col min="1551" max="1552" width="9.7265625" style="35" customWidth="1"/>
    <col min="1553" max="1553" width="20" style="35" bestFit="1" customWidth="1"/>
    <col min="1554" max="1554" width="8" style="35" bestFit="1" customWidth="1"/>
    <col min="1555" max="1555" width="8.6328125" style="35" bestFit="1" customWidth="1"/>
    <col min="1556" max="1556" width="7.08984375" style="35" customWidth="1"/>
    <col min="1557" max="1557" width="17.453125" style="35" bestFit="1" customWidth="1"/>
    <col min="1558" max="1558" width="10.36328125" style="35" customWidth="1"/>
    <col min="1559" max="1559" width="7.453125" style="35" customWidth="1"/>
    <col min="1560" max="1560" width="9" style="35"/>
    <col min="1561" max="1561" width="10.36328125" style="35" customWidth="1"/>
    <col min="1562" max="1792" width="9" style="35"/>
    <col min="1793" max="1793" width="3.6328125" style="35" customWidth="1"/>
    <col min="1794" max="1794" width="8.08984375" style="35" customWidth="1"/>
    <col min="1795" max="1795" width="7.26953125" style="35" customWidth="1"/>
    <col min="1796" max="1797" width="0" style="35" hidden="1" customWidth="1"/>
    <col min="1798" max="1801" width="9" style="35"/>
    <col min="1802" max="1802" width="62" style="35" customWidth="1"/>
    <col min="1803" max="1803" width="8.6328125" style="35" bestFit="1" customWidth="1"/>
    <col min="1804" max="1804" width="11.26953125" style="35" customWidth="1"/>
    <col min="1805" max="1805" width="14.6328125" style="35" customWidth="1"/>
    <col min="1806" max="1806" width="8.7265625" style="35" customWidth="1"/>
    <col min="1807" max="1808" width="9.7265625" style="35" customWidth="1"/>
    <col min="1809" max="1809" width="20" style="35" bestFit="1" customWidth="1"/>
    <col min="1810" max="1810" width="8" style="35" bestFit="1" customWidth="1"/>
    <col min="1811" max="1811" width="8.6328125" style="35" bestFit="1" customWidth="1"/>
    <col min="1812" max="1812" width="7.08984375" style="35" customWidth="1"/>
    <col min="1813" max="1813" width="17.453125" style="35" bestFit="1" customWidth="1"/>
    <col min="1814" max="1814" width="10.36328125" style="35" customWidth="1"/>
    <col min="1815" max="1815" width="7.453125" style="35" customWidth="1"/>
    <col min="1816" max="1816" width="9" style="35"/>
    <col min="1817" max="1817" width="10.36328125" style="35" customWidth="1"/>
    <col min="1818" max="2048" width="9" style="35"/>
    <col min="2049" max="2049" width="3.6328125" style="35" customWidth="1"/>
    <col min="2050" max="2050" width="8.08984375" style="35" customWidth="1"/>
    <col min="2051" max="2051" width="7.26953125" style="35" customWidth="1"/>
    <col min="2052" max="2053" width="0" style="35" hidden="1" customWidth="1"/>
    <col min="2054" max="2057" width="9" style="35"/>
    <col min="2058" max="2058" width="62" style="35" customWidth="1"/>
    <col min="2059" max="2059" width="8.6328125" style="35" bestFit="1" customWidth="1"/>
    <col min="2060" max="2060" width="11.26953125" style="35" customWidth="1"/>
    <col min="2061" max="2061" width="14.6328125" style="35" customWidth="1"/>
    <col min="2062" max="2062" width="8.7265625" style="35" customWidth="1"/>
    <col min="2063" max="2064" width="9.7265625" style="35" customWidth="1"/>
    <col min="2065" max="2065" width="20" style="35" bestFit="1" customWidth="1"/>
    <col min="2066" max="2066" width="8" style="35" bestFit="1" customWidth="1"/>
    <col min="2067" max="2067" width="8.6328125" style="35" bestFit="1" customWidth="1"/>
    <col min="2068" max="2068" width="7.08984375" style="35" customWidth="1"/>
    <col min="2069" max="2069" width="17.453125" style="35" bestFit="1" customWidth="1"/>
    <col min="2070" max="2070" width="10.36328125" style="35" customWidth="1"/>
    <col min="2071" max="2071" width="7.453125" style="35" customWidth="1"/>
    <col min="2072" max="2072" width="9" style="35"/>
    <col min="2073" max="2073" width="10.36328125" style="35" customWidth="1"/>
    <col min="2074" max="2304" width="9" style="35"/>
    <col min="2305" max="2305" width="3.6328125" style="35" customWidth="1"/>
    <col min="2306" max="2306" width="8.08984375" style="35" customWidth="1"/>
    <col min="2307" max="2307" width="7.26953125" style="35" customWidth="1"/>
    <col min="2308" max="2309" width="0" style="35" hidden="1" customWidth="1"/>
    <col min="2310" max="2313" width="9" style="35"/>
    <col min="2314" max="2314" width="62" style="35" customWidth="1"/>
    <col min="2315" max="2315" width="8.6328125" style="35" bestFit="1" customWidth="1"/>
    <col min="2316" max="2316" width="11.26953125" style="35" customWidth="1"/>
    <col min="2317" max="2317" width="14.6328125" style="35" customWidth="1"/>
    <col min="2318" max="2318" width="8.7265625" style="35" customWidth="1"/>
    <col min="2319" max="2320" width="9.7265625" style="35" customWidth="1"/>
    <col min="2321" max="2321" width="20" style="35" bestFit="1" customWidth="1"/>
    <col min="2322" max="2322" width="8" style="35" bestFit="1" customWidth="1"/>
    <col min="2323" max="2323" width="8.6328125" style="35" bestFit="1" customWidth="1"/>
    <col min="2324" max="2324" width="7.08984375" style="35" customWidth="1"/>
    <col min="2325" max="2325" width="17.453125" style="35" bestFit="1" customWidth="1"/>
    <col min="2326" max="2326" width="10.36328125" style="35" customWidth="1"/>
    <col min="2327" max="2327" width="7.453125" style="35" customWidth="1"/>
    <col min="2328" max="2328" width="9" style="35"/>
    <col min="2329" max="2329" width="10.36328125" style="35" customWidth="1"/>
    <col min="2330" max="2560" width="9" style="35"/>
    <col min="2561" max="2561" width="3.6328125" style="35" customWidth="1"/>
    <col min="2562" max="2562" width="8.08984375" style="35" customWidth="1"/>
    <col min="2563" max="2563" width="7.26953125" style="35" customWidth="1"/>
    <col min="2564" max="2565" width="0" style="35" hidden="1" customWidth="1"/>
    <col min="2566" max="2569" width="9" style="35"/>
    <col min="2570" max="2570" width="62" style="35" customWidth="1"/>
    <col min="2571" max="2571" width="8.6328125" style="35" bestFit="1" customWidth="1"/>
    <col min="2572" max="2572" width="11.26953125" style="35" customWidth="1"/>
    <col min="2573" max="2573" width="14.6328125" style="35" customWidth="1"/>
    <col min="2574" max="2574" width="8.7265625" style="35" customWidth="1"/>
    <col min="2575" max="2576" width="9.7265625" style="35" customWidth="1"/>
    <col min="2577" max="2577" width="20" style="35" bestFit="1" customWidth="1"/>
    <col min="2578" max="2578" width="8" style="35" bestFit="1" customWidth="1"/>
    <col min="2579" max="2579" width="8.6328125" style="35" bestFit="1" customWidth="1"/>
    <col min="2580" max="2580" width="7.08984375" style="35" customWidth="1"/>
    <col min="2581" max="2581" width="17.453125" style="35" bestFit="1" customWidth="1"/>
    <col min="2582" max="2582" width="10.36328125" style="35" customWidth="1"/>
    <col min="2583" max="2583" width="7.453125" style="35" customWidth="1"/>
    <col min="2584" max="2584" width="9" style="35"/>
    <col min="2585" max="2585" width="10.36328125" style="35" customWidth="1"/>
    <col min="2586" max="2816" width="9" style="35"/>
    <col min="2817" max="2817" width="3.6328125" style="35" customWidth="1"/>
    <col min="2818" max="2818" width="8.08984375" style="35" customWidth="1"/>
    <col min="2819" max="2819" width="7.26953125" style="35" customWidth="1"/>
    <col min="2820" max="2821" width="0" style="35" hidden="1" customWidth="1"/>
    <col min="2822" max="2825" width="9" style="35"/>
    <col min="2826" max="2826" width="62" style="35" customWidth="1"/>
    <col min="2827" max="2827" width="8.6328125" style="35" bestFit="1" customWidth="1"/>
    <col min="2828" max="2828" width="11.26953125" style="35" customWidth="1"/>
    <col min="2829" max="2829" width="14.6328125" style="35" customWidth="1"/>
    <col min="2830" max="2830" width="8.7265625" style="35" customWidth="1"/>
    <col min="2831" max="2832" width="9.7265625" style="35" customWidth="1"/>
    <col min="2833" max="2833" width="20" style="35" bestFit="1" customWidth="1"/>
    <col min="2834" max="2834" width="8" style="35" bestFit="1" customWidth="1"/>
    <col min="2835" max="2835" width="8.6328125" style="35" bestFit="1" customWidth="1"/>
    <col min="2836" max="2836" width="7.08984375" style="35" customWidth="1"/>
    <col min="2837" max="2837" width="17.453125" style="35" bestFit="1" customWidth="1"/>
    <col min="2838" max="2838" width="10.36328125" style="35" customWidth="1"/>
    <col min="2839" max="2839" width="7.453125" style="35" customWidth="1"/>
    <col min="2840" max="2840" width="9" style="35"/>
    <col min="2841" max="2841" width="10.36328125" style="35" customWidth="1"/>
    <col min="2842" max="3072" width="9" style="35"/>
    <col min="3073" max="3073" width="3.6328125" style="35" customWidth="1"/>
    <col min="3074" max="3074" width="8.08984375" style="35" customWidth="1"/>
    <col min="3075" max="3075" width="7.26953125" style="35" customWidth="1"/>
    <col min="3076" max="3077" width="0" style="35" hidden="1" customWidth="1"/>
    <col min="3078" max="3081" width="9" style="35"/>
    <col min="3082" max="3082" width="62" style="35" customWidth="1"/>
    <col min="3083" max="3083" width="8.6328125" style="35" bestFit="1" customWidth="1"/>
    <col min="3084" max="3084" width="11.26953125" style="35" customWidth="1"/>
    <col min="3085" max="3085" width="14.6328125" style="35" customWidth="1"/>
    <col min="3086" max="3086" width="8.7265625" style="35" customWidth="1"/>
    <col min="3087" max="3088" width="9.7265625" style="35" customWidth="1"/>
    <col min="3089" max="3089" width="20" style="35" bestFit="1" customWidth="1"/>
    <col min="3090" max="3090" width="8" style="35" bestFit="1" customWidth="1"/>
    <col min="3091" max="3091" width="8.6328125" style="35" bestFit="1" customWidth="1"/>
    <col min="3092" max="3092" width="7.08984375" style="35" customWidth="1"/>
    <col min="3093" max="3093" width="17.453125" style="35" bestFit="1" customWidth="1"/>
    <col min="3094" max="3094" width="10.36328125" style="35" customWidth="1"/>
    <col min="3095" max="3095" width="7.453125" style="35" customWidth="1"/>
    <col min="3096" max="3096" width="9" style="35"/>
    <col min="3097" max="3097" width="10.36328125" style="35" customWidth="1"/>
    <col min="3098" max="3328" width="9" style="35"/>
    <col min="3329" max="3329" width="3.6328125" style="35" customWidth="1"/>
    <col min="3330" max="3330" width="8.08984375" style="35" customWidth="1"/>
    <col min="3331" max="3331" width="7.26953125" style="35" customWidth="1"/>
    <col min="3332" max="3333" width="0" style="35" hidden="1" customWidth="1"/>
    <col min="3334" max="3337" width="9" style="35"/>
    <col min="3338" max="3338" width="62" style="35" customWidth="1"/>
    <col min="3339" max="3339" width="8.6328125" style="35" bestFit="1" customWidth="1"/>
    <col min="3340" max="3340" width="11.26953125" style="35" customWidth="1"/>
    <col min="3341" max="3341" width="14.6328125" style="35" customWidth="1"/>
    <col min="3342" max="3342" width="8.7265625" style="35" customWidth="1"/>
    <col min="3343" max="3344" width="9.7265625" style="35" customWidth="1"/>
    <col min="3345" max="3345" width="20" style="35" bestFit="1" customWidth="1"/>
    <col min="3346" max="3346" width="8" style="35" bestFit="1" customWidth="1"/>
    <col min="3347" max="3347" width="8.6328125" style="35" bestFit="1" customWidth="1"/>
    <col min="3348" max="3348" width="7.08984375" style="35" customWidth="1"/>
    <col min="3349" max="3349" width="17.453125" style="35" bestFit="1" customWidth="1"/>
    <col min="3350" max="3350" width="10.36328125" style="35" customWidth="1"/>
    <col min="3351" max="3351" width="7.453125" style="35" customWidth="1"/>
    <col min="3352" max="3352" width="9" style="35"/>
    <col min="3353" max="3353" width="10.36328125" style="35" customWidth="1"/>
    <col min="3354" max="3584" width="9" style="35"/>
    <col min="3585" max="3585" width="3.6328125" style="35" customWidth="1"/>
    <col min="3586" max="3586" width="8.08984375" style="35" customWidth="1"/>
    <col min="3587" max="3587" width="7.26953125" style="35" customWidth="1"/>
    <col min="3588" max="3589" width="0" style="35" hidden="1" customWidth="1"/>
    <col min="3590" max="3593" width="9" style="35"/>
    <col min="3594" max="3594" width="62" style="35" customWidth="1"/>
    <col min="3595" max="3595" width="8.6328125" style="35" bestFit="1" customWidth="1"/>
    <col min="3596" max="3596" width="11.26953125" style="35" customWidth="1"/>
    <col min="3597" max="3597" width="14.6328125" style="35" customWidth="1"/>
    <col min="3598" max="3598" width="8.7265625" style="35" customWidth="1"/>
    <col min="3599" max="3600" width="9.7265625" style="35" customWidth="1"/>
    <col min="3601" max="3601" width="20" style="35" bestFit="1" customWidth="1"/>
    <col min="3602" max="3602" width="8" style="35" bestFit="1" customWidth="1"/>
    <col min="3603" max="3603" width="8.6328125" style="35" bestFit="1" customWidth="1"/>
    <col min="3604" max="3604" width="7.08984375" style="35" customWidth="1"/>
    <col min="3605" max="3605" width="17.453125" style="35" bestFit="1" customWidth="1"/>
    <col min="3606" max="3606" width="10.36328125" style="35" customWidth="1"/>
    <col min="3607" max="3607" width="7.453125" style="35" customWidth="1"/>
    <col min="3608" max="3608" width="9" style="35"/>
    <col min="3609" max="3609" width="10.36328125" style="35" customWidth="1"/>
    <col min="3610" max="3840" width="9" style="35"/>
    <col min="3841" max="3841" width="3.6328125" style="35" customWidth="1"/>
    <col min="3842" max="3842" width="8.08984375" style="35" customWidth="1"/>
    <col min="3843" max="3843" width="7.26953125" style="35" customWidth="1"/>
    <col min="3844" max="3845" width="0" style="35" hidden="1" customWidth="1"/>
    <col min="3846" max="3849" width="9" style="35"/>
    <col min="3850" max="3850" width="62" style="35" customWidth="1"/>
    <col min="3851" max="3851" width="8.6328125" style="35" bestFit="1" customWidth="1"/>
    <col min="3852" max="3852" width="11.26953125" style="35" customWidth="1"/>
    <col min="3853" max="3853" width="14.6328125" style="35" customWidth="1"/>
    <col min="3854" max="3854" width="8.7265625" style="35" customWidth="1"/>
    <col min="3855" max="3856" width="9.7265625" style="35" customWidth="1"/>
    <col min="3857" max="3857" width="20" style="35" bestFit="1" customWidth="1"/>
    <col min="3858" max="3858" width="8" style="35" bestFit="1" customWidth="1"/>
    <col min="3859" max="3859" width="8.6328125" style="35" bestFit="1" customWidth="1"/>
    <col min="3860" max="3860" width="7.08984375" style="35" customWidth="1"/>
    <col min="3861" max="3861" width="17.453125" style="35" bestFit="1" customWidth="1"/>
    <col min="3862" max="3862" width="10.36328125" style="35" customWidth="1"/>
    <col min="3863" max="3863" width="7.453125" style="35" customWidth="1"/>
    <col min="3864" max="3864" width="9" style="35"/>
    <col min="3865" max="3865" width="10.36328125" style="35" customWidth="1"/>
    <col min="3866" max="4096" width="9" style="35"/>
    <col min="4097" max="4097" width="3.6328125" style="35" customWidth="1"/>
    <col min="4098" max="4098" width="8.08984375" style="35" customWidth="1"/>
    <col min="4099" max="4099" width="7.26953125" style="35" customWidth="1"/>
    <col min="4100" max="4101" width="0" style="35" hidden="1" customWidth="1"/>
    <col min="4102" max="4105" width="9" style="35"/>
    <col min="4106" max="4106" width="62" style="35" customWidth="1"/>
    <col min="4107" max="4107" width="8.6328125" style="35" bestFit="1" customWidth="1"/>
    <col min="4108" max="4108" width="11.26953125" style="35" customWidth="1"/>
    <col min="4109" max="4109" width="14.6328125" style="35" customWidth="1"/>
    <col min="4110" max="4110" width="8.7265625" style="35" customWidth="1"/>
    <col min="4111" max="4112" width="9.7265625" style="35" customWidth="1"/>
    <col min="4113" max="4113" width="20" style="35" bestFit="1" customWidth="1"/>
    <col min="4114" max="4114" width="8" style="35" bestFit="1" customWidth="1"/>
    <col min="4115" max="4115" width="8.6328125" style="35" bestFit="1" customWidth="1"/>
    <col min="4116" max="4116" width="7.08984375" style="35" customWidth="1"/>
    <col min="4117" max="4117" width="17.453125" style="35" bestFit="1" customWidth="1"/>
    <col min="4118" max="4118" width="10.36328125" style="35" customWidth="1"/>
    <col min="4119" max="4119" width="7.453125" style="35" customWidth="1"/>
    <col min="4120" max="4120" width="9" style="35"/>
    <col min="4121" max="4121" width="10.36328125" style="35" customWidth="1"/>
    <col min="4122" max="4352" width="9" style="35"/>
    <col min="4353" max="4353" width="3.6328125" style="35" customWidth="1"/>
    <col min="4354" max="4354" width="8.08984375" style="35" customWidth="1"/>
    <col min="4355" max="4355" width="7.26953125" style="35" customWidth="1"/>
    <col min="4356" max="4357" width="0" style="35" hidden="1" customWidth="1"/>
    <col min="4358" max="4361" width="9" style="35"/>
    <col min="4362" max="4362" width="62" style="35" customWidth="1"/>
    <col min="4363" max="4363" width="8.6328125" style="35" bestFit="1" customWidth="1"/>
    <col min="4364" max="4364" width="11.26953125" style="35" customWidth="1"/>
    <col min="4365" max="4365" width="14.6328125" style="35" customWidth="1"/>
    <col min="4366" max="4366" width="8.7265625" style="35" customWidth="1"/>
    <col min="4367" max="4368" width="9.7265625" style="35" customWidth="1"/>
    <col min="4369" max="4369" width="20" style="35" bestFit="1" customWidth="1"/>
    <col min="4370" max="4370" width="8" style="35" bestFit="1" customWidth="1"/>
    <col min="4371" max="4371" width="8.6328125" style="35" bestFit="1" customWidth="1"/>
    <col min="4372" max="4372" width="7.08984375" style="35" customWidth="1"/>
    <col min="4373" max="4373" width="17.453125" style="35" bestFit="1" customWidth="1"/>
    <col min="4374" max="4374" width="10.36328125" style="35" customWidth="1"/>
    <col min="4375" max="4375" width="7.453125" style="35" customWidth="1"/>
    <col min="4376" max="4376" width="9" style="35"/>
    <col min="4377" max="4377" width="10.36328125" style="35" customWidth="1"/>
    <col min="4378" max="4608" width="9" style="35"/>
    <col min="4609" max="4609" width="3.6328125" style="35" customWidth="1"/>
    <col min="4610" max="4610" width="8.08984375" style="35" customWidth="1"/>
    <col min="4611" max="4611" width="7.26953125" style="35" customWidth="1"/>
    <col min="4612" max="4613" width="0" style="35" hidden="1" customWidth="1"/>
    <col min="4614" max="4617" width="9" style="35"/>
    <col min="4618" max="4618" width="62" style="35" customWidth="1"/>
    <col min="4619" max="4619" width="8.6328125" style="35" bestFit="1" customWidth="1"/>
    <col min="4620" max="4620" width="11.26953125" style="35" customWidth="1"/>
    <col min="4621" max="4621" width="14.6328125" style="35" customWidth="1"/>
    <col min="4622" max="4622" width="8.7265625" style="35" customWidth="1"/>
    <col min="4623" max="4624" width="9.7265625" style="35" customWidth="1"/>
    <col min="4625" max="4625" width="20" style="35" bestFit="1" customWidth="1"/>
    <col min="4626" max="4626" width="8" style="35" bestFit="1" customWidth="1"/>
    <col min="4627" max="4627" width="8.6328125" style="35" bestFit="1" customWidth="1"/>
    <col min="4628" max="4628" width="7.08984375" style="35" customWidth="1"/>
    <col min="4629" max="4629" width="17.453125" style="35" bestFit="1" customWidth="1"/>
    <col min="4630" max="4630" width="10.36328125" style="35" customWidth="1"/>
    <col min="4631" max="4631" width="7.453125" style="35" customWidth="1"/>
    <col min="4632" max="4632" width="9" style="35"/>
    <col min="4633" max="4633" width="10.36328125" style="35" customWidth="1"/>
    <col min="4634" max="4864" width="9" style="35"/>
    <col min="4865" max="4865" width="3.6328125" style="35" customWidth="1"/>
    <col min="4866" max="4866" width="8.08984375" style="35" customWidth="1"/>
    <col min="4867" max="4867" width="7.26953125" style="35" customWidth="1"/>
    <col min="4868" max="4869" width="0" style="35" hidden="1" customWidth="1"/>
    <col min="4870" max="4873" width="9" style="35"/>
    <col min="4874" max="4874" width="62" style="35" customWidth="1"/>
    <col min="4875" max="4875" width="8.6328125" style="35" bestFit="1" customWidth="1"/>
    <col min="4876" max="4876" width="11.26953125" style="35" customWidth="1"/>
    <col min="4877" max="4877" width="14.6328125" style="35" customWidth="1"/>
    <col min="4878" max="4878" width="8.7265625" style="35" customWidth="1"/>
    <col min="4879" max="4880" width="9.7265625" style="35" customWidth="1"/>
    <col min="4881" max="4881" width="20" style="35" bestFit="1" customWidth="1"/>
    <col min="4882" max="4882" width="8" style="35" bestFit="1" customWidth="1"/>
    <col min="4883" max="4883" width="8.6328125" style="35" bestFit="1" customWidth="1"/>
    <col min="4884" max="4884" width="7.08984375" style="35" customWidth="1"/>
    <col min="4885" max="4885" width="17.453125" style="35" bestFit="1" customWidth="1"/>
    <col min="4886" max="4886" width="10.36328125" style="35" customWidth="1"/>
    <col min="4887" max="4887" width="7.453125" style="35" customWidth="1"/>
    <col min="4888" max="4888" width="9" style="35"/>
    <col min="4889" max="4889" width="10.36328125" style="35" customWidth="1"/>
    <col min="4890" max="5120" width="9" style="35"/>
    <col min="5121" max="5121" width="3.6328125" style="35" customWidth="1"/>
    <col min="5122" max="5122" width="8.08984375" style="35" customWidth="1"/>
    <col min="5123" max="5123" width="7.26953125" style="35" customWidth="1"/>
    <col min="5124" max="5125" width="0" style="35" hidden="1" customWidth="1"/>
    <col min="5126" max="5129" width="9" style="35"/>
    <col min="5130" max="5130" width="62" style="35" customWidth="1"/>
    <col min="5131" max="5131" width="8.6328125" style="35" bestFit="1" customWidth="1"/>
    <col min="5132" max="5132" width="11.26953125" style="35" customWidth="1"/>
    <col min="5133" max="5133" width="14.6328125" style="35" customWidth="1"/>
    <col min="5134" max="5134" width="8.7265625" style="35" customWidth="1"/>
    <col min="5135" max="5136" width="9.7265625" style="35" customWidth="1"/>
    <col min="5137" max="5137" width="20" style="35" bestFit="1" customWidth="1"/>
    <col min="5138" max="5138" width="8" style="35" bestFit="1" customWidth="1"/>
    <col min="5139" max="5139" width="8.6328125" style="35" bestFit="1" customWidth="1"/>
    <col min="5140" max="5140" width="7.08984375" style="35" customWidth="1"/>
    <col min="5141" max="5141" width="17.453125" style="35" bestFit="1" customWidth="1"/>
    <col min="5142" max="5142" width="10.36328125" style="35" customWidth="1"/>
    <col min="5143" max="5143" width="7.453125" style="35" customWidth="1"/>
    <col min="5144" max="5144" width="9" style="35"/>
    <col min="5145" max="5145" width="10.36328125" style="35" customWidth="1"/>
    <col min="5146" max="5376" width="9" style="35"/>
    <col min="5377" max="5377" width="3.6328125" style="35" customWidth="1"/>
    <col min="5378" max="5378" width="8.08984375" style="35" customWidth="1"/>
    <col min="5379" max="5379" width="7.26953125" style="35" customWidth="1"/>
    <col min="5380" max="5381" width="0" style="35" hidden="1" customWidth="1"/>
    <col min="5382" max="5385" width="9" style="35"/>
    <col min="5386" max="5386" width="62" style="35" customWidth="1"/>
    <col min="5387" max="5387" width="8.6328125" style="35" bestFit="1" customWidth="1"/>
    <col min="5388" max="5388" width="11.26953125" style="35" customWidth="1"/>
    <col min="5389" max="5389" width="14.6328125" style="35" customWidth="1"/>
    <col min="5390" max="5390" width="8.7265625" style="35" customWidth="1"/>
    <col min="5391" max="5392" width="9.7265625" style="35" customWidth="1"/>
    <col min="5393" max="5393" width="20" style="35" bestFit="1" customWidth="1"/>
    <col min="5394" max="5394" width="8" style="35" bestFit="1" customWidth="1"/>
    <col min="5395" max="5395" width="8.6328125" style="35" bestFit="1" customWidth="1"/>
    <col min="5396" max="5396" width="7.08984375" style="35" customWidth="1"/>
    <col min="5397" max="5397" width="17.453125" style="35" bestFit="1" customWidth="1"/>
    <col min="5398" max="5398" width="10.36328125" style="35" customWidth="1"/>
    <col min="5399" max="5399" width="7.453125" style="35" customWidth="1"/>
    <col min="5400" max="5400" width="9" style="35"/>
    <col min="5401" max="5401" width="10.36328125" style="35" customWidth="1"/>
    <col min="5402" max="5632" width="9" style="35"/>
    <col min="5633" max="5633" width="3.6328125" style="35" customWidth="1"/>
    <col min="5634" max="5634" width="8.08984375" style="35" customWidth="1"/>
    <col min="5635" max="5635" width="7.26953125" style="35" customWidth="1"/>
    <col min="5636" max="5637" width="0" style="35" hidden="1" customWidth="1"/>
    <col min="5638" max="5641" width="9" style="35"/>
    <col min="5642" max="5642" width="62" style="35" customWidth="1"/>
    <col min="5643" max="5643" width="8.6328125" style="35" bestFit="1" customWidth="1"/>
    <col min="5644" max="5644" width="11.26953125" style="35" customWidth="1"/>
    <col min="5645" max="5645" width="14.6328125" style="35" customWidth="1"/>
    <col min="5646" max="5646" width="8.7265625" style="35" customWidth="1"/>
    <col min="5647" max="5648" width="9.7265625" style="35" customWidth="1"/>
    <col min="5649" max="5649" width="20" style="35" bestFit="1" customWidth="1"/>
    <col min="5650" max="5650" width="8" style="35" bestFit="1" customWidth="1"/>
    <col min="5651" max="5651" width="8.6328125" style="35" bestFit="1" customWidth="1"/>
    <col min="5652" max="5652" width="7.08984375" style="35" customWidth="1"/>
    <col min="5653" max="5653" width="17.453125" style="35" bestFit="1" customWidth="1"/>
    <col min="5654" max="5654" width="10.36328125" style="35" customWidth="1"/>
    <col min="5655" max="5655" width="7.453125" style="35" customWidth="1"/>
    <col min="5656" max="5656" width="9" style="35"/>
    <col min="5657" max="5657" width="10.36328125" style="35" customWidth="1"/>
    <col min="5658" max="5888" width="9" style="35"/>
    <col min="5889" max="5889" width="3.6328125" style="35" customWidth="1"/>
    <col min="5890" max="5890" width="8.08984375" style="35" customWidth="1"/>
    <col min="5891" max="5891" width="7.26953125" style="35" customWidth="1"/>
    <col min="5892" max="5893" width="0" style="35" hidden="1" customWidth="1"/>
    <col min="5894" max="5897" width="9" style="35"/>
    <col min="5898" max="5898" width="62" style="35" customWidth="1"/>
    <col min="5899" max="5899" width="8.6328125" style="35" bestFit="1" customWidth="1"/>
    <col min="5900" max="5900" width="11.26953125" style="35" customWidth="1"/>
    <col min="5901" max="5901" width="14.6328125" style="35" customWidth="1"/>
    <col min="5902" max="5902" width="8.7265625" style="35" customWidth="1"/>
    <col min="5903" max="5904" width="9.7265625" style="35" customWidth="1"/>
    <col min="5905" max="5905" width="20" style="35" bestFit="1" customWidth="1"/>
    <col min="5906" max="5906" width="8" style="35" bestFit="1" customWidth="1"/>
    <col min="5907" max="5907" width="8.6328125" style="35" bestFit="1" customWidth="1"/>
    <col min="5908" max="5908" width="7.08984375" style="35" customWidth="1"/>
    <col min="5909" max="5909" width="17.453125" style="35" bestFit="1" customWidth="1"/>
    <col min="5910" max="5910" width="10.36328125" style="35" customWidth="1"/>
    <col min="5911" max="5911" width="7.453125" style="35" customWidth="1"/>
    <col min="5912" max="5912" width="9" style="35"/>
    <col min="5913" max="5913" width="10.36328125" style="35" customWidth="1"/>
    <col min="5914" max="6144" width="9" style="35"/>
    <col min="6145" max="6145" width="3.6328125" style="35" customWidth="1"/>
    <col min="6146" max="6146" width="8.08984375" style="35" customWidth="1"/>
    <col min="6147" max="6147" width="7.26953125" style="35" customWidth="1"/>
    <col min="6148" max="6149" width="0" style="35" hidden="1" customWidth="1"/>
    <col min="6150" max="6153" width="9" style="35"/>
    <col min="6154" max="6154" width="62" style="35" customWidth="1"/>
    <col min="6155" max="6155" width="8.6328125" style="35" bestFit="1" customWidth="1"/>
    <col min="6156" max="6156" width="11.26953125" style="35" customWidth="1"/>
    <col min="6157" max="6157" width="14.6328125" style="35" customWidth="1"/>
    <col min="6158" max="6158" width="8.7265625" style="35" customWidth="1"/>
    <col min="6159" max="6160" width="9.7265625" style="35" customWidth="1"/>
    <col min="6161" max="6161" width="20" style="35" bestFit="1" customWidth="1"/>
    <col min="6162" max="6162" width="8" style="35" bestFit="1" customWidth="1"/>
    <col min="6163" max="6163" width="8.6328125" style="35" bestFit="1" customWidth="1"/>
    <col min="6164" max="6164" width="7.08984375" style="35" customWidth="1"/>
    <col min="6165" max="6165" width="17.453125" style="35" bestFit="1" customWidth="1"/>
    <col min="6166" max="6166" width="10.36328125" style="35" customWidth="1"/>
    <col min="6167" max="6167" width="7.453125" style="35" customWidth="1"/>
    <col min="6168" max="6168" width="9" style="35"/>
    <col min="6169" max="6169" width="10.36328125" style="35" customWidth="1"/>
    <col min="6170" max="6400" width="9" style="35"/>
    <col min="6401" max="6401" width="3.6328125" style="35" customWidth="1"/>
    <col min="6402" max="6402" width="8.08984375" style="35" customWidth="1"/>
    <col min="6403" max="6403" width="7.26953125" style="35" customWidth="1"/>
    <col min="6404" max="6405" width="0" style="35" hidden="1" customWidth="1"/>
    <col min="6406" max="6409" width="9" style="35"/>
    <col min="6410" max="6410" width="62" style="35" customWidth="1"/>
    <col min="6411" max="6411" width="8.6328125" style="35" bestFit="1" customWidth="1"/>
    <col min="6412" max="6412" width="11.26953125" style="35" customWidth="1"/>
    <col min="6413" max="6413" width="14.6328125" style="35" customWidth="1"/>
    <col min="6414" max="6414" width="8.7265625" style="35" customWidth="1"/>
    <col min="6415" max="6416" width="9.7265625" style="35" customWidth="1"/>
    <col min="6417" max="6417" width="20" style="35" bestFit="1" customWidth="1"/>
    <col min="6418" max="6418" width="8" style="35" bestFit="1" customWidth="1"/>
    <col min="6419" max="6419" width="8.6328125" style="35" bestFit="1" customWidth="1"/>
    <col min="6420" max="6420" width="7.08984375" style="35" customWidth="1"/>
    <col min="6421" max="6421" width="17.453125" style="35" bestFit="1" customWidth="1"/>
    <col min="6422" max="6422" width="10.36328125" style="35" customWidth="1"/>
    <col min="6423" max="6423" width="7.453125" style="35" customWidth="1"/>
    <col min="6424" max="6424" width="9" style="35"/>
    <col min="6425" max="6425" width="10.36328125" style="35" customWidth="1"/>
    <col min="6426" max="6656" width="9" style="35"/>
    <col min="6657" max="6657" width="3.6328125" style="35" customWidth="1"/>
    <col min="6658" max="6658" width="8.08984375" style="35" customWidth="1"/>
    <col min="6659" max="6659" width="7.26953125" style="35" customWidth="1"/>
    <col min="6660" max="6661" width="0" style="35" hidden="1" customWidth="1"/>
    <col min="6662" max="6665" width="9" style="35"/>
    <col min="6666" max="6666" width="62" style="35" customWidth="1"/>
    <col min="6667" max="6667" width="8.6328125" style="35" bestFit="1" customWidth="1"/>
    <col min="6668" max="6668" width="11.26953125" style="35" customWidth="1"/>
    <col min="6669" max="6669" width="14.6328125" style="35" customWidth="1"/>
    <col min="6670" max="6670" width="8.7265625" style="35" customWidth="1"/>
    <col min="6671" max="6672" width="9.7265625" style="35" customWidth="1"/>
    <col min="6673" max="6673" width="20" style="35" bestFit="1" customWidth="1"/>
    <col min="6674" max="6674" width="8" style="35" bestFit="1" customWidth="1"/>
    <col min="6675" max="6675" width="8.6328125" style="35" bestFit="1" customWidth="1"/>
    <col min="6676" max="6676" width="7.08984375" style="35" customWidth="1"/>
    <col min="6677" max="6677" width="17.453125" style="35" bestFit="1" customWidth="1"/>
    <col min="6678" max="6678" width="10.36328125" style="35" customWidth="1"/>
    <col min="6679" max="6679" width="7.453125" style="35" customWidth="1"/>
    <col min="6680" max="6680" width="9" style="35"/>
    <col min="6681" max="6681" width="10.36328125" style="35" customWidth="1"/>
    <col min="6682" max="6912" width="9" style="35"/>
    <col min="6913" max="6913" width="3.6328125" style="35" customWidth="1"/>
    <col min="6914" max="6914" width="8.08984375" style="35" customWidth="1"/>
    <col min="6915" max="6915" width="7.26953125" style="35" customWidth="1"/>
    <col min="6916" max="6917" width="0" style="35" hidden="1" customWidth="1"/>
    <col min="6918" max="6921" width="9" style="35"/>
    <col min="6922" max="6922" width="62" style="35" customWidth="1"/>
    <col min="6923" max="6923" width="8.6328125" style="35" bestFit="1" customWidth="1"/>
    <col min="6924" max="6924" width="11.26953125" style="35" customWidth="1"/>
    <col min="6925" max="6925" width="14.6328125" style="35" customWidth="1"/>
    <col min="6926" max="6926" width="8.7265625" style="35" customWidth="1"/>
    <col min="6927" max="6928" width="9.7265625" style="35" customWidth="1"/>
    <col min="6929" max="6929" width="20" style="35" bestFit="1" customWidth="1"/>
    <col min="6930" max="6930" width="8" style="35" bestFit="1" customWidth="1"/>
    <col min="6931" max="6931" width="8.6328125" style="35" bestFit="1" customWidth="1"/>
    <col min="6932" max="6932" width="7.08984375" style="35" customWidth="1"/>
    <col min="6933" max="6933" width="17.453125" style="35" bestFit="1" customWidth="1"/>
    <col min="6934" max="6934" width="10.36328125" style="35" customWidth="1"/>
    <col min="6935" max="6935" width="7.453125" style="35" customWidth="1"/>
    <col min="6936" max="6936" width="9" style="35"/>
    <col min="6937" max="6937" width="10.36328125" style="35" customWidth="1"/>
    <col min="6938" max="7168" width="9" style="35"/>
    <col min="7169" max="7169" width="3.6328125" style="35" customWidth="1"/>
    <col min="7170" max="7170" width="8.08984375" style="35" customWidth="1"/>
    <col min="7171" max="7171" width="7.26953125" style="35" customWidth="1"/>
    <col min="7172" max="7173" width="0" style="35" hidden="1" customWidth="1"/>
    <col min="7174" max="7177" width="9" style="35"/>
    <col min="7178" max="7178" width="62" style="35" customWidth="1"/>
    <col min="7179" max="7179" width="8.6328125" style="35" bestFit="1" customWidth="1"/>
    <col min="7180" max="7180" width="11.26953125" style="35" customWidth="1"/>
    <col min="7181" max="7181" width="14.6328125" style="35" customWidth="1"/>
    <col min="7182" max="7182" width="8.7265625" style="35" customWidth="1"/>
    <col min="7183" max="7184" width="9.7265625" style="35" customWidth="1"/>
    <col min="7185" max="7185" width="20" style="35" bestFit="1" customWidth="1"/>
    <col min="7186" max="7186" width="8" style="35" bestFit="1" customWidth="1"/>
    <col min="7187" max="7187" width="8.6328125" style="35" bestFit="1" customWidth="1"/>
    <col min="7188" max="7188" width="7.08984375" style="35" customWidth="1"/>
    <col min="7189" max="7189" width="17.453125" style="35" bestFit="1" customWidth="1"/>
    <col min="7190" max="7190" width="10.36328125" style="35" customWidth="1"/>
    <col min="7191" max="7191" width="7.453125" style="35" customWidth="1"/>
    <col min="7192" max="7192" width="9" style="35"/>
    <col min="7193" max="7193" width="10.36328125" style="35" customWidth="1"/>
    <col min="7194" max="7424" width="9" style="35"/>
    <col min="7425" max="7425" width="3.6328125" style="35" customWidth="1"/>
    <col min="7426" max="7426" width="8.08984375" style="35" customWidth="1"/>
    <col min="7427" max="7427" width="7.26953125" style="35" customWidth="1"/>
    <col min="7428" max="7429" width="0" style="35" hidden="1" customWidth="1"/>
    <col min="7430" max="7433" width="9" style="35"/>
    <col min="7434" max="7434" width="62" style="35" customWidth="1"/>
    <col min="7435" max="7435" width="8.6328125" style="35" bestFit="1" customWidth="1"/>
    <col min="7436" max="7436" width="11.26953125" style="35" customWidth="1"/>
    <col min="7437" max="7437" width="14.6328125" style="35" customWidth="1"/>
    <col min="7438" max="7438" width="8.7265625" style="35" customWidth="1"/>
    <col min="7439" max="7440" width="9.7265625" style="35" customWidth="1"/>
    <col min="7441" max="7441" width="20" style="35" bestFit="1" customWidth="1"/>
    <col min="7442" max="7442" width="8" style="35" bestFit="1" customWidth="1"/>
    <col min="7443" max="7443" width="8.6328125" style="35" bestFit="1" customWidth="1"/>
    <col min="7444" max="7444" width="7.08984375" style="35" customWidth="1"/>
    <col min="7445" max="7445" width="17.453125" style="35" bestFit="1" customWidth="1"/>
    <col min="7446" max="7446" width="10.36328125" style="35" customWidth="1"/>
    <col min="7447" max="7447" width="7.453125" style="35" customWidth="1"/>
    <col min="7448" max="7448" width="9" style="35"/>
    <col min="7449" max="7449" width="10.36328125" style="35" customWidth="1"/>
    <col min="7450" max="7680" width="9" style="35"/>
    <col min="7681" max="7681" width="3.6328125" style="35" customWidth="1"/>
    <col min="7682" max="7682" width="8.08984375" style="35" customWidth="1"/>
    <col min="7683" max="7683" width="7.26953125" style="35" customWidth="1"/>
    <col min="7684" max="7685" width="0" style="35" hidden="1" customWidth="1"/>
    <col min="7686" max="7689" width="9" style="35"/>
    <col min="7690" max="7690" width="62" style="35" customWidth="1"/>
    <col min="7691" max="7691" width="8.6328125" style="35" bestFit="1" customWidth="1"/>
    <col min="7692" max="7692" width="11.26953125" style="35" customWidth="1"/>
    <col min="7693" max="7693" width="14.6328125" style="35" customWidth="1"/>
    <col min="7694" max="7694" width="8.7265625" style="35" customWidth="1"/>
    <col min="7695" max="7696" width="9.7265625" style="35" customWidth="1"/>
    <col min="7697" max="7697" width="20" style="35" bestFit="1" customWidth="1"/>
    <col min="7698" max="7698" width="8" style="35" bestFit="1" customWidth="1"/>
    <col min="7699" max="7699" width="8.6328125" style="35" bestFit="1" customWidth="1"/>
    <col min="7700" max="7700" width="7.08984375" style="35" customWidth="1"/>
    <col min="7701" max="7701" width="17.453125" style="35" bestFit="1" customWidth="1"/>
    <col min="7702" max="7702" width="10.36328125" style="35" customWidth="1"/>
    <col min="7703" max="7703" width="7.453125" style="35" customWidth="1"/>
    <col min="7704" max="7704" width="9" style="35"/>
    <col min="7705" max="7705" width="10.36328125" style="35" customWidth="1"/>
    <col min="7706" max="7936" width="9" style="35"/>
    <col min="7937" max="7937" width="3.6328125" style="35" customWidth="1"/>
    <col min="7938" max="7938" width="8.08984375" style="35" customWidth="1"/>
    <col min="7939" max="7939" width="7.26953125" style="35" customWidth="1"/>
    <col min="7940" max="7941" width="0" style="35" hidden="1" customWidth="1"/>
    <col min="7942" max="7945" width="9" style="35"/>
    <col min="7946" max="7946" width="62" style="35" customWidth="1"/>
    <col min="7947" max="7947" width="8.6328125" style="35" bestFit="1" customWidth="1"/>
    <col min="7948" max="7948" width="11.26953125" style="35" customWidth="1"/>
    <col min="7949" max="7949" width="14.6328125" style="35" customWidth="1"/>
    <col min="7950" max="7950" width="8.7265625" style="35" customWidth="1"/>
    <col min="7951" max="7952" width="9.7265625" style="35" customWidth="1"/>
    <col min="7953" max="7953" width="20" style="35" bestFit="1" customWidth="1"/>
    <col min="7954" max="7954" width="8" style="35" bestFit="1" customWidth="1"/>
    <col min="7955" max="7955" width="8.6328125" style="35" bestFit="1" customWidth="1"/>
    <col min="7956" max="7956" width="7.08984375" style="35" customWidth="1"/>
    <col min="7957" max="7957" width="17.453125" style="35" bestFit="1" customWidth="1"/>
    <col min="7958" max="7958" width="10.36328125" style="35" customWidth="1"/>
    <col min="7959" max="7959" width="7.453125" style="35" customWidth="1"/>
    <col min="7960" max="7960" width="9" style="35"/>
    <col min="7961" max="7961" width="10.36328125" style="35" customWidth="1"/>
    <col min="7962" max="8192" width="9" style="35"/>
    <col min="8193" max="8193" width="3.6328125" style="35" customWidth="1"/>
    <col min="8194" max="8194" width="8.08984375" style="35" customWidth="1"/>
    <col min="8195" max="8195" width="7.26953125" style="35" customWidth="1"/>
    <col min="8196" max="8197" width="0" style="35" hidden="1" customWidth="1"/>
    <col min="8198" max="8201" width="9" style="35"/>
    <col min="8202" max="8202" width="62" style="35" customWidth="1"/>
    <col min="8203" max="8203" width="8.6328125" style="35" bestFit="1" customWidth="1"/>
    <col min="8204" max="8204" width="11.26953125" style="35" customWidth="1"/>
    <col min="8205" max="8205" width="14.6328125" style="35" customWidth="1"/>
    <col min="8206" max="8206" width="8.7265625" style="35" customWidth="1"/>
    <col min="8207" max="8208" width="9.7265625" style="35" customWidth="1"/>
    <col min="8209" max="8209" width="20" style="35" bestFit="1" customWidth="1"/>
    <col min="8210" max="8210" width="8" style="35" bestFit="1" customWidth="1"/>
    <col min="8211" max="8211" width="8.6328125" style="35" bestFit="1" customWidth="1"/>
    <col min="8212" max="8212" width="7.08984375" style="35" customWidth="1"/>
    <col min="8213" max="8213" width="17.453125" style="35" bestFit="1" customWidth="1"/>
    <col min="8214" max="8214" width="10.36328125" style="35" customWidth="1"/>
    <col min="8215" max="8215" width="7.453125" style="35" customWidth="1"/>
    <col min="8216" max="8216" width="9" style="35"/>
    <col min="8217" max="8217" width="10.36328125" style="35" customWidth="1"/>
    <col min="8218" max="8448" width="9" style="35"/>
    <col min="8449" max="8449" width="3.6328125" style="35" customWidth="1"/>
    <col min="8450" max="8450" width="8.08984375" style="35" customWidth="1"/>
    <col min="8451" max="8451" width="7.26953125" style="35" customWidth="1"/>
    <col min="8452" max="8453" width="0" style="35" hidden="1" customWidth="1"/>
    <col min="8454" max="8457" width="9" style="35"/>
    <col min="8458" max="8458" width="62" style="35" customWidth="1"/>
    <col min="8459" max="8459" width="8.6328125" style="35" bestFit="1" customWidth="1"/>
    <col min="8460" max="8460" width="11.26953125" style="35" customWidth="1"/>
    <col min="8461" max="8461" width="14.6328125" style="35" customWidth="1"/>
    <col min="8462" max="8462" width="8.7265625" style="35" customWidth="1"/>
    <col min="8463" max="8464" width="9.7265625" style="35" customWidth="1"/>
    <col min="8465" max="8465" width="20" style="35" bestFit="1" customWidth="1"/>
    <col min="8466" max="8466" width="8" style="35" bestFit="1" customWidth="1"/>
    <col min="8467" max="8467" width="8.6328125" style="35" bestFit="1" customWidth="1"/>
    <col min="8468" max="8468" width="7.08984375" style="35" customWidth="1"/>
    <col min="8469" max="8469" width="17.453125" style="35" bestFit="1" customWidth="1"/>
    <col min="8470" max="8470" width="10.36328125" style="35" customWidth="1"/>
    <col min="8471" max="8471" width="7.453125" style="35" customWidth="1"/>
    <col min="8472" max="8472" width="9" style="35"/>
    <col min="8473" max="8473" width="10.36328125" style="35" customWidth="1"/>
    <col min="8474" max="8704" width="9" style="35"/>
    <col min="8705" max="8705" width="3.6328125" style="35" customWidth="1"/>
    <col min="8706" max="8706" width="8.08984375" style="35" customWidth="1"/>
    <col min="8707" max="8707" width="7.26953125" style="35" customWidth="1"/>
    <col min="8708" max="8709" width="0" style="35" hidden="1" customWidth="1"/>
    <col min="8710" max="8713" width="9" style="35"/>
    <col min="8714" max="8714" width="62" style="35" customWidth="1"/>
    <col min="8715" max="8715" width="8.6328125" style="35" bestFit="1" customWidth="1"/>
    <col min="8716" max="8716" width="11.26953125" style="35" customWidth="1"/>
    <col min="8717" max="8717" width="14.6328125" style="35" customWidth="1"/>
    <col min="8718" max="8718" width="8.7265625" style="35" customWidth="1"/>
    <col min="8719" max="8720" width="9.7265625" style="35" customWidth="1"/>
    <col min="8721" max="8721" width="20" style="35" bestFit="1" customWidth="1"/>
    <col min="8722" max="8722" width="8" style="35" bestFit="1" customWidth="1"/>
    <col min="8723" max="8723" width="8.6328125" style="35" bestFit="1" customWidth="1"/>
    <col min="8724" max="8724" width="7.08984375" style="35" customWidth="1"/>
    <col min="8725" max="8725" width="17.453125" style="35" bestFit="1" customWidth="1"/>
    <col min="8726" max="8726" width="10.36328125" style="35" customWidth="1"/>
    <col min="8727" max="8727" width="7.453125" style="35" customWidth="1"/>
    <col min="8728" max="8728" width="9" style="35"/>
    <col min="8729" max="8729" width="10.36328125" style="35" customWidth="1"/>
    <col min="8730" max="8960" width="9" style="35"/>
    <col min="8961" max="8961" width="3.6328125" style="35" customWidth="1"/>
    <col min="8962" max="8962" width="8.08984375" style="35" customWidth="1"/>
    <col min="8963" max="8963" width="7.26953125" style="35" customWidth="1"/>
    <col min="8964" max="8965" width="0" style="35" hidden="1" customWidth="1"/>
    <col min="8966" max="8969" width="9" style="35"/>
    <col min="8970" max="8970" width="62" style="35" customWidth="1"/>
    <col min="8971" max="8971" width="8.6328125" style="35" bestFit="1" customWidth="1"/>
    <col min="8972" max="8972" width="11.26953125" style="35" customWidth="1"/>
    <col min="8973" max="8973" width="14.6328125" style="35" customWidth="1"/>
    <col min="8974" max="8974" width="8.7265625" style="35" customWidth="1"/>
    <col min="8975" max="8976" width="9.7265625" style="35" customWidth="1"/>
    <col min="8977" max="8977" width="20" style="35" bestFit="1" customWidth="1"/>
    <col min="8978" max="8978" width="8" style="35" bestFit="1" customWidth="1"/>
    <col min="8979" max="8979" width="8.6328125" style="35" bestFit="1" customWidth="1"/>
    <col min="8980" max="8980" width="7.08984375" style="35" customWidth="1"/>
    <col min="8981" max="8981" width="17.453125" style="35" bestFit="1" customWidth="1"/>
    <col min="8982" max="8982" width="10.36328125" style="35" customWidth="1"/>
    <col min="8983" max="8983" width="7.453125" style="35" customWidth="1"/>
    <col min="8984" max="8984" width="9" style="35"/>
    <col min="8985" max="8985" width="10.36328125" style="35" customWidth="1"/>
    <col min="8986" max="9216" width="9" style="35"/>
    <col min="9217" max="9217" width="3.6328125" style="35" customWidth="1"/>
    <col min="9218" max="9218" width="8.08984375" style="35" customWidth="1"/>
    <col min="9219" max="9219" width="7.26953125" style="35" customWidth="1"/>
    <col min="9220" max="9221" width="0" style="35" hidden="1" customWidth="1"/>
    <col min="9222" max="9225" width="9" style="35"/>
    <col min="9226" max="9226" width="62" style="35" customWidth="1"/>
    <col min="9227" max="9227" width="8.6328125" style="35" bestFit="1" customWidth="1"/>
    <col min="9228" max="9228" width="11.26953125" style="35" customWidth="1"/>
    <col min="9229" max="9229" width="14.6328125" style="35" customWidth="1"/>
    <col min="9230" max="9230" width="8.7265625" style="35" customWidth="1"/>
    <col min="9231" max="9232" width="9.7265625" style="35" customWidth="1"/>
    <col min="9233" max="9233" width="20" style="35" bestFit="1" customWidth="1"/>
    <col min="9234" max="9234" width="8" style="35" bestFit="1" customWidth="1"/>
    <col min="9235" max="9235" width="8.6328125" style="35" bestFit="1" customWidth="1"/>
    <col min="9236" max="9236" width="7.08984375" style="35" customWidth="1"/>
    <col min="9237" max="9237" width="17.453125" style="35" bestFit="1" customWidth="1"/>
    <col min="9238" max="9238" width="10.36328125" style="35" customWidth="1"/>
    <col min="9239" max="9239" width="7.453125" style="35" customWidth="1"/>
    <col min="9240" max="9240" width="9" style="35"/>
    <col min="9241" max="9241" width="10.36328125" style="35" customWidth="1"/>
    <col min="9242" max="9472" width="9" style="35"/>
    <col min="9473" max="9473" width="3.6328125" style="35" customWidth="1"/>
    <col min="9474" max="9474" width="8.08984375" style="35" customWidth="1"/>
    <col min="9475" max="9475" width="7.26953125" style="35" customWidth="1"/>
    <col min="9476" max="9477" width="0" style="35" hidden="1" customWidth="1"/>
    <col min="9478" max="9481" width="9" style="35"/>
    <col min="9482" max="9482" width="62" style="35" customWidth="1"/>
    <col min="9483" max="9483" width="8.6328125" style="35" bestFit="1" customWidth="1"/>
    <col min="9484" max="9484" width="11.26953125" style="35" customWidth="1"/>
    <col min="9485" max="9485" width="14.6328125" style="35" customWidth="1"/>
    <col min="9486" max="9486" width="8.7265625" style="35" customWidth="1"/>
    <col min="9487" max="9488" width="9.7265625" style="35" customWidth="1"/>
    <col min="9489" max="9489" width="20" style="35" bestFit="1" customWidth="1"/>
    <col min="9490" max="9490" width="8" style="35" bestFit="1" customWidth="1"/>
    <col min="9491" max="9491" width="8.6328125" style="35" bestFit="1" customWidth="1"/>
    <col min="9492" max="9492" width="7.08984375" style="35" customWidth="1"/>
    <col min="9493" max="9493" width="17.453125" style="35" bestFit="1" customWidth="1"/>
    <col min="9494" max="9494" width="10.36328125" style="35" customWidth="1"/>
    <col min="9495" max="9495" width="7.453125" style="35" customWidth="1"/>
    <col min="9496" max="9496" width="9" style="35"/>
    <col min="9497" max="9497" width="10.36328125" style="35" customWidth="1"/>
    <col min="9498" max="9728" width="9" style="35"/>
    <col min="9729" max="9729" width="3.6328125" style="35" customWidth="1"/>
    <col min="9730" max="9730" width="8.08984375" style="35" customWidth="1"/>
    <col min="9731" max="9731" width="7.26953125" style="35" customWidth="1"/>
    <col min="9732" max="9733" width="0" style="35" hidden="1" customWidth="1"/>
    <col min="9734" max="9737" width="9" style="35"/>
    <col min="9738" max="9738" width="62" style="35" customWidth="1"/>
    <col min="9739" max="9739" width="8.6328125" style="35" bestFit="1" customWidth="1"/>
    <col min="9740" max="9740" width="11.26953125" style="35" customWidth="1"/>
    <col min="9741" max="9741" width="14.6328125" style="35" customWidth="1"/>
    <col min="9742" max="9742" width="8.7265625" style="35" customWidth="1"/>
    <col min="9743" max="9744" width="9.7265625" style="35" customWidth="1"/>
    <col min="9745" max="9745" width="20" style="35" bestFit="1" customWidth="1"/>
    <col min="9746" max="9746" width="8" style="35" bestFit="1" customWidth="1"/>
    <col min="9747" max="9747" width="8.6328125" style="35" bestFit="1" customWidth="1"/>
    <col min="9748" max="9748" width="7.08984375" style="35" customWidth="1"/>
    <col min="9749" max="9749" width="17.453125" style="35" bestFit="1" customWidth="1"/>
    <col min="9750" max="9750" width="10.36328125" style="35" customWidth="1"/>
    <col min="9751" max="9751" width="7.453125" style="35" customWidth="1"/>
    <col min="9752" max="9752" width="9" style="35"/>
    <col min="9753" max="9753" width="10.36328125" style="35" customWidth="1"/>
    <col min="9754" max="9984" width="9" style="35"/>
    <col min="9985" max="9985" width="3.6328125" style="35" customWidth="1"/>
    <col min="9986" max="9986" width="8.08984375" style="35" customWidth="1"/>
    <col min="9987" max="9987" width="7.26953125" style="35" customWidth="1"/>
    <col min="9988" max="9989" width="0" style="35" hidden="1" customWidth="1"/>
    <col min="9990" max="9993" width="9" style="35"/>
    <col min="9994" max="9994" width="62" style="35" customWidth="1"/>
    <col min="9995" max="9995" width="8.6328125" style="35" bestFit="1" customWidth="1"/>
    <col min="9996" max="9996" width="11.26953125" style="35" customWidth="1"/>
    <col min="9997" max="9997" width="14.6328125" style="35" customWidth="1"/>
    <col min="9998" max="9998" width="8.7265625" style="35" customWidth="1"/>
    <col min="9999" max="10000" width="9.7265625" style="35" customWidth="1"/>
    <col min="10001" max="10001" width="20" style="35" bestFit="1" customWidth="1"/>
    <col min="10002" max="10002" width="8" style="35" bestFit="1" customWidth="1"/>
    <col min="10003" max="10003" width="8.6328125" style="35" bestFit="1" customWidth="1"/>
    <col min="10004" max="10004" width="7.08984375" style="35" customWidth="1"/>
    <col min="10005" max="10005" width="17.453125" style="35" bestFit="1" customWidth="1"/>
    <col min="10006" max="10006" width="10.36328125" style="35" customWidth="1"/>
    <col min="10007" max="10007" width="7.453125" style="35" customWidth="1"/>
    <col min="10008" max="10008" width="9" style="35"/>
    <col min="10009" max="10009" width="10.36328125" style="35" customWidth="1"/>
    <col min="10010" max="10240" width="9" style="35"/>
    <col min="10241" max="10241" width="3.6328125" style="35" customWidth="1"/>
    <col min="10242" max="10242" width="8.08984375" style="35" customWidth="1"/>
    <col min="10243" max="10243" width="7.26953125" style="35" customWidth="1"/>
    <col min="10244" max="10245" width="0" style="35" hidden="1" customWidth="1"/>
    <col min="10246" max="10249" width="9" style="35"/>
    <col min="10250" max="10250" width="62" style="35" customWidth="1"/>
    <col min="10251" max="10251" width="8.6328125" style="35" bestFit="1" customWidth="1"/>
    <col min="10252" max="10252" width="11.26953125" style="35" customWidth="1"/>
    <col min="10253" max="10253" width="14.6328125" style="35" customWidth="1"/>
    <col min="10254" max="10254" width="8.7265625" style="35" customWidth="1"/>
    <col min="10255" max="10256" width="9.7265625" style="35" customWidth="1"/>
    <col min="10257" max="10257" width="20" style="35" bestFit="1" customWidth="1"/>
    <col min="10258" max="10258" width="8" style="35" bestFit="1" customWidth="1"/>
    <col min="10259" max="10259" width="8.6328125" style="35" bestFit="1" customWidth="1"/>
    <col min="10260" max="10260" width="7.08984375" style="35" customWidth="1"/>
    <col min="10261" max="10261" width="17.453125" style="35" bestFit="1" customWidth="1"/>
    <col min="10262" max="10262" width="10.36328125" style="35" customWidth="1"/>
    <col min="10263" max="10263" width="7.453125" style="35" customWidth="1"/>
    <col min="10264" max="10264" width="9" style="35"/>
    <col min="10265" max="10265" width="10.36328125" style="35" customWidth="1"/>
    <col min="10266" max="10496" width="9" style="35"/>
    <col min="10497" max="10497" width="3.6328125" style="35" customWidth="1"/>
    <col min="10498" max="10498" width="8.08984375" style="35" customWidth="1"/>
    <col min="10499" max="10499" width="7.26953125" style="35" customWidth="1"/>
    <col min="10500" max="10501" width="0" style="35" hidden="1" customWidth="1"/>
    <col min="10502" max="10505" width="9" style="35"/>
    <col min="10506" max="10506" width="62" style="35" customWidth="1"/>
    <col min="10507" max="10507" width="8.6328125" style="35" bestFit="1" customWidth="1"/>
    <col min="10508" max="10508" width="11.26953125" style="35" customWidth="1"/>
    <col min="10509" max="10509" width="14.6328125" style="35" customWidth="1"/>
    <col min="10510" max="10510" width="8.7265625" style="35" customWidth="1"/>
    <col min="10511" max="10512" width="9.7265625" style="35" customWidth="1"/>
    <col min="10513" max="10513" width="20" style="35" bestFit="1" customWidth="1"/>
    <col min="10514" max="10514" width="8" style="35" bestFit="1" customWidth="1"/>
    <col min="10515" max="10515" width="8.6328125" style="35" bestFit="1" customWidth="1"/>
    <col min="10516" max="10516" width="7.08984375" style="35" customWidth="1"/>
    <col min="10517" max="10517" width="17.453125" style="35" bestFit="1" customWidth="1"/>
    <col min="10518" max="10518" width="10.36328125" style="35" customWidth="1"/>
    <col min="10519" max="10519" width="7.453125" style="35" customWidth="1"/>
    <col min="10520" max="10520" width="9" style="35"/>
    <col min="10521" max="10521" width="10.36328125" style="35" customWidth="1"/>
    <col min="10522" max="10752" width="9" style="35"/>
    <col min="10753" max="10753" width="3.6328125" style="35" customWidth="1"/>
    <col min="10754" max="10754" width="8.08984375" style="35" customWidth="1"/>
    <col min="10755" max="10755" width="7.26953125" style="35" customWidth="1"/>
    <col min="10756" max="10757" width="0" style="35" hidden="1" customWidth="1"/>
    <col min="10758" max="10761" width="9" style="35"/>
    <col min="10762" max="10762" width="62" style="35" customWidth="1"/>
    <col min="10763" max="10763" width="8.6328125" style="35" bestFit="1" customWidth="1"/>
    <col min="10764" max="10764" width="11.26953125" style="35" customWidth="1"/>
    <col min="10765" max="10765" width="14.6328125" style="35" customWidth="1"/>
    <col min="10766" max="10766" width="8.7265625" style="35" customWidth="1"/>
    <col min="10767" max="10768" width="9.7265625" style="35" customWidth="1"/>
    <col min="10769" max="10769" width="20" style="35" bestFit="1" customWidth="1"/>
    <col min="10770" max="10770" width="8" style="35" bestFit="1" customWidth="1"/>
    <col min="10771" max="10771" width="8.6328125" style="35" bestFit="1" customWidth="1"/>
    <col min="10772" max="10772" width="7.08984375" style="35" customWidth="1"/>
    <col min="10773" max="10773" width="17.453125" style="35" bestFit="1" customWidth="1"/>
    <col min="10774" max="10774" width="10.36328125" style="35" customWidth="1"/>
    <col min="10775" max="10775" width="7.453125" style="35" customWidth="1"/>
    <col min="10776" max="10776" width="9" style="35"/>
    <col min="10777" max="10777" width="10.36328125" style="35" customWidth="1"/>
    <col min="10778" max="11008" width="9" style="35"/>
    <col min="11009" max="11009" width="3.6328125" style="35" customWidth="1"/>
    <col min="11010" max="11010" width="8.08984375" style="35" customWidth="1"/>
    <col min="11011" max="11011" width="7.26953125" style="35" customWidth="1"/>
    <col min="11012" max="11013" width="0" style="35" hidden="1" customWidth="1"/>
    <col min="11014" max="11017" width="9" style="35"/>
    <col min="11018" max="11018" width="62" style="35" customWidth="1"/>
    <col min="11019" max="11019" width="8.6328125" style="35" bestFit="1" customWidth="1"/>
    <col min="11020" max="11020" width="11.26953125" style="35" customWidth="1"/>
    <col min="11021" max="11021" width="14.6328125" style="35" customWidth="1"/>
    <col min="11022" max="11022" width="8.7265625" style="35" customWidth="1"/>
    <col min="11023" max="11024" width="9.7265625" style="35" customWidth="1"/>
    <col min="11025" max="11025" width="20" style="35" bestFit="1" customWidth="1"/>
    <col min="11026" max="11026" width="8" style="35" bestFit="1" customWidth="1"/>
    <col min="11027" max="11027" width="8.6328125" style="35" bestFit="1" customWidth="1"/>
    <col min="11028" max="11028" width="7.08984375" style="35" customWidth="1"/>
    <col min="11029" max="11029" width="17.453125" style="35" bestFit="1" customWidth="1"/>
    <col min="11030" max="11030" width="10.36328125" style="35" customWidth="1"/>
    <col min="11031" max="11031" width="7.453125" style="35" customWidth="1"/>
    <col min="11032" max="11032" width="9" style="35"/>
    <col min="11033" max="11033" width="10.36328125" style="35" customWidth="1"/>
    <col min="11034" max="11264" width="9" style="35"/>
    <col min="11265" max="11265" width="3.6328125" style="35" customWidth="1"/>
    <col min="11266" max="11266" width="8.08984375" style="35" customWidth="1"/>
    <col min="11267" max="11267" width="7.26953125" style="35" customWidth="1"/>
    <col min="11268" max="11269" width="0" style="35" hidden="1" customWidth="1"/>
    <col min="11270" max="11273" width="9" style="35"/>
    <col min="11274" max="11274" width="62" style="35" customWidth="1"/>
    <col min="11275" max="11275" width="8.6328125" style="35" bestFit="1" customWidth="1"/>
    <col min="11276" max="11276" width="11.26953125" style="35" customWidth="1"/>
    <col min="11277" max="11277" width="14.6328125" style="35" customWidth="1"/>
    <col min="11278" max="11278" width="8.7265625" style="35" customWidth="1"/>
    <col min="11279" max="11280" width="9.7265625" style="35" customWidth="1"/>
    <col min="11281" max="11281" width="20" style="35" bestFit="1" customWidth="1"/>
    <col min="11282" max="11282" width="8" style="35" bestFit="1" customWidth="1"/>
    <col min="11283" max="11283" width="8.6328125" style="35" bestFit="1" customWidth="1"/>
    <col min="11284" max="11284" width="7.08984375" style="35" customWidth="1"/>
    <col min="11285" max="11285" width="17.453125" style="35" bestFit="1" customWidth="1"/>
    <col min="11286" max="11286" width="10.36328125" style="35" customWidth="1"/>
    <col min="11287" max="11287" width="7.453125" style="35" customWidth="1"/>
    <col min="11288" max="11288" width="9" style="35"/>
    <col min="11289" max="11289" width="10.36328125" style="35" customWidth="1"/>
    <col min="11290" max="11520" width="9" style="35"/>
    <col min="11521" max="11521" width="3.6328125" style="35" customWidth="1"/>
    <col min="11522" max="11522" width="8.08984375" style="35" customWidth="1"/>
    <col min="11523" max="11523" width="7.26953125" style="35" customWidth="1"/>
    <col min="11524" max="11525" width="0" style="35" hidden="1" customWidth="1"/>
    <col min="11526" max="11529" width="9" style="35"/>
    <col min="11530" max="11530" width="62" style="35" customWidth="1"/>
    <col min="11531" max="11531" width="8.6328125" style="35" bestFit="1" customWidth="1"/>
    <col min="11532" max="11532" width="11.26953125" style="35" customWidth="1"/>
    <col min="11533" max="11533" width="14.6328125" style="35" customWidth="1"/>
    <col min="11534" max="11534" width="8.7265625" style="35" customWidth="1"/>
    <col min="11535" max="11536" width="9.7265625" style="35" customWidth="1"/>
    <col min="11537" max="11537" width="20" style="35" bestFit="1" customWidth="1"/>
    <col min="11538" max="11538" width="8" style="35" bestFit="1" customWidth="1"/>
    <col min="11539" max="11539" width="8.6328125" style="35" bestFit="1" customWidth="1"/>
    <col min="11540" max="11540" width="7.08984375" style="35" customWidth="1"/>
    <col min="11541" max="11541" width="17.453125" style="35" bestFit="1" customWidth="1"/>
    <col min="11542" max="11542" width="10.36328125" style="35" customWidth="1"/>
    <col min="11543" max="11543" width="7.453125" style="35" customWidth="1"/>
    <col min="11544" max="11544" width="9" style="35"/>
    <col min="11545" max="11545" width="10.36328125" style="35" customWidth="1"/>
    <col min="11546" max="11776" width="9" style="35"/>
    <col min="11777" max="11777" width="3.6328125" style="35" customWidth="1"/>
    <col min="11778" max="11778" width="8.08984375" style="35" customWidth="1"/>
    <col min="11779" max="11779" width="7.26953125" style="35" customWidth="1"/>
    <col min="11780" max="11781" width="0" style="35" hidden="1" customWidth="1"/>
    <col min="11782" max="11785" width="9" style="35"/>
    <col min="11786" max="11786" width="62" style="35" customWidth="1"/>
    <col min="11787" max="11787" width="8.6328125" style="35" bestFit="1" customWidth="1"/>
    <col min="11788" max="11788" width="11.26953125" style="35" customWidth="1"/>
    <col min="11789" max="11789" width="14.6328125" style="35" customWidth="1"/>
    <col min="11790" max="11790" width="8.7265625" style="35" customWidth="1"/>
    <col min="11791" max="11792" width="9.7265625" style="35" customWidth="1"/>
    <col min="11793" max="11793" width="20" style="35" bestFit="1" customWidth="1"/>
    <col min="11794" max="11794" width="8" style="35" bestFit="1" customWidth="1"/>
    <col min="11795" max="11795" width="8.6328125" style="35" bestFit="1" customWidth="1"/>
    <col min="11796" max="11796" width="7.08984375" style="35" customWidth="1"/>
    <col min="11797" max="11797" width="17.453125" style="35" bestFit="1" customWidth="1"/>
    <col min="11798" max="11798" width="10.36328125" style="35" customWidth="1"/>
    <col min="11799" max="11799" width="7.453125" style="35" customWidth="1"/>
    <col min="11800" max="11800" width="9" style="35"/>
    <col min="11801" max="11801" width="10.36328125" style="35" customWidth="1"/>
    <col min="11802" max="12032" width="9" style="35"/>
    <col min="12033" max="12033" width="3.6328125" style="35" customWidth="1"/>
    <col min="12034" max="12034" width="8.08984375" style="35" customWidth="1"/>
    <col min="12035" max="12035" width="7.26953125" style="35" customWidth="1"/>
    <col min="12036" max="12037" width="0" style="35" hidden="1" customWidth="1"/>
    <col min="12038" max="12041" width="9" style="35"/>
    <col min="12042" max="12042" width="62" style="35" customWidth="1"/>
    <col min="12043" max="12043" width="8.6328125" style="35" bestFit="1" customWidth="1"/>
    <col min="12044" max="12044" width="11.26953125" style="35" customWidth="1"/>
    <col min="12045" max="12045" width="14.6328125" style="35" customWidth="1"/>
    <col min="12046" max="12046" width="8.7265625" style="35" customWidth="1"/>
    <col min="12047" max="12048" width="9.7265625" style="35" customWidth="1"/>
    <col min="12049" max="12049" width="20" style="35" bestFit="1" customWidth="1"/>
    <col min="12050" max="12050" width="8" style="35" bestFit="1" customWidth="1"/>
    <col min="12051" max="12051" width="8.6328125" style="35" bestFit="1" customWidth="1"/>
    <col min="12052" max="12052" width="7.08984375" style="35" customWidth="1"/>
    <col min="12053" max="12053" width="17.453125" style="35" bestFit="1" customWidth="1"/>
    <col min="12054" max="12054" width="10.36328125" style="35" customWidth="1"/>
    <col min="12055" max="12055" width="7.453125" style="35" customWidth="1"/>
    <col min="12056" max="12056" width="9" style="35"/>
    <col min="12057" max="12057" width="10.36328125" style="35" customWidth="1"/>
    <col min="12058" max="12288" width="9" style="35"/>
    <col min="12289" max="12289" width="3.6328125" style="35" customWidth="1"/>
    <col min="12290" max="12290" width="8.08984375" style="35" customWidth="1"/>
    <col min="12291" max="12291" width="7.26953125" style="35" customWidth="1"/>
    <col min="12292" max="12293" width="0" style="35" hidden="1" customWidth="1"/>
    <col min="12294" max="12297" width="9" style="35"/>
    <col min="12298" max="12298" width="62" style="35" customWidth="1"/>
    <col min="12299" max="12299" width="8.6328125" style="35" bestFit="1" customWidth="1"/>
    <col min="12300" max="12300" width="11.26953125" style="35" customWidth="1"/>
    <col min="12301" max="12301" width="14.6328125" style="35" customWidth="1"/>
    <col min="12302" max="12302" width="8.7265625" style="35" customWidth="1"/>
    <col min="12303" max="12304" width="9.7265625" style="35" customWidth="1"/>
    <col min="12305" max="12305" width="20" style="35" bestFit="1" customWidth="1"/>
    <col min="12306" max="12306" width="8" style="35" bestFit="1" customWidth="1"/>
    <col min="12307" max="12307" width="8.6328125" style="35" bestFit="1" customWidth="1"/>
    <col min="12308" max="12308" width="7.08984375" style="35" customWidth="1"/>
    <col min="12309" max="12309" width="17.453125" style="35" bestFit="1" customWidth="1"/>
    <col min="12310" max="12310" width="10.36328125" style="35" customWidth="1"/>
    <col min="12311" max="12311" width="7.453125" style="35" customWidth="1"/>
    <col min="12312" max="12312" width="9" style="35"/>
    <col min="12313" max="12313" width="10.36328125" style="35" customWidth="1"/>
    <col min="12314" max="12544" width="9" style="35"/>
    <col min="12545" max="12545" width="3.6328125" style="35" customWidth="1"/>
    <col min="12546" max="12546" width="8.08984375" style="35" customWidth="1"/>
    <col min="12547" max="12547" width="7.26953125" style="35" customWidth="1"/>
    <col min="12548" max="12549" width="0" style="35" hidden="1" customWidth="1"/>
    <col min="12550" max="12553" width="9" style="35"/>
    <col min="12554" max="12554" width="62" style="35" customWidth="1"/>
    <col min="12555" max="12555" width="8.6328125" style="35" bestFit="1" customWidth="1"/>
    <col min="12556" max="12556" width="11.26953125" style="35" customWidth="1"/>
    <col min="12557" max="12557" width="14.6328125" style="35" customWidth="1"/>
    <col min="12558" max="12558" width="8.7265625" style="35" customWidth="1"/>
    <col min="12559" max="12560" width="9.7265625" style="35" customWidth="1"/>
    <col min="12561" max="12561" width="20" style="35" bestFit="1" customWidth="1"/>
    <col min="12562" max="12562" width="8" style="35" bestFit="1" customWidth="1"/>
    <col min="12563" max="12563" width="8.6328125" style="35" bestFit="1" customWidth="1"/>
    <col min="12564" max="12564" width="7.08984375" style="35" customWidth="1"/>
    <col min="12565" max="12565" width="17.453125" style="35" bestFit="1" customWidth="1"/>
    <col min="12566" max="12566" width="10.36328125" style="35" customWidth="1"/>
    <col min="12567" max="12567" width="7.453125" style="35" customWidth="1"/>
    <col min="12568" max="12568" width="9" style="35"/>
    <col min="12569" max="12569" width="10.36328125" style="35" customWidth="1"/>
    <col min="12570" max="12800" width="9" style="35"/>
    <col min="12801" max="12801" width="3.6328125" style="35" customWidth="1"/>
    <col min="12802" max="12802" width="8.08984375" style="35" customWidth="1"/>
    <col min="12803" max="12803" width="7.26953125" style="35" customWidth="1"/>
    <col min="12804" max="12805" width="0" style="35" hidden="1" customWidth="1"/>
    <col min="12806" max="12809" width="9" style="35"/>
    <col min="12810" max="12810" width="62" style="35" customWidth="1"/>
    <col min="12811" max="12811" width="8.6328125" style="35" bestFit="1" customWidth="1"/>
    <col min="12812" max="12812" width="11.26953125" style="35" customWidth="1"/>
    <col min="12813" max="12813" width="14.6328125" style="35" customWidth="1"/>
    <col min="12814" max="12814" width="8.7265625" style="35" customWidth="1"/>
    <col min="12815" max="12816" width="9.7265625" style="35" customWidth="1"/>
    <col min="12817" max="12817" width="20" style="35" bestFit="1" customWidth="1"/>
    <col min="12818" max="12818" width="8" style="35" bestFit="1" customWidth="1"/>
    <col min="12819" max="12819" width="8.6328125" style="35" bestFit="1" customWidth="1"/>
    <col min="12820" max="12820" width="7.08984375" style="35" customWidth="1"/>
    <col min="12821" max="12821" width="17.453125" style="35" bestFit="1" customWidth="1"/>
    <col min="12822" max="12822" width="10.36328125" style="35" customWidth="1"/>
    <col min="12823" max="12823" width="7.453125" style="35" customWidth="1"/>
    <col min="12824" max="12824" width="9" style="35"/>
    <col min="12825" max="12825" width="10.36328125" style="35" customWidth="1"/>
    <col min="12826" max="13056" width="9" style="35"/>
    <col min="13057" max="13057" width="3.6328125" style="35" customWidth="1"/>
    <col min="13058" max="13058" width="8.08984375" style="35" customWidth="1"/>
    <col min="13059" max="13059" width="7.26953125" style="35" customWidth="1"/>
    <col min="13060" max="13061" width="0" style="35" hidden="1" customWidth="1"/>
    <col min="13062" max="13065" width="9" style="35"/>
    <col min="13066" max="13066" width="62" style="35" customWidth="1"/>
    <col min="13067" max="13067" width="8.6328125" style="35" bestFit="1" customWidth="1"/>
    <col min="13068" max="13068" width="11.26953125" style="35" customWidth="1"/>
    <col min="13069" max="13069" width="14.6328125" style="35" customWidth="1"/>
    <col min="13070" max="13070" width="8.7265625" style="35" customWidth="1"/>
    <col min="13071" max="13072" width="9.7265625" style="35" customWidth="1"/>
    <col min="13073" max="13073" width="20" style="35" bestFit="1" customWidth="1"/>
    <col min="13074" max="13074" width="8" style="35" bestFit="1" customWidth="1"/>
    <col min="13075" max="13075" width="8.6328125" style="35" bestFit="1" customWidth="1"/>
    <col min="13076" max="13076" width="7.08984375" style="35" customWidth="1"/>
    <col min="13077" max="13077" width="17.453125" style="35" bestFit="1" customWidth="1"/>
    <col min="13078" max="13078" width="10.36328125" style="35" customWidth="1"/>
    <col min="13079" max="13079" width="7.453125" style="35" customWidth="1"/>
    <col min="13080" max="13080" width="9" style="35"/>
    <col min="13081" max="13081" width="10.36328125" style="35" customWidth="1"/>
    <col min="13082" max="13312" width="9" style="35"/>
    <col min="13313" max="13313" width="3.6328125" style="35" customWidth="1"/>
    <col min="13314" max="13314" width="8.08984375" style="35" customWidth="1"/>
    <col min="13315" max="13315" width="7.26953125" style="35" customWidth="1"/>
    <col min="13316" max="13317" width="0" style="35" hidden="1" customWidth="1"/>
    <col min="13318" max="13321" width="9" style="35"/>
    <col min="13322" max="13322" width="62" style="35" customWidth="1"/>
    <col min="13323" max="13323" width="8.6328125" style="35" bestFit="1" customWidth="1"/>
    <col min="13324" max="13324" width="11.26953125" style="35" customWidth="1"/>
    <col min="13325" max="13325" width="14.6328125" style="35" customWidth="1"/>
    <col min="13326" max="13326" width="8.7265625" style="35" customWidth="1"/>
    <col min="13327" max="13328" width="9.7265625" style="35" customWidth="1"/>
    <col min="13329" max="13329" width="20" style="35" bestFit="1" customWidth="1"/>
    <col min="13330" max="13330" width="8" style="35" bestFit="1" customWidth="1"/>
    <col min="13331" max="13331" width="8.6328125" style="35" bestFit="1" customWidth="1"/>
    <col min="13332" max="13332" width="7.08984375" style="35" customWidth="1"/>
    <col min="13333" max="13333" width="17.453125" style="35" bestFit="1" customWidth="1"/>
    <col min="13334" max="13334" width="10.36328125" style="35" customWidth="1"/>
    <col min="13335" max="13335" width="7.453125" style="35" customWidth="1"/>
    <col min="13336" max="13336" width="9" style="35"/>
    <col min="13337" max="13337" width="10.36328125" style="35" customWidth="1"/>
    <col min="13338" max="13568" width="9" style="35"/>
    <col min="13569" max="13569" width="3.6328125" style="35" customWidth="1"/>
    <col min="13570" max="13570" width="8.08984375" style="35" customWidth="1"/>
    <col min="13571" max="13571" width="7.26953125" style="35" customWidth="1"/>
    <col min="13572" max="13573" width="0" style="35" hidden="1" customWidth="1"/>
    <col min="13574" max="13577" width="9" style="35"/>
    <col min="13578" max="13578" width="62" style="35" customWidth="1"/>
    <col min="13579" max="13579" width="8.6328125" style="35" bestFit="1" customWidth="1"/>
    <col min="13580" max="13580" width="11.26953125" style="35" customWidth="1"/>
    <col min="13581" max="13581" width="14.6328125" style="35" customWidth="1"/>
    <col min="13582" max="13582" width="8.7265625" style="35" customWidth="1"/>
    <col min="13583" max="13584" width="9.7265625" style="35" customWidth="1"/>
    <col min="13585" max="13585" width="20" style="35" bestFit="1" customWidth="1"/>
    <col min="13586" max="13586" width="8" style="35" bestFit="1" customWidth="1"/>
    <col min="13587" max="13587" width="8.6328125" style="35" bestFit="1" customWidth="1"/>
    <col min="13588" max="13588" width="7.08984375" style="35" customWidth="1"/>
    <col min="13589" max="13589" width="17.453125" style="35" bestFit="1" customWidth="1"/>
    <col min="13590" max="13590" width="10.36328125" style="35" customWidth="1"/>
    <col min="13591" max="13591" width="7.453125" style="35" customWidth="1"/>
    <col min="13592" max="13592" width="9" style="35"/>
    <col min="13593" max="13593" width="10.36328125" style="35" customWidth="1"/>
    <col min="13594" max="13824" width="9" style="35"/>
    <col min="13825" max="13825" width="3.6328125" style="35" customWidth="1"/>
    <col min="13826" max="13826" width="8.08984375" style="35" customWidth="1"/>
    <col min="13827" max="13827" width="7.26953125" style="35" customWidth="1"/>
    <col min="13828" max="13829" width="0" style="35" hidden="1" customWidth="1"/>
    <col min="13830" max="13833" width="9" style="35"/>
    <col min="13834" max="13834" width="62" style="35" customWidth="1"/>
    <col min="13835" max="13835" width="8.6328125" style="35" bestFit="1" customWidth="1"/>
    <col min="13836" max="13836" width="11.26953125" style="35" customWidth="1"/>
    <col min="13837" max="13837" width="14.6328125" style="35" customWidth="1"/>
    <col min="13838" max="13838" width="8.7265625" style="35" customWidth="1"/>
    <col min="13839" max="13840" width="9.7265625" style="35" customWidth="1"/>
    <col min="13841" max="13841" width="20" style="35" bestFit="1" customWidth="1"/>
    <col min="13842" max="13842" width="8" style="35" bestFit="1" customWidth="1"/>
    <col min="13843" max="13843" width="8.6328125" style="35" bestFit="1" customWidth="1"/>
    <col min="13844" max="13844" width="7.08984375" style="35" customWidth="1"/>
    <col min="13845" max="13845" width="17.453125" style="35" bestFit="1" customWidth="1"/>
    <col min="13846" max="13846" width="10.36328125" style="35" customWidth="1"/>
    <col min="13847" max="13847" width="7.453125" style="35" customWidth="1"/>
    <col min="13848" max="13848" width="9" style="35"/>
    <col min="13849" max="13849" width="10.36328125" style="35" customWidth="1"/>
    <col min="13850" max="14080" width="9" style="35"/>
    <col min="14081" max="14081" width="3.6328125" style="35" customWidth="1"/>
    <col min="14082" max="14082" width="8.08984375" style="35" customWidth="1"/>
    <col min="14083" max="14083" width="7.26953125" style="35" customWidth="1"/>
    <col min="14084" max="14085" width="0" style="35" hidden="1" customWidth="1"/>
    <col min="14086" max="14089" width="9" style="35"/>
    <col min="14090" max="14090" width="62" style="35" customWidth="1"/>
    <col min="14091" max="14091" width="8.6328125" style="35" bestFit="1" customWidth="1"/>
    <col min="14092" max="14092" width="11.26953125" style="35" customWidth="1"/>
    <col min="14093" max="14093" width="14.6328125" style="35" customWidth="1"/>
    <col min="14094" max="14094" width="8.7265625" style="35" customWidth="1"/>
    <col min="14095" max="14096" width="9.7265625" style="35" customWidth="1"/>
    <col min="14097" max="14097" width="20" style="35" bestFit="1" customWidth="1"/>
    <col min="14098" max="14098" width="8" style="35" bestFit="1" customWidth="1"/>
    <col min="14099" max="14099" width="8.6328125" style="35" bestFit="1" customWidth="1"/>
    <col min="14100" max="14100" width="7.08984375" style="35" customWidth="1"/>
    <col min="14101" max="14101" width="17.453125" style="35" bestFit="1" customWidth="1"/>
    <col min="14102" max="14102" width="10.36328125" style="35" customWidth="1"/>
    <col min="14103" max="14103" width="7.453125" style="35" customWidth="1"/>
    <col min="14104" max="14104" width="9" style="35"/>
    <col min="14105" max="14105" width="10.36328125" style="35" customWidth="1"/>
    <col min="14106" max="14336" width="9" style="35"/>
    <col min="14337" max="14337" width="3.6328125" style="35" customWidth="1"/>
    <col min="14338" max="14338" width="8.08984375" style="35" customWidth="1"/>
    <col min="14339" max="14339" width="7.26953125" style="35" customWidth="1"/>
    <col min="14340" max="14341" width="0" style="35" hidden="1" customWidth="1"/>
    <col min="14342" max="14345" width="9" style="35"/>
    <col min="14346" max="14346" width="62" style="35" customWidth="1"/>
    <col min="14347" max="14347" width="8.6328125" style="35" bestFit="1" customWidth="1"/>
    <col min="14348" max="14348" width="11.26953125" style="35" customWidth="1"/>
    <col min="14349" max="14349" width="14.6328125" style="35" customWidth="1"/>
    <col min="14350" max="14350" width="8.7265625" style="35" customWidth="1"/>
    <col min="14351" max="14352" width="9.7265625" style="35" customWidth="1"/>
    <col min="14353" max="14353" width="20" style="35" bestFit="1" customWidth="1"/>
    <col min="14354" max="14354" width="8" style="35" bestFit="1" customWidth="1"/>
    <col min="14355" max="14355" width="8.6328125" style="35" bestFit="1" customWidth="1"/>
    <col min="14356" max="14356" width="7.08984375" style="35" customWidth="1"/>
    <col min="14357" max="14357" width="17.453125" style="35" bestFit="1" customWidth="1"/>
    <col min="14358" max="14358" width="10.36328125" style="35" customWidth="1"/>
    <col min="14359" max="14359" width="7.453125" style="35" customWidth="1"/>
    <col min="14360" max="14360" width="9" style="35"/>
    <col min="14361" max="14361" width="10.36328125" style="35" customWidth="1"/>
    <col min="14362" max="14592" width="9" style="35"/>
    <col min="14593" max="14593" width="3.6328125" style="35" customWidth="1"/>
    <col min="14594" max="14594" width="8.08984375" style="35" customWidth="1"/>
    <col min="14595" max="14595" width="7.26953125" style="35" customWidth="1"/>
    <col min="14596" max="14597" width="0" style="35" hidden="1" customWidth="1"/>
    <col min="14598" max="14601" width="9" style="35"/>
    <col min="14602" max="14602" width="62" style="35" customWidth="1"/>
    <col min="14603" max="14603" width="8.6328125" style="35" bestFit="1" customWidth="1"/>
    <col min="14604" max="14604" width="11.26953125" style="35" customWidth="1"/>
    <col min="14605" max="14605" width="14.6328125" style="35" customWidth="1"/>
    <col min="14606" max="14606" width="8.7265625" style="35" customWidth="1"/>
    <col min="14607" max="14608" width="9.7265625" style="35" customWidth="1"/>
    <col min="14609" max="14609" width="20" style="35" bestFit="1" customWidth="1"/>
    <col min="14610" max="14610" width="8" style="35" bestFit="1" customWidth="1"/>
    <col min="14611" max="14611" width="8.6328125" style="35" bestFit="1" customWidth="1"/>
    <col min="14612" max="14612" width="7.08984375" style="35" customWidth="1"/>
    <col min="14613" max="14613" width="17.453125" style="35" bestFit="1" customWidth="1"/>
    <col min="14614" max="14614" width="10.36328125" style="35" customWidth="1"/>
    <col min="14615" max="14615" width="7.453125" style="35" customWidth="1"/>
    <col min="14616" max="14616" width="9" style="35"/>
    <col min="14617" max="14617" width="10.36328125" style="35" customWidth="1"/>
    <col min="14618" max="14848" width="9" style="35"/>
    <col min="14849" max="14849" width="3.6328125" style="35" customWidth="1"/>
    <col min="14850" max="14850" width="8.08984375" style="35" customWidth="1"/>
    <col min="14851" max="14851" width="7.26953125" style="35" customWidth="1"/>
    <col min="14852" max="14853" width="0" style="35" hidden="1" customWidth="1"/>
    <col min="14854" max="14857" width="9" style="35"/>
    <col min="14858" max="14858" width="62" style="35" customWidth="1"/>
    <col min="14859" max="14859" width="8.6328125" style="35" bestFit="1" customWidth="1"/>
    <col min="14860" max="14860" width="11.26953125" style="35" customWidth="1"/>
    <col min="14861" max="14861" width="14.6328125" style="35" customWidth="1"/>
    <col min="14862" max="14862" width="8.7265625" style="35" customWidth="1"/>
    <col min="14863" max="14864" width="9.7265625" style="35" customWidth="1"/>
    <col min="14865" max="14865" width="20" style="35" bestFit="1" customWidth="1"/>
    <col min="14866" max="14866" width="8" style="35" bestFit="1" customWidth="1"/>
    <col min="14867" max="14867" width="8.6328125" style="35" bestFit="1" customWidth="1"/>
    <col min="14868" max="14868" width="7.08984375" style="35" customWidth="1"/>
    <col min="14869" max="14869" width="17.453125" style="35" bestFit="1" customWidth="1"/>
    <col min="14870" max="14870" width="10.36328125" style="35" customWidth="1"/>
    <col min="14871" max="14871" width="7.453125" style="35" customWidth="1"/>
    <col min="14872" max="14872" width="9" style="35"/>
    <col min="14873" max="14873" width="10.36328125" style="35" customWidth="1"/>
    <col min="14874" max="15104" width="9" style="35"/>
    <col min="15105" max="15105" width="3.6328125" style="35" customWidth="1"/>
    <col min="15106" max="15106" width="8.08984375" style="35" customWidth="1"/>
    <col min="15107" max="15107" width="7.26953125" style="35" customWidth="1"/>
    <col min="15108" max="15109" width="0" style="35" hidden="1" customWidth="1"/>
    <col min="15110" max="15113" width="9" style="35"/>
    <col min="15114" max="15114" width="62" style="35" customWidth="1"/>
    <col min="15115" max="15115" width="8.6328125" style="35" bestFit="1" customWidth="1"/>
    <col min="15116" max="15116" width="11.26953125" style="35" customWidth="1"/>
    <col min="15117" max="15117" width="14.6328125" style="35" customWidth="1"/>
    <col min="15118" max="15118" width="8.7265625" style="35" customWidth="1"/>
    <col min="15119" max="15120" width="9.7265625" style="35" customWidth="1"/>
    <col min="15121" max="15121" width="20" style="35" bestFit="1" customWidth="1"/>
    <col min="15122" max="15122" width="8" style="35" bestFit="1" customWidth="1"/>
    <col min="15123" max="15123" width="8.6328125" style="35" bestFit="1" customWidth="1"/>
    <col min="15124" max="15124" width="7.08984375" style="35" customWidth="1"/>
    <col min="15125" max="15125" width="17.453125" style="35" bestFit="1" customWidth="1"/>
    <col min="15126" max="15126" width="10.36328125" style="35" customWidth="1"/>
    <col min="15127" max="15127" width="7.453125" style="35" customWidth="1"/>
    <col min="15128" max="15128" width="9" style="35"/>
    <col min="15129" max="15129" width="10.36328125" style="35" customWidth="1"/>
    <col min="15130" max="15360" width="9" style="35"/>
    <col min="15361" max="15361" width="3.6328125" style="35" customWidth="1"/>
    <col min="15362" max="15362" width="8.08984375" style="35" customWidth="1"/>
    <col min="15363" max="15363" width="7.26953125" style="35" customWidth="1"/>
    <col min="15364" max="15365" width="0" style="35" hidden="1" customWidth="1"/>
    <col min="15366" max="15369" width="9" style="35"/>
    <col min="15370" max="15370" width="62" style="35" customWidth="1"/>
    <col min="15371" max="15371" width="8.6328125" style="35" bestFit="1" customWidth="1"/>
    <col min="15372" max="15372" width="11.26953125" style="35" customWidth="1"/>
    <col min="15373" max="15373" width="14.6328125" style="35" customWidth="1"/>
    <col min="15374" max="15374" width="8.7265625" style="35" customWidth="1"/>
    <col min="15375" max="15376" width="9.7265625" style="35" customWidth="1"/>
    <col min="15377" max="15377" width="20" style="35" bestFit="1" customWidth="1"/>
    <col min="15378" max="15378" width="8" style="35" bestFit="1" customWidth="1"/>
    <col min="15379" max="15379" width="8.6328125" style="35" bestFit="1" customWidth="1"/>
    <col min="15380" max="15380" width="7.08984375" style="35" customWidth="1"/>
    <col min="15381" max="15381" width="17.453125" style="35" bestFit="1" customWidth="1"/>
    <col min="15382" max="15382" width="10.36328125" style="35" customWidth="1"/>
    <col min="15383" max="15383" width="7.453125" style="35" customWidth="1"/>
    <col min="15384" max="15384" width="9" style="35"/>
    <col min="15385" max="15385" width="10.36328125" style="35" customWidth="1"/>
    <col min="15386" max="15616" width="9" style="35"/>
    <col min="15617" max="15617" width="3.6328125" style="35" customWidth="1"/>
    <col min="15618" max="15618" width="8.08984375" style="35" customWidth="1"/>
    <col min="15619" max="15619" width="7.26953125" style="35" customWidth="1"/>
    <col min="15620" max="15621" width="0" style="35" hidden="1" customWidth="1"/>
    <col min="15622" max="15625" width="9" style="35"/>
    <col min="15626" max="15626" width="62" style="35" customWidth="1"/>
    <col min="15627" max="15627" width="8.6328125" style="35" bestFit="1" customWidth="1"/>
    <col min="15628" max="15628" width="11.26953125" style="35" customWidth="1"/>
    <col min="15629" max="15629" width="14.6328125" style="35" customWidth="1"/>
    <col min="15630" max="15630" width="8.7265625" style="35" customWidth="1"/>
    <col min="15631" max="15632" width="9.7265625" style="35" customWidth="1"/>
    <col min="15633" max="15633" width="20" style="35" bestFit="1" customWidth="1"/>
    <col min="15634" max="15634" width="8" style="35" bestFit="1" customWidth="1"/>
    <col min="15635" max="15635" width="8.6328125" style="35" bestFit="1" customWidth="1"/>
    <col min="15636" max="15636" width="7.08984375" style="35" customWidth="1"/>
    <col min="15637" max="15637" width="17.453125" style="35" bestFit="1" customWidth="1"/>
    <col min="15638" max="15638" width="10.36328125" style="35" customWidth="1"/>
    <col min="15639" max="15639" width="7.453125" style="35" customWidth="1"/>
    <col min="15640" max="15640" width="9" style="35"/>
    <col min="15641" max="15641" width="10.36328125" style="35" customWidth="1"/>
    <col min="15642" max="15872" width="9" style="35"/>
    <col min="15873" max="15873" width="3.6328125" style="35" customWidth="1"/>
    <col min="15874" max="15874" width="8.08984375" style="35" customWidth="1"/>
    <col min="15875" max="15875" width="7.26953125" style="35" customWidth="1"/>
    <col min="15876" max="15877" width="0" style="35" hidden="1" customWidth="1"/>
    <col min="15878" max="15881" width="9" style="35"/>
    <col min="15882" max="15882" width="62" style="35" customWidth="1"/>
    <col min="15883" max="15883" width="8.6328125" style="35" bestFit="1" customWidth="1"/>
    <col min="15884" max="15884" width="11.26953125" style="35" customWidth="1"/>
    <col min="15885" max="15885" width="14.6328125" style="35" customWidth="1"/>
    <col min="15886" max="15886" width="8.7265625" style="35" customWidth="1"/>
    <col min="15887" max="15888" width="9.7265625" style="35" customWidth="1"/>
    <col min="15889" max="15889" width="20" style="35" bestFit="1" customWidth="1"/>
    <col min="15890" max="15890" width="8" style="35" bestFit="1" customWidth="1"/>
    <col min="15891" max="15891" width="8.6328125" style="35" bestFit="1" customWidth="1"/>
    <col min="15892" max="15892" width="7.08984375" style="35" customWidth="1"/>
    <col min="15893" max="15893" width="17.453125" style="35" bestFit="1" customWidth="1"/>
    <col min="15894" max="15894" width="10.36328125" style="35" customWidth="1"/>
    <col min="15895" max="15895" width="7.453125" style="35" customWidth="1"/>
    <col min="15896" max="15896" width="9" style="35"/>
    <col min="15897" max="15897" width="10.36328125" style="35" customWidth="1"/>
    <col min="15898" max="16128" width="9" style="35"/>
    <col min="16129" max="16129" width="3.6328125" style="35" customWidth="1"/>
    <col min="16130" max="16130" width="8.08984375" style="35" customWidth="1"/>
    <col min="16131" max="16131" width="7.26953125" style="35" customWidth="1"/>
    <col min="16132" max="16133" width="0" style="35" hidden="1" customWidth="1"/>
    <col min="16134" max="16137" width="9" style="35"/>
    <col min="16138" max="16138" width="62" style="35" customWidth="1"/>
    <col min="16139" max="16139" width="8.6328125" style="35" bestFit="1" customWidth="1"/>
    <col min="16140" max="16140" width="11.26953125" style="35" customWidth="1"/>
    <col min="16141" max="16141" width="14.6328125" style="35" customWidth="1"/>
    <col min="16142" max="16142" width="8.7265625" style="35" customWidth="1"/>
    <col min="16143" max="16144" width="9.7265625" style="35" customWidth="1"/>
    <col min="16145" max="16145" width="20" style="35" bestFit="1" customWidth="1"/>
    <col min="16146" max="16146" width="8" style="35" bestFit="1" customWidth="1"/>
    <col min="16147" max="16147" width="8.6328125" style="35" bestFit="1" customWidth="1"/>
    <col min="16148" max="16148" width="7.08984375" style="35" customWidth="1"/>
    <col min="16149" max="16149" width="17.453125" style="35" bestFit="1" customWidth="1"/>
    <col min="16150" max="16150" width="10.36328125" style="35" customWidth="1"/>
    <col min="16151" max="16151" width="7.453125" style="35" customWidth="1"/>
    <col min="16152" max="16152" width="9" style="35"/>
    <col min="16153" max="16153" width="10.36328125" style="35" customWidth="1"/>
    <col min="16154" max="16384" width="9" style="35"/>
  </cols>
  <sheetData>
    <row r="1" spans="1:10">
      <c r="A1" s="36" t="s">
        <v>85</v>
      </c>
    </row>
    <row r="2" spans="1:10" s="84" customFormat="1" ht="24" customHeight="1" thickBot="1">
      <c r="A2" s="110"/>
      <c r="B2" s="418" t="s">
        <v>259</v>
      </c>
      <c r="C2" s="418"/>
      <c r="D2" s="418"/>
      <c r="E2" s="418"/>
      <c r="F2" s="418"/>
      <c r="G2" s="418"/>
      <c r="H2" s="418"/>
      <c r="I2" s="418"/>
      <c r="J2" s="418"/>
    </row>
    <row r="3" spans="1:10" ht="14.25" customHeight="1" thickTop="1" thickBot="1">
      <c r="B3" s="41" t="s">
        <v>87</v>
      </c>
      <c r="C3" s="41" t="s">
        <v>88</v>
      </c>
      <c r="D3" s="41"/>
      <c r="E3" s="42"/>
      <c r="F3" s="37"/>
      <c r="G3" s="37"/>
      <c r="H3" s="37"/>
      <c r="I3" s="37"/>
      <c r="J3" s="37"/>
    </row>
    <row r="4" spans="1:10" ht="14.25" customHeight="1">
      <c r="B4" s="419" t="s">
        <v>260</v>
      </c>
      <c r="C4" s="111" t="s">
        <v>261</v>
      </c>
      <c r="D4" s="111" t="s">
        <v>262</v>
      </c>
      <c r="E4" s="111"/>
      <c r="F4" s="111"/>
      <c r="G4" s="111"/>
      <c r="H4" s="111"/>
      <c r="I4" s="111"/>
      <c r="J4" s="112"/>
    </row>
    <row r="5" spans="1:10" ht="14.25" customHeight="1" thickBot="1">
      <c r="B5" s="420"/>
      <c r="C5" s="421"/>
      <c r="D5" s="422"/>
      <c r="E5" s="423"/>
      <c r="F5" s="423"/>
      <c r="G5" s="423"/>
      <c r="H5" s="423"/>
      <c r="I5" s="423"/>
      <c r="J5" s="424"/>
    </row>
    <row r="6" spans="1:10" ht="14.25" customHeight="1">
      <c r="B6" s="116"/>
      <c r="D6" s="67"/>
      <c r="E6" s="67"/>
      <c r="F6" s="67"/>
      <c r="G6" s="67"/>
      <c r="H6" s="67"/>
      <c r="I6" s="67"/>
      <c r="J6" s="58"/>
    </row>
    <row r="7" spans="1:10" ht="14.25" customHeight="1">
      <c r="B7" s="225" t="s">
        <v>263</v>
      </c>
      <c r="C7" s="67"/>
      <c r="D7" s="226"/>
      <c r="E7" s="227"/>
      <c r="F7" s="227"/>
      <c r="G7" s="226"/>
      <c r="H7" s="226"/>
      <c r="I7" s="226"/>
      <c r="J7" s="58"/>
    </row>
    <row r="8" spans="1:10" ht="14.25" customHeight="1">
      <c r="B8" s="228"/>
      <c r="C8" s="119"/>
      <c r="D8" s="51" t="s">
        <v>264</v>
      </c>
      <c r="E8" s="51"/>
      <c r="F8" s="51"/>
      <c r="G8" s="51"/>
      <c r="H8" s="51"/>
      <c r="I8" s="51"/>
      <c r="J8" s="229" t="s">
        <v>265</v>
      </c>
    </row>
    <row r="9" spans="1:10" ht="14.25" customHeight="1">
      <c r="B9" s="116"/>
      <c r="D9" s="67"/>
      <c r="E9" s="67"/>
      <c r="F9" s="67"/>
      <c r="G9" s="67"/>
      <c r="H9" s="67"/>
      <c r="I9" s="67"/>
      <c r="J9" s="58"/>
    </row>
    <row r="10" spans="1:10" ht="14.25" customHeight="1">
      <c r="B10" s="116"/>
      <c r="D10" s="67"/>
      <c r="E10" s="67"/>
      <c r="F10" s="67"/>
      <c r="G10" s="67"/>
      <c r="H10" s="67"/>
      <c r="I10" s="67"/>
      <c r="J10" s="58"/>
    </row>
    <row r="11" spans="1:10" ht="14.25" customHeight="1">
      <c r="B11" s="116"/>
      <c r="D11" s="67"/>
      <c r="E11" s="67"/>
      <c r="F11" s="67"/>
      <c r="G11" s="67"/>
      <c r="H11" s="67"/>
      <c r="I11" s="67"/>
      <c r="J11" s="58"/>
    </row>
    <row r="12" spans="1:10" ht="14.25" customHeight="1">
      <c r="B12" s="116"/>
      <c r="D12" s="67"/>
      <c r="E12" s="67"/>
      <c r="F12" s="67"/>
      <c r="G12" s="67"/>
      <c r="H12" s="67"/>
      <c r="I12" s="67"/>
      <c r="J12" s="58"/>
    </row>
    <row r="13" spans="1:10" ht="14.25" customHeight="1">
      <c r="B13" s="116"/>
      <c r="D13" s="67"/>
      <c r="E13" s="67"/>
      <c r="F13" s="67"/>
      <c r="G13" s="67"/>
      <c r="H13" s="67"/>
      <c r="I13" s="67"/>
      <c r="J13" s="58"/>
    </row>
    <row r="14" spans="1:10" ht="14.25" customHeight="1">
      <c r="B14" s="116"/>
      <c r="D14" s="67"/>
      <c r="E14" s="67"/>
      <c r="F14" s="67"/>
      <c r="G14" s="67"/>
      <c r="H14" s="67"/>
      <c r="I14" s="67"/>
      <c r="J14" s="58"/>
    </row>
    <row r="15" spans="1:10" ht="14.25" customHeight="1">
      <c r="B15" s="116"/>
      <c r="D15" s="67"/>
      <c r="E15" s="67"/>
      <c r="F15" s="67"/>
      <c r="G15" s="67"/>
      <c r="H15" s="67"/>
      <c r="I15" s="67"/>
      <c r="J15" s="58"/>
    </row>
    <row r="16" spans="1:10" ht="14.25" customHeight="1">
      <c r="B16" s="116"/>
      <c r="D16" s="67"/>
      <c r="E16" s="67"/>
      <c r="F16" s="67"/>
      <c r="G16" s="67"/>
      <c r="H16" s="67"/>
      <c r="I16" s="67"/>
      <c r="J16" s="58"/>
    </row>
    <row r="17" spans="2:10" ht="14.25" customHeight="1">
      <c r="B17" s="116"/>
      <c r="D17" s="67"/>
      <c r="E17" s="67"/>
      <c r="F17" s="67"/>
      <c r="G17" s="67"/>
      <c r="H17" s="67"/>
      <c r="I17" s="67"/>
      <c r="J17" s="58"/>
    </row>
    <row r="18" spans="2:10" ht="14.25" customHeight="1">
      <c r="B18" s="50"/>
      <c r="C18" s="51"/>
      <c r="D18" s="51"/>
      <c r="E18" s="51"/>
      <c r="F18" s="51"/>
      <c r="G18" s="51"/>
      <c r="H18" s="51"/>
      <c r="I18" s="51"/>
      <c r="J18" s="52"/>
    </row>
    <row r="19" spans="2:10" ht="14.25" customHeight="1">
      <c r="B19" s="230" t="s">
        <v>266</v>
      </c>
      <c r="C19" s="67" t="s">
        <v>267</v>
      </c>
      <c r="D19" s="75" t="s">
        <v>268</v>
      </c>
      <c r="E19" s="67"/>
      <c r="F19" s="67"/>
      <c r="G19" s="67"/>
      <c r="H19" s="67"/>
      <c r="I19" s="67"/>
      <c r="J19" s="58"/>
    </row>
    <row r="20" spans="2:10" ht="14.25" customHeight="1">
      <c r="B20" s="117"/>
      <c r="C20" s="118"/>
      <c r="D20" s="67"/>
      <c r="E20" s="67"/>
      <c r="F20" s="67"/>
      <c r="G20" s="67"/>
      <c r="H20" s="67"/>
      <c r="I20" s="67"/>
      <c r="J20" s="58"/>
    </row>
    <row r="21" spans="2:10" ht="14.25" customHeight="1">
      <c r="B21" s="116"/>
      <c r="D21" s="67"/>
      <c r="E21" s="67"/>
      <c r="F21" s="67"/>
      <c r="G21" s="67"/>
      <c r="H21" s="67"/>
      <c r="I21" s="67"/>
      <c r="J21" s="58"/>
    </row>
    <row r="22" spans="2:10" ht="14.25" customHeight="1">
      <c r="B22" s="116"/>
      <c r="D22" s="67"/>
      <c r="E22" s="67"/>
      <c r="F22" s="67"/>
      <c r="G22" s="67"/>
      <c r="H22" s="67"/>
      <c r="I22" s="67"/>
      <c r="J22" s="58"/>
    </row>
    <row r="23" spans="2:10" ht="14.25" customHeight="1">
      <c r="B23" s="116"/>
      <c r="D23" s="67"/>
      <c r="E23" s="67"/>
      <c r="F23" s="67"/>
      <c r="G23" s="67"/>
      <c r="H23" s="67"/>
      <c r="I23" s="67"/>
      <c r="J23" s="58"/>
    </row>
    <row r="24" spans="2:10" ht="14.25" customHeight="1">
      <c r="B24" s="116"/>
      <c r="D24" s="67"/>
      <c r="E24" s="67"/>
      <c r="F24" s="67"/>
      <c r="G24" s="67"/>
      <c r="H24" s="67"/>
      <c r="I24" s="67"/>
      <c r="J24" s="58"/>
    </row>
    <row r="25" spans="2:10" ht="14.25" customHeight="1">
      <c r="B25" s="116"/>
      <c r="D25" s="67"/>
      <c r="E25" s="67"/>
      <c r="F25" s="67"/>
      <c r="G25" s="67"/>
      <c r="H25" s="67"/>
      <c r="I25" s="67"/>
      <c r="J25" s="58"/>
    </row>
    <row r="26" spans="2:10" ht="14.25" customHeight="1">
      <c r="B26" s="116"/>
      <c r="D26" s="67"/>
      <c r="E26" s="67"/>
      <c r="F26" s="67"/>
      <c r="G26" s="67"/>
      <c r="H26" s="67"/>
      <c r="I26" s="67"/>
      <c r="J26" s="58"/>
    </row>
    <row r="27" spans="2:10" ht="14.25" customHeight="1">
      <c r="B27" s="116"/>
      <c r="D27" s="67"/>
      <c r="E27" s="67"/>
      <c r="F27" s="67"/>
      <c r="G27" s="67"/>
      <c r="H27" s="67"/>
      <c r="I27" s="67"/>
      <c r="J27" s="58"/>
    </row>
    <row r="28" spans="2:10" ht="14.25" customHeight="1">
      <c r="B28" s="116"/>
      <c r="D28" s="67"/>
      <c r="E28" s="67"/>
      <c r="F28" s="67"/>
      <c r="G28" s="67"/>
      <c r="H28" s="67"/>
      <c r="I28" s="67"/>
      <c r="J28" s="58"/>
    </row>
    <row r="29" spans="2:10" ht="14.25" customHeight="1">
      <c r="B29" s="116"/>
      <c r="D29" s="67"/>
      <c r="E29" s="67"/>
      <c r="F29" s="67"/>
      <c r="G29" s="67"/>
      <c r="H29" s="67"/>
      <c r="I29" s="67"/>
      <c r="J29" s="58"/>
    </row>
    <row r="30" spans="2:10" ht="14.25" customHeight="1">
      <c r="B30" s="116"/>
      <c r="D30" s="67"/>
      <c r="E30" s="67"/>
      <c r="F30" s="67"/>
      <c r="G30" s="67"/>
      <c r="H30" s="67"/>
      <c r="I30" s="67"/>
      <c r="J30" s="58"/>
    </row>
    <row r="31" spans="2:10" ht="14.25" customHeight="1">
      <c r="B31" s="116"/>
      <c r="D31" s="67"/>
      <c r="E31" s="67"/>
      <c r="F31" s="67"/>
      <c r="G31" s="67"/>
      <c r="H31" s="67"/>
      <c r="I31" s="67"/>
      <c r="J31" s="58"/>
    </row>
    <row r="32" spans="2:10" ht="14.25" customHeight="1">
      <c r="B32" s="116"/>
      <c r="D32" s="67"/>
      <c r="E32" s="67"/>
      <c r="F32" s="67"/>
      <c r="G32" s="67"/>
      <c r="H32" s="67"/>
      <c r="I32" s="67"/>
      <c r="J32" s="58"/>
    </row>
    <row r="33" spans="2:10" ht="14.25" customHeight="1">
      <c r="B33" s="230" t="s">
        <v>269</v>
      </c>
      <c r="C33" s="67" t="s">
        <v>270</v>
      </c>
      <c r="D33" s="75" t="s">
        <v>270</v>
      </c>
      <c r="E33" s="67"/>
      <c r="F33" s="67"/>
      <c r="G33" s="67"/>
      <c r="H33" s="67"/>
      <c r="I33" s="67"/>
      <c r="J33" s="58"/>
    </row>
    <row r="34" spans="2:10" ht="14.25" customHeight="1">
      <c r="B34" s="116"/>
      <c r="D34" s="67"/>
      <c r="E34" s="67"/>
      <c r="F34" s="67"/>
      <c r="G34" s="67"/>
      <c r="H34" s="67"/>
      <c r="I34" s="67"/>
      <c r="J34" s="58"/>
    </row>
    <row r="35" spans="2:10" ht="14.25" customHeight="1">
      <c r="B35" s="116"/>
      <c r="D35" s="67"/>
      <c r="E35" s="67"/>
      <c r="F35" s="67"/>
      <c r="G35" s="67"/>
      <c r="H35" s="67"/>
      <c r="I35" s="67"/>
      <c r="J35" s="58"/>
    </row>
    <row r="36" spans="2:10" ht="14.25" customHeight="1">
      <c r="B36" s="116"/>
      <c r="D36" s="67"/>
      <c r="E36" s="67"/>
      <c r="F36" s="67"/>
      <c r="G36" s="67"/>
      <c r="H36" s="67"/>
      <c r="I36" s="67"/>
      <c r="J36" s="58"/>
    </row>
    <row r="37" spans="2:10" ht="14.25" customHeight="1">
      <c r="B37" s="116"/>
      <c r="D37" s="67"/>
      <c r="E37" s="67"/>
      <c r="F37" s="67"/>
      <c r="G37" s="67"/>
      <c r="H37" s="67"/>
      <c r="I37" s="67"/>
      <c r="J37" s="58"/>
    </row>
    <row r="38" spans="2:10" ht="14.25" customHeight="1">
      <c r="B38" s="116"/>
      <c r="D38" s="67"/>
      <c r="E38" s="67"/>
      <c r="F38" s="67"/>
      <c r="G38" s="67"/>
      <c r="H38" s="67"/>
      <c r="I38" s="67"/>
      <c r="J38" s="58"/>
    </row>
    <row r="39" spans="2:10" ht="14.25" customHeight="1">
      <c r="B39" s="116"/>
      <c r="D39" s="67"/>
      <c r="E39" s="67"/>
      <c r="F39" s="67"/>
      <c r="G39" s="67"/>
      <c r="H39" s="67"/>
      <c r="I39" s="67"/>
      <c r="J39" s="58"/>
    </row>
    <row r="40" spans="2:10" ht="14.25" customHeight="1">
      <c r="B40" s="116"/>
      <c r="D40" s="67"/>
      <c r="E40" s="67"/>
      <c r="F40" s="67"/>
      <c r="G40" s="67"/>
      <c r="H40" s="67"/>
      <c r="I40" s="67"/>
      <c r="J40" s="58"/>
    </row>
    <row r="41" spans="2:10" ht="14.25" customHeight="1">
      <c r="B41" s="116"/>
      <c r="D41" s="67"/>
      <c r="E41" s="67"/>
      <c r="F41" s="67"/>
      <c r="G41" s="67"/>
      <c r="H41" s="67"/>
      <c r="I41" s="67"/>
      <c r="J41" s="58"/>
    </row>
    <row r="42" spans="2:10" ht="14.25" customHeight="1">
      <c r="B42" s="116"/>
      <c r="D42" s="67"/>
      <c r="E42" s="67"/>
      <c r="F42" s="67"/>
      <c r="G42" s="67"/>
      <c r="H42" s="67"/>
      <c r="I42" s="67"/>
      <c r="J42" s="58"/>
    </row>
    <row r="43" spans="2:10" ht="14.25" customHeight="1">
      <c r="B43" s="116"/>
      <c r="D43" s="67"/>
      <c r="E43" s="67"/>
      <c r="F43" s="67"/>
      <c r="G43" s="67"/>
      <c r="H43" s="67"/>
      <c r="I43" s="67"/>
      <c r="J43" s="58"/>
    </row>
    <row r="44" spans="2:10" ht="14.25" customHeight="1">
      <c r="B44" s="113"/>
      <c r="C44" s="231"/>
      <c r="D44" s="114"/>
      <c r="E44" s="51"/>
      <c r="F44" s="51"/>
      <c r="G44" s="51"/>
      <c r="H44" s="51"/>
      <c r="I44" s="51"/>
      <c r="J44" s="52"/>
    </row>
    <row r="45" spans="2:10" ht="14.25" customHeight="1" thickBot="1">
      <c r="B45" s="131"/>
      <c r="C45" s="132"/>
      <c r="D45" s="81"/>
      <c r="E45" s="81"/>
      <c r="F45" s="81"/>
      <c r="G45" s="81"/>
      <c r="H45" s="81"/>
      <c r="I45" s="81"/>
      <c r="J45" s="82"/>
    </row>
    <row r="46" spans="2:10" ht="14.25" customHeight="1">
      <c r="B46" s="419" t="s">
        <v>271</v>
      </c>
      <c r="C46" s="111" t="s">
        <v>262</v>
      </c>
      <c r="D46" s="111" t="s">
        <v>262</v>
      </c>
      <c r="E46" s="111"/>
      <c r="F46" s="111"/>
      <c r="G46" s="111"/>
      <c r="H46" s="111"/>
      <c r="I46" s="111"/>
      <c r="J46" s="112"/>
    </row>
    <row r="47" spans="2:10" ht="14.25" customHeight="1" thickBot="1">
      <c r="B47" s="420"/>
      <c r="C47" s="421"/>
      <c r="D47" s="422"/>
      <c r="E47" s="423"/>
      <c r="F47" s="423"/>
      <c r="G47" s="423"/>
      <c r="H47" s="423"/>
      <c r="I47" s="423"/>
      <c r="J47" s="424"/>
    </row>
    <row r="48" spans="2:10" ht="17.25" customHeight="1">
      <c r="B48" s="232"/>
      <c r="C48" s="233" t="s">
        <v>272</v>
      </c>
      <c r="D48" s="233"/>
      <c r="E48" s="233"/>
      <c r="F48" s="233"/>
      <c r="G48" s="233"/>
      <c r="H48" s="233"/>
      <c r="I48" s="233"/>
      <c r="J48" s="234"/>
    </row>
    <row r="49" spans="2:10" ht="17.25" customHeight="1">
      <c r="B49" s="235"/>
      <c r="C49" s="78" t="s">
        <v>273</v>
      </c>
      <c r="D49" s="75"/>
      <c r="E49" s="75"/>
      <c r="F49" s="75"/>
      <c r="G49" s="75"/>
      <c r="H49" s="75"/>
      <c r="I49" s="75"/>
      <c r="J49" s="236"/>
    </row>
    <row r="50" spans="2:10" ht="17.25" customHeight="1">
      <c r="B50" s="237"/>
      <c r="C50" s="167"/>
      <c r="D50" s="75"/>
      <c r="E50" s="75"/>
      <c r="F50" s="75"/>
      <c r="G50" s="75"/>
      <c r="H50" s="75"/>
      <c r="I50" s="75"/>
      <c r="J50" s="236"/>
    </row>
    <row r="51" spans="2:10" ht="17.25" customHeight="1">
      <c r="B51" s="237"/>
      <c r="C51" s="167"/>
      <c r="D51" s="75"/>
      <c r="E51" s="75"/>
      <c r="F51" s="75"/>
      <c r="G51" s="75"/>
      <c r="H51" s="75"/>
      <c r="I51" s="75"/>
      <c r="J51" s="236"/>
    </row>
    <row r="52" spans="2:10" ht="17.25" customHeight="1">
      <c r="B52" s="237"/>
      <c r="C52" s="167"/>
      <c r="D52" s="75"/>
      <c r="E52" s="75"/>
      <c r="F52" s="75"/>
      <c r="G52" s="75"/>
      <c r="H52" s="75"/>
      <c r="I52" s="75"/>
      <c r="J52" s="236"/>
    </row>
    <row r="53" spans="2:10" ht="17.25" customHeight="1">
      <c r="B53" s="237"/>
      <c r="C53" s="167"/>
      <c r="D53" s="75"/>
      <c r="E53" s="75"/>
      <c r="F53" s="75"/>
      <c r="G53" s="75"/>
      <c r="H53" s="75"/>
      <c r="I53" s="75"/>
      <c r="J53" s="236"/>
    </row>
    <row r="54" spans="2:10" ht="17.25" customHeight="1">
      <c r="B54" s="237"/>
      <c r="C54" s="167"/>
      <c r="D54" s="75"/>
      <c r="E54" s="75"/>
      <c r="F54" s="75"/>
      <c r="G54" s="75"/>
      <c r="H54" s="75"/>
      <c r="I54" s="75"/>
      <c r="J54" s="236"/>
    </row>
    <row r="55" spans="2:10" ht="17.25" customHeight="1">
      <c r="B55" s="235"/>
      <c r="C55" s="167"/>
      <c r="D55" s="75"/>
      <c r="E55" s="75"/>
      <c r="F55" s="75"/>
      <c r="G55" s="75"/>
      <c r="H55" s="75"/>
      <c r="I55" s="75"/>
      <c r="J55" s="236"/>
    </row>
    <row r="56" spans="2:10" ht="17.25" customHeight="1">
      <c r="B56" s="235"/>
      <c r="D56" s="67"/>
      <c r="E56" s="67"/>
      <c r="F56" s="67"/>
      <c r="G56" s="67"/>
      <c r="H56" s="67"/>
      <c r="I56" s="67"/>
      <c r="J56" s="58"/>
    </row>
    <row r="57" spans="2:10" ht="17.25" customHeight="1">
      <c r="B57" s="117"/>
      <c r="C57" s="118"/>
      <c r="D57" s="67"/>
      <c r="E57" s="67"/>
      <c r="F57" s="67"/>
      <c r="G57" s="67"/>
      <c r="H57" s="67"/>
      <c r="I57" s="67"/>
      <c r="J57" s="58"/>
    </row>
    <row r="58" spans="2:10" ht="17.25" customHeight="1">
      <c r="B58" s="116"/>
      <c r="D58" s="67"/>
      <c r="E58" s="67"/>
      <c r="F58" s="67"/>
      <c r="G58" s="67"/>
      <c r="H58" s="67"/>
      <c r="I58" s="67"/>
      <c r="J58" s="58"/>
    </row>
    <row r="59" spans="2:10" ht="17.25" customHeight="1">
      <c r="B59" s="116"/>
      <c r="D59" s="67"/>
      <c r="E59" s="67"/>
      <c r="F59" s="67"/>
      <c r="G59" s="67"/>
      <c r="H59" s="67"/>
      <c r="I59" s="67"/>
      <c r="J59" s="58"/>
    </row>
    <row r="60" spans="2:10" ht="17.25" customHeight="1">
      <c r="B60" s="116"/>
      <c r="D60" s="67"/>
      <c r="E60" s="67"/>
      <c r="F60" s="67"/>
      <c r="G60" s="67"/>
      <c r="H60" s="67"/>
      <c r="I60" s="67"/>
      <c r="J60" s="58"/>
    </row>
    <row r="61" spans="2:10" ht="17.25" customHeight="1">
      <c r="B61" s="116"/>
      <c r="D61" s="67"/>
      <c r="E61" s="67"/>
      <c r="F61" s="67"/>
      <c r="G61" s="67"/>
      <c r="H61" s="67"/>
      <c r="I61" s="67"/>
      <c r="J61" s="58"/>
    </row>
    <row r="62" spans="2:10" ht="17.25" customHeight="1" thickBot="1">
      <c r="B62" s="123"/>
      <c r="C62" s="124"/>
      <c r="D62" s="125"/>
      <c r="E62" s="125"/>
      <c r="F62" s="125"/>
      <c r="G62" s="125"/>
      <c r="H62" s="125"/>
      <c r="I62" s="125"/>
      <c r="J62" s="126"/>
    </row>
    <row r="63" spans="2:10" ht="14.25" customHeight="1">
      <c r="B63" s="419" t="s">
        <v>274</v>
      </c>
      <c r="C63" s="111" t="s">
        <v>275</v>
      </c>
      <c r="D63" s="111" t="s">
        <v>276</v>
      </c>
      <c r="E63" s="111"/>
      <c r="F63" s="111"/>
      <c r="G63" s="111"/>
      <c r="H63" s="111"/>
      <c r="I63" s="111"/>
      <c r="J63" s="112"/>
    </row>
    <row r="64" spans="2:10" ht="14.25" customHeight="1" thickBot="1">
      <c r="B64" s="420"/>
      <c r="C64" s="421"/>
      <c r="D64" s="422"/>
      <c r="E64" s="423"/>
      <c r="F64" s="423"/>
      <c r="G64" s="423"/>
      <c r="H64" s="423"/>
      <c r="I64" s="423"/>
      <c r="J64" s="424"/>
    </row>
    <row r="65" spans="2:10" ht="17.25" customHeight="1">
      <c r="B65" s="232"/>
      <c r="C65" s="233" t="s">
        <v>272</v>
      </c>
      <c r="D65" s="233"/>
      <c r="E65" s="233"/>
      <c r="F65" s="233"/>
      <c r="G65" s="233"/>
      <c r="H65" s="233"/>
      <c r="I65" s="233"/>
      <c r="J65" s="234"/>
    </row>
    <row r="66" spans="2:10" ht="17.25" customHeight="1">
      <c r="B66" s="235"/>
      <c r="C66" s="78" t="s">
        <v>277</v>
      </c>
      <c r="D66" s="75"/>
      <c r="E66" s="75"/>
      <c r="F66" s="75"/>
      <c r="G66" s="75"/>
      <c r="H66" s="75"/>
      <c r="I66" s="75"/>
      <c r="J66" s="236"/>
    </row>
    <row r="67" spans="2:10" ht="17.25" customHeight="1">
      <c r="B67" s="235"/>
      <c r="C67" s="78"/>
      <c r="D67" s="75"/>
      <c r="E67" s="75"/>
      <c r="F67" s="75"/>
      <c r="G67" s="75"/>
      <c r="H67" s="75"/>
      <c r="I67" s="75"/>
      <c r="J67" s="236"/>
    </row>
    <row r="68" spans="2:10" ht="17.25" customHeight="1">
      <c r="B68" s="116"/>
      <c r="D68" s="67"/>
      <c r="E68" s="67"/>
      <c r="F68" s="67"/>
      <c r="G68" s="67"/>
      <c r="H68" s="67"/>
      <c r="I68" s="67"/>
      <c r="J68" s="58"/>
    </row>
    <row r="69" spans="2:10" ht="17.25" customHeight="1">
      <c r="B69" s="117"/>
      <c r="C69" s="118"/>
      <c r="D69" s="67"/>
      <c r="E69" s="67"/>
      <c r="F69" s="67"/>
      <c r="G69" s="67"/>
      <c r="H69" s="67"/>
      <c r="I69" s="67"/>
      <c r="J69" s="58"/>
    </row>
    <row r="70" spans="2:10" ht="17.25" customHeight="1">
      <c r="B70" s="116"/>
      <c r="D70" s="67"/>
      <c r="E70" s="67"/>
      <c r="F70" s="67"/>
      <c r="G70" s="67"/>
      <c r="H70" s="67"/>
      <c r="I70" s="67"/>
      <c r="J70" s="58"/>
    </row>
    <row r="71" spans="2:10" ht="17.25" customHeight="1">
      <c r="B71" s="116"/>
      <c r="D71" s="67"/>
      <c r="E71" s="67"/>
      <c r="F71" s="67"/>
      <c r="G71" s="67"/>
      <c r="H71" s="67"/>
      <c r="I71" s="67"/>
      <c r="J71" s="58"/>
    </row>
    <row r="72" spans="2:10" ht="17.25" customHeight="1">
      <c r="B72" s="235"/>
      <c r="D72" s="67"/>
      <c r="E72" s="67"/>
      <c r="F72" s="67"/>
      <c r="G72" s="67"/>
      <c r="H72" s="67"/>
      <c r="I72" s="67"/>
      <c r="J72" s="58"/>
    </row>
    <row r="73" spans="2:10" ht="17.25" customHeight="1">
      <c r="B73" s="116"/>
      <c r="D73" s="67"/>
      <c r="E73" s="67"/>
      <c r="F73" s="67"/>
      <c r="G73" s="67"/>
      <c r="H73" s="67"/>
      <c r="I73" s="67"/>
      <c r="J73" s="58"/>
    </row>
    <row r="74" spans="2:10" ht="17.25" customHeight="1">
      <c r="B74" s="116"/>
      <c r="D74" s="67"/>
      <c r="E74" s="67"/>
      <c r="F74" s="67"/>
      <c r="G74" s="67"/>
      <c r="H74" s="67"/>
      <c r="I74" s="67"/>
      <c r="J74" s="58"/>
    </row>
    <row r="75" spans="2:10" ht="17.25" customHeight="1">
      <c r="B75" s="116"/>
      <c r="D75" s="67"/>
      <c r="E75" s="67"/>
      <c r="F75" s="67"/>
      <c r="G75" s="67"/>
      <c r="H75" s="67"/>
      <c r="I75" s="67"/>
      <c r="J75" s="58"/>
    </row>
    <row r="76" spans="2:10" ht="17.25" customHeight="1">
      <c r="B76" s="116"/>
      <c r="D76" s="67"/>
      <c r="E76" s="67"/>
      <c r="F76" s="67"/>
      <c r="G76" s="67"/>
      <c r="H76" s="67"/>
      <c r="I76" s="67"/>
      <c r="J76" s="58"/>
    </row>
    <row r="77" spans="2:10" ht="17.25" customHeight="1">
      <c r="B77" s="116"/>
      <c r="D77" s="67"/>
      <c r="E77" s="67"/>
      <c r="F77" s="67"/>
      <c r="G77" s="67"/>
      <c r="H77" s="67"/>
      <c r="I77" s="67"/>
      <c r="J77" s="58"/>
    </row>
    <row r="78" spans="2:10" ht="17.25" customHeight="1" thickBot="1">
      <c r="B78" s="123"/>
      <c r="C78" s="124"/>
      <c r="D78" s="125"/>
      <c r="E78" s="125"/>
      <c r="F78" s="125"/>
      <c r="G78" s="125"/>
      <c r="H78" s="125"/>
      <c r="I78" s="125"/>
      <c r="J78" s="126"/>
    </row>
    <row r="79" spans="2:10" ht="14.25" customHeight="1">
      <c r="B79" s="419" t="s">
        <v>278</v>
      </c>
      <c r="C79" s="111" t="s">
        <v>279</v>
      </c>
      <c r="D79" s="111" t="s">
        <v>280</v>
      </c>
      <c r="E79" s="111"/>
      <c r="F79" s="111"/>
      <c r="G79" s="111"/>
      <c r="H79" s="111"/>
      <c r="I79" s="111"/>
      <c r="J79" s="112"/>
    </row>
    <row r="80" spans="2:10" ht="14.25" customHeight="1" thickBot="1">
      <c r="B80" s="420"/>
      <c r="C80" s="421"/>
      <c r="D80" s="422"/>
      <c r="E80" s="423"/>
      <c r="F80" s="423"/>
      <c r="G80" s="423"/>
      <c r="H80" s="423"/>
      <c r="I80" s="423"/>
      <c r="J80" s="424"/>
    </row>
    <row r="81" spans="2:10" ht="17.25" customHeight="1">
      <c r="B81" s="50"/>
      <c r="C81" s="233" t="s">
        <v>281</v>
      </c>
      <c r="D81" s="75"/>
      <c r="E81" s="75"/>
      <c r="F81" s="75"/>
      <c r="G81" s="75"/>
      <c r="H81" s="75"/>
      <c r="I81" s="75"/>
      <c r="J81" s="236"/>
    </row>
    <row r="82" spans="2:10" ht="17.25" customHeight="1">
      <c r="B82" s="66"/>
      <c r="C82" s="167"/>
      <c r="D82" s="75"/>
      <c r="E82" s="75"/>
      <c r="F82" s="75"/>
      <c r="G82" s="75"/>
      <c r="H82" s="75"/>
      <c r="I82" s="75"/>
      <c r="J82" s="236"/>
    </row>
    <row r="83" spans="2:10" ht="17.25" customHeight="1">
      <c r="B83" s="66"/>
      <c r="C83" s="167"/>
      <c r="D83" s="75"/>
      <c r="E83" s="75"/>
      <c r="F83" s="75"/>
      <c r="G83" s="75"/>
      <c r="H83" s="75"/>
      <c r="I83" s="75"/>
      <c r="J83" s="236"/>
    </row>
    <row r="84" spans="2:10" ht="17.25" customHeight="1">
      <c r="B84" s="66"/>
      <c r="C84" s="167"/>
      <c r="D84" s="75"/>
      <c r="E84" s="75"/>
      <c r="F84" s="75"/>
      <c r="G84" s="75"/>
      <c r="H84" s="75"/>
      <c r="I84" s="75"/>
      <c r="J84" s="236"/>
    </row>
    <row r="85" spans="2:10" ht="17.25" customHeight="1">
      <c r="B85" s="66"/>
      <c r="C85" s="167"/>
      <c r="D85" s="75"/>
      <c r="E85" s="75"/>
      <c r="F85" s="75"/>
      <c r="G85" s="75"/>
      <c r="H85" s="75"/>
      <c r="I85" s="75"/>
      <c r="J85" s="236"/>
    </row>
    <row r="86" spans="2:10" ht="17.25" customHeight="1">
      <c r="B86" s="66"/>
      <c r="C86" s="167"/>
      <c r="D86" s="75"/>
      <c r="E86" s="75"/>
      <c r="F86" s="75"/>
      <c r="G86" s="75"/>
      <c r="H86" s="75"/>
      <c r="I86" s="75"/>
      <c r="J86" s="236"/>
    </row>
    <row r="87" spans="2:10" ht="17.25" customHeight="1">
      <c r="B87" s="66"/>
      <c r="C87" s="167"/>
      <c r="D87" s="75"/>
      <c r="E87" s="75"/>
      <c r="F87" s="75"/>
      <c r="G87" s="75"/>
      <c r="H87" s="75"/>
      <c r="I87" s="75"/>
      <c r="J87" s="236"/>
    </row>
    <row r="88" spans="2:10" ht="17.25" customHeight="1">
      <c r="B88" s="66"/>
      <c r="C88" s="167"/>
      <c r="D88" s="75"/>
      <c r="E88" s="75"/>
      <c r="F88" s="75"/>
      <c r="G88" s="75"/>
      <c r="H88" s="75"/>
      <c r="I88" s="75"/>
      <c r="J88" s="236"/>
    </row>
    <row r="89" spans="2:10" ht="17.25" customHeight="1">
      <c r="B89" s="235"/>
      <c r="D89" s="67"/>
      <c r="E89" s="67"/>
      <c r="F89" s="67"/>
      <c r="G89" s="67"/>
      <c r="H89" s="67"/>
      <c r="I89" s="67"/>
      <c r="J89" s="58"/>
    </row>
    <row r="90" spans="2:10" ht="17.25" customHeight="1">
      <c r="B90" s="238"/>
      <c r="D90" s="67"/>
      <c r="E90" s="67"/>
      <c r="F90" s="67"/>
      <c r="G90" s="67"/>
      <c r="H90" s="67"/>
      <c r="I90" s="67"/>
      <c r="J90" s="58"/>
    </row>
    <row r="91" spans="2:10" ht="17.25" customHeight="1">
      <c r="B91" s="238"/>
      <c r="D91" s="67"/>
      <c r="E91" s="67"/>
      <c r="F91" s="67"/>
      <c r="G91" s="67"/>
      <c r="H91" s="67"/>
      <c r="I91" s="67"/>
      <c r="J91" s="58"/>
    </row>
    <row r="92" spans="2:10" ht="17.25" customHeight="1">
      <c r="B92" s="238"/>
      <c r="D92" s="67"/>
      <c r="E92" s="67"/>
      <c r="F92" s="67"/>
      <c r="G92" s="67"/>
      <c r="H92" s="67"/>
      <c r="I92" s="67"/>
      <c r="J92" s="58"/>
    </row>
    <row r="93" spans="2:10" ht="17.25" customHeight="1">
      <c r="B93" s="116"/>
      <c r="D93" s="67"/>
      <c r="E93" s="67"/>
      <c r="F93" s="67"/>
      <c r="G93" s="67"/>
      <c r="H93" s="67"/>
      <c r="I93" s="67"/>
      <c r="J93" s="58"/>
    </row>
    <row r="94" spans="2:10" ht="17.25" customHeight="1">
      <c r="B94" s="117"/>
      <c r="C94" s="118"/>
      <c r="D94" s="67"/>
      <c r="E94" s="67"/>
      <c r="F94" s="67"/>
      <c r="G94" s="67"/>
      <c r="H94" s="67"/>
      <c r="I94" s="67"/>
      <c r="J94" s="58"/>
    </row>
    <row r="95" spans="2:10" ht="17.25" customHeight="1" thickBot="1">
      <c r="B95" s="239"/>
      <c r="C95" s="240"/>
      <c r="D95" s="241"/>
      <c r="E95" s="241"/>
      <c r="F95" s="241"/>
      <c r="G95" s="241"/>
      <c r="H95" s="241"/>
      <c r="I95" s="241"/>
      <c r="J95" s="242"/>
    </row>
    <row r="96" spans="2:10" ht="17.25" customHeight="1">
      <c r="B96" s="116"/>
      <c r="D96" s="67"/>
      <c r="E96" s="67"/>
      <c r="F96" s="67"/>
      <c r="G96" s="67"/>
      <c r="H96" s="67"/>
      <c r="I96" s="67"/>
      <c r="J96" s="58"/>
    </row>
    <row r="97" spans="2:10" ht="17.25" customHeight="1">
      <c r="B97" s="50"/>
      <c r="C97" s="233" t="s">
        <v>282</v>
      </c>
      <c r="D97" s="75"/>
      <c r="E97" s="75"/>
      <c r="F97" s="75"/>
      <c r="G97" s="75"/>
      <c r="H97" s="75"/>
      <c r="I97" s="75"/>
      <c r="J97" s="236"/>
    </row>
    <row r="98" spans="2:10" ht="17.25" customHeight="1">
      <c r="B98" s="237"/>
      <c r="C98" s="167"/>
      <c r="D98" s="75"/>
      <c r="E98" s="75"/>
      <c r="F98" s="75"/>
      <c r="G98" s="75"/>
      <c r="H98" s="75"/>
      <c r="I98" s="75"/>
      <c r="J98" s="236"/>
    </row>
    <row r="99" spans="2:10" ht="17.25" customHeight="1">
      <c r="B99" s="66"/>
      <c r="D99" s="67"/>
      <c r="E99" s="67"/>
      <c r="F99" s="67"/>
      <c r="G99" s="67"/>
      <c r="H99" s="67"/>
      <c r="I99" s="67"/>
      <c r="J99" s="58"/>
    </row>
    <row r="100" spans="2:10" ht="17.25" customHeight="1">
      <c r="B100" s="66"/>
      <c r="D100" s="67"/>
      <c r="E100" s="67"/>
      <c r="F100" s="67"/>
      <c r="G100" s="67"/>
      <c r="H100" s="67"/>
      <c r="I100" s="67"/>
      <c r="J100" s="58"/>
    </row>
    <row r="101" spans="2:10" ht="17.25" customHeight="1">
      <c r="B101" s="66"/>
      <c r="D101" s="67"/>
      <c r="E101" s="67"/>
      <c r="F101" s="67"/>
      <c r="G101" s="67"/>
      <c r="H101" s="67"/>
      <c r="I101" s="67"/>
      <c r="J101" s="58"/>
    </row>
    <row r="102" spans="2:10" ht="17.25" customHeight="1">
      <c r="B102" s="66"/>
      <c r="D102" s="67"/>
      <c r="E102" s="67"/>
      <c r="F102" s="67"/>
      <c r="G102" s="67"/>
      <c r="H102" s="67"/>
      <c r="I102" s="67"/>
      <c r="J102" s="58"/>
    </row>
    <row r="103" spans="2:10" ht="17.25" customHeight="1">
      <c r="B103" s="66"/>
      <c r="D103" s="67"/>
      <c r="E103" s="67"/>
      <c r="F103" s="67"/>
      <c r="G103" s="67"/>
      <c r="H103" s="67"/>
      <c r="I103" s="67"/>
      <c r="J103" s="58"/>
    </row>
    <row r="104" spans="2:10" ht="17.25" customHeight="1">
      <c r="B104" s="66"/>
      <c r="D104" s="67"/>
      <c r="E104" s="67"/>
      <c r="F104" s="67"/>
      <c r="G104" s="67"/>
      <c r="H104" s="67"/>
      <c r="I104" s="67"/>
      <c r="J104" s="58"/>
    </row>
    <row r="105" spans="2:10" ht="17.25" customHeight="1">
      <c r="B105" s="235"/>
      <c r="C105" s="243"/>
      <c r="D105" s="243"/>
      <c r="E105" s="243"/>
      <c r="F105" s="243"/>
      <c r="G105" s="67"/>
      <c r="H105" s="67"/>
      <c r="I105" s="67"/>
      <c r="J105" s="58"/>
    </row>
    <row r="106" spans="2:10" ht="17.25" customHeight="1">
      <c r="B106" s="116"/>
      <c r="D106" s="67"/>
      <c r="E106" s="67"/>
      <c r="F106" s="67"/>
      <c r="G106" s="67"/>
      <c r="H106" s="67"/>
      <c r="I106" s="67"/>
      <c r="J106" s="58"/>
    </row>
    <row r="107" spans="2:10" ht="17.25" customHeight="1">
      <c r="B107" s="116"/>
      <c r="D107" s="67"/>
      <c r="E107" s="67"/>
      <c r="F107" s="67"/>
      <c r="G107" s="67"/>
      <c r="H107" s="67"/>
      <c r="I107" s="67"/>
      <c r="J107" s="58"/>
    </row>
    <row r="108" spans="2:10" ht="17.25" customHeight="1">
      <c r="B108" s="116"/>
      <c r="D108" s="67"/>
      <c r="E108" s="67"/>
      <c r="F108" s="67"/>
      <c r="G108" s="67"/>
      <c r="H108" s="67"/>
      <c r="I108" s="67"/>
      <c r="J108" s="58"/>
    </row>
    <row r="109" spans="2:10" ht="17.25" customHeight="1">
      <c r="B109" s="116"/>
      <c r="D109" s="67"/>
      <c r="E109" s="67"/>
      <c r="F109" s="67"/>
      <c r="G109" s="67"/>
      <c r="H109" s="67"/>
      <c r="I109" s="67"/>
      <c r="J109" s="58"/>
    </row>
    <row r="110" spans="2:10" ht="17.25" customHeight="1">
      <c r="B110" s="116"/>
      <c r="D110" s="67"/>
      <c r="E110" s="67"/>
      <c r="F110" s="67"/>
      <c r="G110" s="67"/>
      <c r="H110" s="67"/>
      <c r="I110" s="67"/>
      <c r="J110" s="58"/>
    </row>
    <row r="111" spans="2:10" ht="17.25" customHeight="1" thickBot="1">
      <c r="B111" s="239"/>
      <c r="C111" s="240"/>
      <c r="D111" s="241"/>
      <c r="E111" s="241"/>
      <c r="F111" s="241"/>
      <c r="G111" s="241"/>
      <c r="H111" s="241"/>
      <c r="I111" s="241"/>
      <c r="J111" s="242"/>
    </row>
    <row r="112" spans="2:10" ht="17.25" customHeight="1">
      <c r="B112" s="116"/>
      <c r="D112" s="67"/>
      <c r="E112" s="67"/>
      <c r="F112" s="67"/>
      <c r="G112" s="67"/>
      <c r="H112" s="67"/>
      <c r="I112" s="67"/>
      <c r="J112" s="58"/>
    </row>
    <row r="113" spans="2:10" ht="17.25" customHeight="1">
      <c r="B113" s="244"/>
      <c r="C113" s="233" t="s">
        <v>283</v>
      </c>
      <c r="D113" s="245"/>
      <c r="E113" s="245"/>
      <c r="F113" s="245"/>
      <c r="G113" s="245"/>
      <c r="H113" s="245"/>
      <c r="I113" s="245"/>
      <c r="J113" s="246"/>
    </row>
    <row r="114" spans="2:10" ht="17.25" customHeight="1">
      <c r="B114" s="66"/>
      <c r="C114" s="167"/>
      <c r="D114" s="75"/>
      <c r="E114" s="75"/>
      <c r="F114" s="75"/>
      <c r="G114" s="75"/>
      <c r="H114" s="75"/>
      <c r="I114" s="75"/>
      <c r="J114" s="236"/>
    </row>
    <row r="115" spans="2:10" ht="17.25" customHeight="1">
      <c r="B115" s="66"/>
      <c r="D115" s="67"/>
      <c r="E115" s="67"/>
      <c r="F115" s="67"/>
      <c r="G115" s="67"/>
      <c r="H115" s="67"/>
      <c r="I115" s="67"/>
      <c r="J115" s="58"/>
    </row>
    <row r="116" spans="2:10" ht="17.25" customHeight="1">
      <c r="B116" s="66"/>
      <c r="D116" s="67"/>
      <c r="E116" s="67"/>
      <c r="F116" s="67"/>
      <c r="G116" s="67"/>
      <c r="H116" s="67"/>
      <c r="I116" s="67"/>
      <c r="J116" s="58"/>
    </row>
    <row r="117" spans="2:10" ht="17.25" customHeight="1">
      <c r="B117" s="66"/>
      <c r="D117" s="67"/>
      <c r="E117" s="67"/>
      <c r="F117" s="67"/>
      <c r="G117" s="67"/>
      <c r="H117" s="67"/>
      <c r="I117" s="67"/>
      <c r="J117" s="58"/>
    </row>
    <row r="118" spans="2:10" ht="17.25" customHeight="1">
      <c r="B118" s="66"/>
      <c r="D118" s="67"/>
      <c r="E118" s="67"/>
      <c r="F118" s="67"/>
      <c r="G118" s="67"/>
      <c r="H118" s="67"/>
      <c r="I118" s="67"/>
      <c r="J118" s="58"/>
    </row>
    <row r="119" spans="2:10" ht="17.25" customHeight="1">
      <c r="B119" s="66"/>
      <c r="D119" s="67"/>
      <c r="E119" s="67"/>
      <c r="F119" s="67"/>
      <c r="G119" s="67"/>
      <c r="H119" s="67"/>
      <c r="I119" s="67"/>
      <c r="J119" s="58"/>
    </row>
    <row r="120" spans="2:10" ht="17.25" customHeight="1">
      <c r="B120" s="66"/>
      <c r="D120" s="67"/>
      <c r="E120" s="67"/>
      <c r="F120" s="67"/>
      <c r="G120" s="67"/>
      <c r="H120" s="67"/>
      <c r="I120" s="67"/>
      <c r="J120" s="58"/>
    </row>
    <row r="121" spans="2:10" ht="17.25" customHeight="1">
      <c r="B121" s="235"/>
      <c r="D121" s="67"/>
      <c r="E121" s="67"/>
      <c r="F121" s="67"/>
      <c r="G121" s="67"/>
      <c r="H121" s="67"/>
      <c r="I121" s="67"/>
      <c r="J121" s="58"/>
    </row>
    <row r="122" spans="2:10" ht="17.25" customHeight="1">
      <c r="B122" s="116"/>
      <c r="D122" s="67"/>
      <c r="E122" s="67"/>
      <c r="F122" s="67"/>
      <c r="G122" s="67"/>
      <c r="H122" s="67"/>
      <c r="I122" s="67"/>
      <c r="J122" s="58"/>
    </row>
    <row r="123" spans="2:10" ht="17.25" customHeight="1">
      <c r="B123" s="116"/>
      <c r="D123" s="67"/>
      <c r="E123" s="67"/>
      <c r="F123" s="67"/>
      <c r="G123" s="67"/>
      <c r="H123" s="67"/>
      <c r="I123" s="67"/>
      <c r="J123" s="58"/>
    </row>
    <row r="124" spans="2:10" ht="17.25" customHeight="1">
      <c r="B124" s="116"/>
      <c r="D124" s="67"/>
      <c r="E124" s="67"/>
      <c r="F124" s="67"/>
      <c r="G124" s="67"/>
      <c r="H124" s="67"/>
      <c r="I124" s="67"/>
      <c r="J124" s="58"/>
    </row>
    <row r="125" spans="2:10" ht="17.25" customHeight="1">
      <c r="B125" s="116"/>
      <c r="D125" s="67"/>
      <c r="E125" s="67"/>
      <c r="F125" s="67"/>
      <c r="G125" s="67"/>
      <c r="H125" s="67"/>
      <c r="I125" s="67"/>
      <c r="J125" s="58"/>
    </row>
    <row r="126" spans="2:10" ht="17.25" customHeight="1" thickBot="1">
      <c r="B126" s="123"/>
      <c r="C126" s="124"/>
      <c r="D126" s="125"/>
      <c r="E126" s="125"/>
      <c r="F126" s="125"/>
      <c r="G126" s="125"/>
      <c r="H126" s="125"/>
      <c r="I126" s="125"/>
      <c r="J126" s="126"/>
    </row>
    <row r="127" spans="2:10" ht="14.25" customHeight="1">
      <c r="B127" s="419" t="s">
        <v>284</v>
      </c>
      <c r="C127" s="111" t="s">
        <v>285</v>
      </c>
      <c r="D127" s="111" t="s">
        <v>286</v>
      </c>
      <c r="E127" s="111"/>
      <c r="F127" s="111"/>
      <c r="G127" s="111"/>
      <c r="H127" s="111"/>
      <c r="I127" s="111"/>
      <c r="J127" s="112"/>
    </row>
    <row r="128" spans="2:10" ht="14.25" customHeight="1" thickBot="1">
      <c r="B128" s="420"/>
      <c r="C128" s="421"/>
      <c r="D128" s="422"/>
      <c r="E128" s="423"/>
      <c r="F128" s="423"/>
      <c r="G128" s="423"/>
      <c r="H128" s="423"/>
      <c r="I128" s="423"/>
      <c r="J128" s="424"/>
    </row>
    <row r="129" spans="2:10" ht="17.25" customHeight="1">
      <c r="B129" s="237"/>
      <c r="C129" s="233" t="s">
        <v>287</v>
      </c>
      <c r="J129" s="136"/>
    </row>
    <row r="130" spans="2:10" ht="17.25" customHeight="1">
      <c r="B130" s="237"/>
      <c r="C130" s="233"/>
      <c r="J130" s="136"/>
    </row>
    <row r="131" spans="2:10" ht="17.25" customHeight="1">
      <c r="B131" s="235"/>
      <c r="J131" s="136"/>
    </row>
    <row r="132" spans="2:10" ht="17.25" customHeight="1">
      <c r="B132" s="235"/>
      <c r="J132" s="136"/>
    </row>
    <row r="133" spans="2:10" ht="17.25" customHeight="1">
      <c r="B133" s="235"/>
      <c r="J133" s="136"/>
    </row>
    <row r="134" spans="2:10" ht="17.25" customHeight="1">
      <c r="B134" s="235"/>
      <c r="J134" s="136"/>
    </row>
    <row r="135" spans="2:10" ht="17.25" customHeight="1">
      <c r="B135" s="66"/>
      <c r="J135" s="136"/>
    </row>
    <row r="136" spans="2:10" ht="17.25" customHeight="1">
      <c r="B136" s="66"/>
      <c r="J136" s="136"/>
    </row>
    <row r="137" spans="2:10" ht="17.25" customHeight="1">
      <c r="B137" s="66"/>
      <c r="J137" s="136"/>
    </row>
    <row r="138" spans="2:10" ht="17.25" customHeight="1">
      <c r="B138" s="66"/>
      <c r="J138" s="136"/>
    </row>
    <row r="139" spans="2:10" ht="17.25" customHeight="1">
      <c r="B139" s="235"/>
      <c r="C139" s="167"/>
      <c r="D139" s="75"/>
      <c r="E139" s="75"/>
      <c r="F139" s="75"/>
      <c r="G139" s="75"/>
      <c r="H139" s="75"/>
      <c r="I139" s="75"/>
      <c r="J139" s="236"/>
    </row>
    <row r="140" spans="2:10" ht="17.25" customHeight="1">
      <c r="B140" s="237"/>
      <c r="C140" s="167"/>
      <c r="D140" s="75"/>
      <c r="E140" s="75"/>
      <c r="F140" s="75"/>
      <c r="G140" s="75"/>
      <c r="H140" s="75"/>
      <c r="I140" s="75"/>
      <c r="J140" s="236"/>
    </row>
    <row r="141" spans="2:10" ht="17.25" customHeight="1">
      <c r="B141" s="237"/>
      <c r="C141" s="167"/>
      <c r="D141" s="75"/>
      <c r="E141" s="75"/>
      <c r="F141" s="75"/>
      <c r="G141" s="75"/>
      <c r="H141" s="75"/>
      <c r="I141" s="75"/>
      <c r="J141" s="236"/>
    </row>
    <row r="142" spans="2:10" ht="17.25" customHeight="1">
      <c r="B142" s="237"/>
      <c r="C142" s="167"/>
      <c r="D142" s="75"/>
      <c r="E142" s="75"/>
      <c r="F142" s="75"/>
      <c r="G142" s="75"/>
      <c r="H142" s="75"/>
      <c r="I142" s="75"/>
      <c r="J142" s="236"/>
    </row>
    <row r="143" spans="2:10" ht="17.25" customHeight="1">
      <c r="B143" s="237"/>
      <c r="C143" s="167"/>
      <c r="D143" s="75"/>
      <c r="E143" s="75"/>
      <c r="F143" s="75"/>
      <c r="G143" s="75"/>
      <c r="H143" s="75"/>
      <c r="I143" s="75"/>
      <c r="J143" s="236"/>
    </row>
    <row r="144" spans="2:10" ht="17.25" customHeight="1">
      <c r="B144" s="237"/>
      <c r="C144" s="167"/>
      <c r="D144" s="75"/>
      <c r="E144" s="75"/>
      <c r="F144" s="75"/>
      <c r="G144" s="75"/>
      <c r="H144" s="75"/>
      <c r="I144" s="75"/>
      <c r="J144" s="236"/>
    </row>
    <row r="145" spans="2:10" ht="17.25" customHeight="1">
      <c r="B145" s="237"/>
      <c r="C145" s="167"/>
      <c r="D145" s="75"/>
      <c r="E145" s="75"/>
      <c r="F145" s="75"/>
      <c r="G145" s="75"/>
      <c r="H145" s="75"/>
      <c r="I145" s="75"/>
      <c r="J145" s="236"/>
    </row>
    <row r="146" spans="2:10" ht="17.25" customHeight="1" thickBot="1">
      <c r="B146" s="123"/>
      <c r="C146" s="124"/>
      <c r="D146" s="125"/>
      <c r="E146" s="125"/>
      <c r="F146" s="125"/>
      <c r="G146" s="125"/>
      <c r="H146" s="125"/>
      <c r="I146" s="125"/>
      <c r="J146" s="126"/>
    </row>
    <row r="147" spans="2:10" ht="14.25" customHeight="1">
      <c r="B147" s="419" t="s">
        <v>288</v>
      </c>
      <c r="C147" s="111" t="s">
        <v>289</v>
      </c>
      <c r="D147" s="111" t="s">
        <v>290</v>
      </c>
      <c r="E147" s="111"/>
      <c r="F147" s="111"/>
      <c r="G147" s="111"/>
      <c r="H147" s="111"/>
      <c r="I147" s="111"/>
      <c r="J147" s="112"/>
    </row>
    <row r="148" spans="2:10" ht="14.25" customHeight="1" thickBot="1">
      <c r="B148" s="420"/>
      <c r="C148" s="421"/>
      <c r="D148" s="422"/>
      <c r="E148" s="423"/>
      <c r="F148" s="423"/>
      <c r="G148" s="423"/>
      <c r="H148" s="423"/>
      <c r="I148" s="423"/>
      <c r="J148" s="424"/>
    </row>
    <row r="149" spans="2:10">
      <c r="B149" s="50"/>
      <c r="C149" s="233" t="s">
        <v>291</v>
      </c>
      <c r="D149" s="114"/>
      <c r="E149" s="114"/>
      <c r="F149" s="114"/>
      <c r="G149" s="114"/>
      <c r="H149" s="75"/>
      <c r="I149" s="75"/>
      <c r="J149" s="236"/>
    </row>
    <row r="150" spans="2:10">
      <c r="B150" s="113"/>
      <c r="C150" s="78" t="s">
        <v>292</v>
      </c>
      <c r="D150" s="114"/>
      <c r="E150" s="114"/>
      <c r="F150" s="114"/>
      <c r="G150" s="114"/>
      <c r="H150" s="75"/>
      <c r="I150" s="75"/>
      <c r="J150" s="236"/>
    </row>
    <row r="151" spans="2:10">
      <c r="B151" s="235"/>
      <c r="C151" s="75"/>
      <c r="D151" s="75"/>
      <c r="E151" s="75"/>
      <c r="F151" s="75"/>
      <c r="G151" s="75"/>
      <c r="H151" s="75"/>
      <c r="I151" s="75"/>
      <c r="J151" s="236"/>
    </row>
    <row r="152" spans="2:10">
      <c r="B152" s="237"/>
      <c r="C152" s="167"/>
      <c r="D152" s="75"/>
      <c r="E152" s="75"/>
      <c r="F152" s="75"/>
      <c r="G152" s="75"/>
      <c r="H152" s="75"/>
      <c r="I152" s="75"/>
      <c r="J152" s="236"/>
    </row>
    <row r="153" spans="2:10">
      <c r="B153" s="237"/>
      <c r="C153" s="75"/>
      <c r="D153" s="75"/>
      <c r="E153" s="75"/>
      <c r="F153" s="75"/>
      <c r="G153" s="75"/>
      <c r="H153" s="75"/>
      <c r="I153" s="75"/>
      <c r="J153" s="236"/>
    </row>
    <row r="154" spans="2:10">
      <c r="B154" s="116"/>
      <c r="D154" s="67"/>
      <c r="E154" s="67"/>
      <c r="F154" s="67"/>
      <c r="G154" s="67"/>
      <c r="H154" s="67"/>
      <c r="I154" s="67"/>
      <c r="J154" s="58"/>
    </row>
    <row r="155" spans="2:10">
      <c r="B155" s="117"/>
      <c r="C155" s="118"/>
      <c r="D155" s="247"/>
      <c r="E155" s="67"/>
      <c r="F155" s="67"/>
      <c r="G155" s="67"/>
      <c r="H155" s="67"/>
      <c r="I155" s="67"/>
      <c r="J155" s="58"/>
    </row>
    <row r="156" spans="2:10">
      <c r="B156" s="116"/>
      <c r="D156" s="67"/>
      <c r="E156" s="67"/>
      <c r="F156" s="67"/>
      <c r="G156" s="67"/>
      <c r="H156" s="67"/>
      <c r="I156" s="67"/>
      <c r="J156" s="58"/>
    </row>
    <row r="157" spans="2:10">
      <c r="B157" s="116"/>
      <c r="D157" s="67"/>
      <c r="E157" s="67"/>
      <c r="F157" s="67"/>
      <c r="G157" s="67"/>
      <c r="H157" s="67"/>
      <c r="I157" s="67"/>
      <c r="J157" s="58"/>
    </row>
    <row r="158" spans="2:10">
      <c r="B158" s="116"/>
      <c r="D158" s="67"/>
      <c r="E158" s="67"/>
      <c r="F158" s="67"/>
      <c r="G158" s="67"/>
      <c r="H158" s="67"/>
      <c r="I158" s="67"/>
      <c r="J158" s="58"/>
    </row>
    <row r="159" spans="2:10">
      <c r="B159" s="116"/>
      <c r="D159" s="67"/>
      <c r="E159" s="67"/>
      <c r="F159" s="67"/>
      <c r="G159" s="67"/>
      <c r="H159" s="67"/>
      <c r="I159" s="67"/>
      <c r="J159" s="58"/>
    </row>
    <row r="160" spans="2:10">
      <c r="B160" s="116"/>
      <c r="D160" s="67"/>
      <c r="E160" s="67"/>
      <c r="F160" s="67"/>
      <c r="G160" s="67"/>
      <c r="H160" s="67"/>
      <c r="I160" s="67"/>
      <c r="J160" s="58"/>
    </row>
    <row r="161" spans="2:10">
      <c r="B161" s="116"/>
      <c r="D161" s="67"/>
      <c r="E161" s="67"/>
      <c r="F161" s="67"/>
      <c r="G161" s="67"/>
      <c r="H161" s="67"/>
      <c r="I161" s="67"/>
      <c r="J161" s="58"/>
    </row>
    <row r="162" spans="2:10">
      <c r="B162" s="116"/>
      <c r="D162" s="67"/>
      <c r="E162" s="67"/>
      <c r="F162" s="67"/>
      <c r="G162" s="67"/>
      <c r="H162" s="67"/>
      <c r="I162" s="67"/>
      <c r="J162" s="58"/>
    </row>
    <row r="163" spans="2:10">
      <c r="B163" s="116"/>
      <c r="D163" s="67"/>
      <c r="E163" s="67"/>
      <c r="F163" s="67"/>
      <c r="G163" s="67"/>
      <c r="H163" s="67"/>
      <c r="I163" s="67"/>
      <c r="J163" s="58"/>
    </row>
    <row r="164" spans="2:10">
      <c r="B164" s="116"/>
      <c r="D164" s="67"/>
      <c r="E164" s="67"/>
      <c r="F164" s="67"/>
      <c r="G164" s="67"/>
      <c r="H164" s="67"/>
      <c r="I164" s="67"/>
      <c r="J164" s="58"/>
    </row>
    <row r="165" spans="2:10">
      <c r="B165" s="116"/>
      <c r="D165" s="67"/>
      <c r="E165" s="67"/>
      <c r="F165" s="67"/>
      <c r="G165" s="67"/>
      <c r="H165" s="67"/>
      <c r="I165" s="67"/>
      <c r="J165" s="58"/>
    </row>
    <row r="166" spans="2:10" ht="15.5" thickBot="1">
      <c r="B166" s="123"/>
      <c r="C166" s="124"/>
      <c r="D166" s="125"/>
      <c r="E166" s="125"/>
      <c r="F166" s="125"/>
      <c r="G166" s="125"/>
      <c r="H166" s="125"/>
      <c r="I166" s="125"/>
      <c r="J166" s="126"/>
    </row>
    <row r="167" spans="2:10" ht="14.25" customHeight="1">
      <c r="B167" s="419" t="s">
        <v>293</v>
      </c>
      <c r="C167" s="111" t="s">
        <v>294</v>
      </c>
      <c r="D167" s="111" t="s">
        <v>276</v>
      </c>
      <c r="E167" s="111"/>
      <c r="F167" s="111"/>
      <c r="G167" s="111"/>
      <c r="H167" s="111"/>
      <c r="I167" s="111"/>
      <c r="J167" s="112"/>
    </row>
    <row r="168" spans="2:10" ht="14.25" customHeight="1" thickBot="1">
      <c r="B168" s="420"/>
      <c r="C168" s="421"/>
      <c r="D168" s="422"/>
      <c r="E168" s="423"/>
      <c r="F168" s="423"/>
      <c r="G168" s="423"/>
      <c r="H168" s="423"/>
      <c r="I168" s="423"/>
      <c r="J168" s="424"/>
    </row>
    <row r="169" spans="2:10">
      <c r="B169" s="237"/>
      <c r="C169" s="167"/>
      <c r="D169" s="75"/>
      <c r="E169" s="75"/>
      <c r="F169" s="75"/>
      <c r="G169" s="75"/>
      <c r="H169" s="75"/>
      <c r="I169" s="75"/>
      <c r="J169" s="236"/>
    </row>
    <row r="170" spans="2:10">
      <c r="B170" s="235" t="s">
        <v>295</v>
      </c>
      <c r="C170" s="167"/>
      <c r="D170" s="75"/>
      <c r="E170" s="75"/>
      <c r="F170" s="75"/>
      <c r="G170" s="75"/>
      <c r="H170" s="75"/>
      <c r="I170" s="75"/>
      <c r="J170" s="236"/>
    </row>
    <row r="171" spans="2:10">
      <c r="B171" s="237"/>
      <c r="C171" s="167"/>
      <c r="D171" s="75"/>
      <c r="E171" s="75"/>
      <c r="F171" s="75"/>
      <c r="G171" s="75"/>
      <c r="H171" s="75"/>
      <c r="I171" s="75"/>
      <c r="J171" s="236"/>
    </row>
    <row r="172" spans="2:10">
      <c r="B172" s="237"/>
      <c r="I172" s="75"/>
      <c r="J172" s="236"/>
    </row>
    <row r="173" spans="2:10">
      <c r="B173" s="237"/>
      <c r="C173" s="100"/>
      <c r="D173" s="100"/>
      <c r="E173" s="100"/>
      <c r="F173" s="100"/>
      <c r="G173" s="100"/>
      <c r="H173" s="100"/>
      <c r="I173" s="75"/>
      <c r="J173" s="236"/>
    </row>
    <row r="174" spans="2:10">
      <c r="B174" s="237"/>
      <c r="C174" s="100"/>
      <c r="D174" s="100"/>
      <c r="E174" s="100"/>
      <c r="F174" s="100"/>
      <c r="G174" s="248"/>
      <c r="H174" s="248"/>
      <c r="I174" s="75"/>
      <c r="J174" s="236"/>
    </row>
    <row r="175" spans="2:10">
      <c r="B175" s="116"/>
      <c r="C175" s="100"/>
      <c r="D175" s="100"/>
      <c r="E175" s="100"/>
      <c r="F175" s="100"/>
      <c r="G175" s="248"/>
      <c r="H175" s="248"/>
      <c r="I175" s="67"/>
      <c r="J175" s="58"/>
    </row>
    <row r="176" spans="2:10">
      <c r="B176" s="116"/>
      <c r="C176" s="100"/>
      <c r="D176" s="100"/>
      <c r="E176" s="100"/>
      <c r="F176" s="100"/>
      <c r="G176" s="248"/>
      <c r="H176" s="248"/>
      <c r="I176" s="67"/>
      <c r="J176" s="58"/>
    </row>
    <row r="177" spans="2:10">
      <c r="B177" s="117"/>
      <c r="C177" s="118"/>
      <c r="D177" s="67"/>
      <c r="E177" s="67"/>
      <c r="F177" s="67"/>
      <c r="G177" s="67"/>
      <c r="H177" s="67"/>
      <c r="I177" s="67"/>
      <c r="J177" s="58"/>
    </row>
    <row r="178" spans="2:10">
      <c r="B178" s="235" t="s">
        <v>296</v>
      </c>
      <c r="D178" s="67"/>
      <c r="E178" s="67"/>
      <c r="F178" s="67"/>
      <c r="G178" s="67"/>
      <c r="H178" s="67"/>
      <c r="I178" s="67"/>
      <c r="J178" s="58"/>
    </row>
    <row r="179" spans="2:10">
      <c r="B179" s="116"/>
      <c r="D179" s="67"/>
      <c r="E179" s="67"/>
      <c r="F179" s="67"/>
      <c r="G179" s="67"/>
      <c r="H179" s="67"/>
      <c r="I179" s="67"/>
      <c r="J179" s="58"/>
    </row>
    <row r="180" spans="2:10">
      <c r="B180" s="116"/>
      <c r="D180" s="67"/>
      <c r="E180" s="67"/>
      <c r="F180" s="67"/>
      <c r="G180" s="67"/>
      <c r="H180" s="67"/>
      <c r="I180" s="67"/>
      <c r="J180" s="58"/>
    </row>
    <row r="181" spans="2:10">
      <c r="B181" s="116"/>
      <c r="D181" s="67"/>
      <c r="E181" s="67"/>
      <c r="F181" s="67"/>
      <c r="G181" s="67"/>
      <c r="H181" s="67"/>
      <c r="I181" s="67"/>
      <c r="J181" s="58"/>
    </row>
    <row r="182" spans="2:10">
      <c r="B182" s="116"/>
      <c r="D182" s="67"/>
      <c r="E182" s="67"/>
      <c r="F182" s="67"/>
      <c r="G182" s="67"/>
      <c r="H182" s="67"/>
      <c r="I182" s="67"/>
      <c r="J182" s="58"/>
    </row>
    <row r="183" spans="2:10">
      <c r="B183" s="116"/>
      <c r="D183" s="67"/>
      <c r="E183" s="67"/>
      <c r="F183" s="67"/>
      <c r="G183" s="67"/>
      <c r="H183" s="67"/>
      <c r="I183" s="67"/>
      <c r="J183" s="58"/>
    </row>
    <row r="184" spans="2:10">
      <c r="B184" s="116"/>
      <c r="D184" s="67"/>
      <c r="E184" s="67"/>
      <c r="F184" s="67"/>
      <c r="G184" s="67"/>
      <c r="H184" s="67"/>
      <c r="I184" s="67"/>
      <c r="J184" s="58"/>
    </row>
    <row r="185" spans="2:10">
      <c r="B185" s="116"/>
      <c r="D185" s="67"/>
      <c r="E185" s="67"/>
      <c r="F185" s="67"/>
      <c r="G185" s="67"/>
      <c r="H185" s="67"/>
      <c r="I185" s="67"/>
      <c r="J185" s="58"/>
    </row>
    <row r="186" spans="2:10">
      <c r="B186" s="116"/>
      <c r="D186" s="67"/>
      <c r="E186" s="67"/>
      <c r="F186" s="67"/>
      <c r="G186" s="67"/>
      <c r="H186" s="67"/>
      <c r="I186" s="67"/>
      <c r="J186" s="58"/>
    </row>
    <row r="187" spans="2:10">
      <c r="B187" s="116"/>
      <c r="D187" s="67"/>
      <c r="E187" s="67"/>
      <c r="F187" s="67"/>
      <c r="G187" s="67"/>
      <c r="H187" s="67"/>
      <c r="I187" s="67"/>
      <c r="J187" s="58"/>
    </row>
    <row r="188" spans="2:10">
      <c r="B188" s="116"/>
      <c r="D188" s="67"/>
      <c r="E188" s="67"/>
      <c r="F188" s="67"/>
      <c r="G188" s="67"/>
      <c r="H188" s="67"/>
      <c r="I188" s="67"/>
      <c r="J188" s="58"/>
    </row>
    <row r="189" spans="2:10">
      <c r="B189" s="116"/>
      <c r="C189" s="35" t="s">
        <v>297</v>
      </c>
      <c r="D189" s="67"/>
      <c r="E189" s="67"/>
      <c r="F189" s="67"/>
      <c r="G189" s="67"/>
      <c r="H189" s="67"/>
      <c r="I189" s="67"/>
      <c r="J189" s="58"/>
    </row>
    <row r="190" spans="2:10">
      <c r="B190" s="116"/>
      <c r="D190" s="67"/>
      <c r="E190" s="67"/>
      <c r="F190" s="67"/>
      <c r="G190" s="67"/>
      <c r="H190" s="67"/>
      <c r="I190" s="67"/>
      <c r="J190" s="58"/>
    </row>
    <row r="191" spans="2:10">
      <c r="B191" s="235" t="s">
        <v>298</v>
      </c>
      <c r="D191" s="67"/>
      <c r="E191" s="67"/>
      <c r="F191" s="67"/>
      <c r="G191" s="67"/>
      <c r="H191" s="67"/>
      <c r="I191" s="67"/>
      <c r="J191" s="58"/>
    </row>
    <row r="192" spans="2:10">
      <c r="B192" s="116"/>
      <c r="D192" s="67"/>
      <c r="E192" s="67"/>
      <c r="F192" s="67"/>
      <c r="G192" s="67"/>
      <c r="H192" s="67"/>
      <c r="I192" s="67"/>
      <c r="J192" s="58"/>
    </row>
    <row r="193" spans="2:10">
      <c r="B193" s="116"/>
      <c r="D193" s="67"/>
      <c r="E193" s="67"/>
      <c r="F193" s="67"/>
      <c r="G193" s="67"/>
      <c r="H193" s="67"/>
      <c r="I193" s="67"/>
      <c r="J193" s="58"/>
    </row>
    <row r="194" spans="2:10">
      <c r="B194" s="116"/>
      <c r="D194" s="67"/>
      <c r="E194" s="67"/>
      <c r="F194" s="67"/>
      <c r="G194" s="67"/>
      <c r="H194" s="67"/>
      <c r="I194" s="67"/>
      <c r="J194" s="58"/>
    </row>
    <row r="195" spans="2:10">
      <c r="B195" s="116"/>
      <c r="D195" s="67"/>
      <c r="E195" s="67"/>
      <c r="F195" s="67"/>
      <c r="G195" s="67"/>
      <c r="H195" s="67"/>
      <c r="I195" s="67"/>
      <c r="J195" s="58"/>
    </row>
    <row r="196" spans="2:10">
      <c r="B196" s="116"/>
      <c r="D196" s="67"/>
      <c r="E196" s="67"/>
      <c r="F196" s="67"/>
      <c r="G196" s="67"/>
      <c r="H196" s="67"/>
      <c r="I196" s="67"/>
      <c r="J196" s="58"/>
    </row>
    <row r="197" spans="2:10">
      <c r="B197" s="116"/>
      <c r="D197" s="67"/>
      <c r="E197" s="67"/>
      <c r="F197" s="67"/>
      <c r="G197" s="67"/>
      <c r="H197" s="67"/>
      <c r="I197" s="67"/>
      <c r="J197" s="58"/>
    </row>
    <row r="198" spans="2:10">
      <c r="B198" s="116"/>
      <c r="D198" s="67"/>
      <c r="E198" s="67"/>
      <c r="F198" s="67"/>
      <c r="G198" s="67"/>
      <c r="H198" s="67"/>
      <c r="I198" s="67"/>
      <c r="J198" s="58"/>
    </row>
    <row r="199" spans="2:10">
      <c r="B199" s="235"/>
      <c r="D199" s="67"/>
      <c r="E199" s="67"/>
      <c r="F199" s="67"/>
      <c r="G199" s="67"/>
      <c r="H199" s="67"/>
      <c r="I199" s="67"/>
      <c r="J199" s="58"/>
    </row>
    <row r="200" spans="2:10">
      <c r="B200" s="235"/>
      <c r="D200" s="67"/>
      <c r="E200" s="67"/>
      <c r="F200" s="67"/>
      <c r="G200" s="67"/>
      <c r="H200" s="67"/>
      <c r="I200" s="67"/>
      <c r="J200" s="58"/>
    </row>
    <row r="201" spans="2:10">
      <c r="B201" s="116"/>
      <c r="D201" s="67"/>
      <c r="E201" s="67"/>
      <c r="F201" s="67"/>
      <c r="G201" s="67"/>
      <c r="H201" s="67"/>
      <c r="I201" s="67"/>
      <c r="J201" s="58"/>
    </row>
    <row r="202" spans="2:10">
      <c r="B202" s="116"/>
      <c r="D202" s="67"/>
      <c r="E202" s="67"/>
      <c r="F202" s="67"/>
      <c r="G202" s="67"/>
      <c r="H202" s="67"/>
      <c r="I202" s="67"/>
      <c r="J202" s="58"/>
    </row>
    <row r="203" spans="2:10">
      <c r="B203" s="116"/>
      <c r="D203" s="67"/>
      <c r="E203" s="67"/>
      <c r="F203" s="67"/>
      <c r="G203" s="67"/>
      <c r="H203" s="67"/>
      <c r="I203" s="67"/>
      <c r="J203" s="58"/>
    </row>
    <row r="204" spans="2:10" ht="15.5" thickBot="1">
      <c r="B204" s="123"/>
      <c r="C204" s="124"/>
      <c r="D204" s="125"/>
      <c r="E204" s="125"/>
      <c r="F204" s="125"/>
      <c r="G204" s="125"/>
      <c r="H204" s="125"/>
      <c r="I204" s="125"/>
      <c r="J204" s="126"/>
    </row>
    <row r="205" spans="2:10" ht="18" customHeight="1">
      <c r="B205" s="419" t="s">
        <v>299</v>
      </c>
      <c r="C205" s="428" t="s">
        <v>300</v>
      </c>
      <c r="D205" s="429"/>
      <c r="E205" s="429"/>
      <c r="F205" s="429"/>
      <c r="G205" s="111"/>
      <c r="H205" s="111"/>
      <c r="I205" s="111"/>
      <c r="J205" s="112"/>
    </row>
    <row r="206" spans="2:10" ht="14.25" customHeight="1" thickBot="1">
      <c r="B206" s="420"/>
      <c r="C206" s="421"/>
      <c r="D206" s="422"/>
      <c r="E206" s="423"/>
      <c r="F206" s="423"/>
      <c r="G206" s="423"/>
      <c r="H206" s="423"/>
      <c r="I206" s="423"/>
      <c r="J206" s="424"/>
    </row>
    <row r="207" spans="2:10">
      <c r="B207" s="117"/>
      <c r="C207" s="118"/>
      <c r="D207" s="247"/>
      <c r="E207" s="67"/>
      <c r="F207" s="67"/>
      <c r="G207" s="67"/>
      <c r="H207" s="67"/>
      <c r="I207" s="67"/>
      <c r="J207" s="58"/>
    </row>
    <row r="208" spans="2:10">
      <c r="B208" s="117"/>
      <c r="C208" s="118"/>
      <c r="D208" s="247"/>
      <c r="E208" s="67"/>
      <c r="F208" s="67"/>
      <c r="G208" s="67"/>
      <c r="H208" s="67"/>
      <c r="I208" s="67"/>
      <c r="J208" s="58"/>
    </row>
    <row r="209" spans="2:10">
      <c r="B209" s="117"/>
      <c r="C209" s="118"/>
      <c r="D209" s="247"/>
      <c r="E209" s="67"/>
      <c r="F209" s="67"/>
      <c r="G209" s="67"/>
      <c r="H209" s="67"/>
      <c r="I209" s="67"/>
      <c r="J209" s="58"/>
    </row>
    <row r="210" spans="2:10" ht="16">
      <c r="B210" s="117"/>
      <c r="C210" s="249" t="s">
        <v>301</v>
      </c>
      <c r="D210" s="249"/>
      <c r="E210" s="249"/>
      <c r="F210" s="249"/>
      <c r="G210" s="249"/>
      <c r="H210" s="250"/>
      <c r="I210" s="250"/>
      <c r="J210" s="251"/>
    </row>
    <row r="211" spans="2:10" ht="16">
      <c r="B211" s="117"/>
      <c r="C211" s="249" t="s">
        <v>302</v>
      </c>
      <c r="D211" s="249"/>
      <c r="E211" s="249"/>
      <c r="F211" s="249"/>
      <c r="G211" s="249"/>
      <c r="H211" s="250"/>
      <c r="I211" s="250"/>
      <c r="J211" s="251"/>
    </row>
    <row r="212" spans="2:10">
      <c r="B212" s="117"/>
      <c r="C212" s="67" t="s">
        <v>303</v>
      </c>
      <c r="D212" s="67"/>
      <c r="E212" s="67"/>
      <c r="F212" s="67"/>
      <c r="G212" s="67"/>
      <c r="J212" s="136"/>
    </row>
    <row r="213" spans="2:10">
      <c r="B213" s="117"/>
      <c r="C213" s="67" t="s">
        <v>304</v>
      </c>
      <c r="D213" s="67"/>
      <c r="E213" s="67"/>
      <c r="F213" s="67"/>
      <c r="G213" s="67"/>
      <c r="J213" s="136"/>
    </row>
    <row r="214" spans="2:10">
      <c r="B214" s="117"/>
      <c r="C214" s="67" t="s">
        <v>305</v>
      </c>
      <c r="D214" s="67"/>
      <c r="E214" s="67"/>
      <c r="F214" s="67"/>
      <c r="G214" s="67"/>
      <c r="J214" s="136"/>
    </row>
    <row r="215" spans="2:10">
      <c r="B215" s="117"/>
      <c r="C215" s="67"/>
      <c r="D215" s="67"/>
      <c r="E215" s="67"/>
      <c r="F215" s="67"/>
      <c r="G215" s="67"/>
      <c r="J215" s="136"/>
    </row>
    <row r="216" spans="2:10">
      <c r="B216" s="117"/>
      <c r="C216" s="67" t="s">
        <v>306</v>
      </c>
      <c r="D216" s="67"/>
      <c r="E216" s="67"/>
      <c r="F216" s="67"/>
      <c r="G216" s="67"/>
      <c r="J216" s="136"/>
    </row>
    <row r="217" spans="2:10">
      <c r="B217" s="117"/>
      <c r="C217" s="118"/>
      <c r="D217" s="247"/>
      <c r="E217" s="67"/>
      <c r="F217" s="67"/>
      <c r="G217" s="67"/>
      <c r="H217" s="67"/>
      <c r="I217" s="67"/>
      <c r="J217" s="58"/>
    </row>
    <row r="218" spans="2:10">
      <c r="B218" s="252" t="s">
        <v>307</v>
      </c>
      <c r="C218" s="253" t="s">
        <v>308</v>
      </c>
      <c r="D218" s="253"/>
      <c r="E218" s="253"/>
      <c r="F218" s="253"/>
      <c r="G218" s="253"/>
      <c r="H218" s="253"/>
      <c r="I218" s="253"/>
      <c r="J218" s="254"/>
    </row>
    <row r="219" spans="2:10">
      <c r="B219" s="232"/>
      <c r="C219" s="233"/>
      <c r="D219" s="233"/>
      <c r="E219" s="233"/>
      <c r="F219" s="233"/>
      <c r="G219" s="233"/>
      <c r="H219" s="233"/>
      <c r="I219" s="233"/>
      <c r="J219" s="234"/>
    </row>
    <row r="220" spans="2:10">
      <c r="B220" s="116"/>
      <c r="C220" s="67" t="s">
        <v>309</v>
      </c>
      <c r="D220" s="67"/>
      <c r="E220" s="67"/>
      <c r="F220" s="67"/>
      <c r="G220" s="67"/>
      <c r="H220" s="67"/>
      <c r="I220" s="67"/>
      <c r="J220" s="58"/>
    </row>
    <row r="221" spans="2:10">
      <c r="B221" s="116"/>
      <c r="D221" s="67"/>
      <c r="E221" s="67"/>
      <c r="F221" s="67"/>
      <c r="G221" s="67"/>
      <c r="H221" s="67"/>
      <c r="I221" s="67"/>
      <c r="J221" s="58"/>
    </row>
    <row r="222" spans="2:10">
      <c r="B222" s="116"/>
      <c r="D222" s="67"/>
      <c r="E222" s="67"/>
      <c r="F222" s="67"/>
      <c r="G222" s="67"/>
      <c r="H222" s="67"/>
      <c r="I222" s="67"/>
      <c r="J222" s="58"/>
    </row>
    <row r="223" spans="2:10">
      <c r="B223" s="116"/>
      <c r="D223" s="67"/>
      <c r="E223" s="67"/>
      <c r="F223" s="67"/>
      <c r="G223" s="67"/>
      <c r="H223" s="67"/>
      <c r="I223" s="67"/>
      <c r="J223" s="58"/>
    </row>
    <row r="224" spans="2:10">
      <c r="B224" s="116"/>
      <c r="D224" s="67"/>
      <c r="E224" s="67"/>
      <c r="F224" s="67"/>
      <c r="G224" s="67"/>
      <c r="H224" s="67"/>
      <c r="I224" s="67"/>
      <c r="J224" s="58"/>
    </row>
    <row r="225" spans="2:10">
      <c r="B225" s="116"/>
      <c r="D225" s="67"/>
      <c r="E225" s="67"/>
      <c r="F225" s="67"/>
      <c r="G225" s="67"/>
      <c r="H225" s="67"/>
      <c r="I225" s="67"/>
      <c r="J225" s="58"/>
    </row>
    <row r="226" spans="2:10">
      <c r="B226" s="116"/>
      <c r="D226" s="67"/>
      <c r="E226" s="67"/>
      <c r="F226" s="67"/>
      <c r="G226" s="67"/>
      <c r="H226" s="67"/>
      <c r="I226" s="67"/>
      <c r="J226" s="58"/>
    </row>
    <row r="227" spans="2:10">
      <c r="B227" s="116"/>
      <c r="D227" s="67"/>
      <c r="E227" s="67"/>
      <c r="F227" s="67"/>
      <c r="G227" s="67"/>
      <c r="H227" s="67"/>
      <c r="I227" s="67"/>
      <c r="J227" s="58"/>
    </row>
    <row r="228" spans="2:10">
      <c r="B228" s="116"/>
      <c r="D228" s="67"/>
      <c r="E228" s="67"/>
      <c r="F228" s="67"/>
      <c r="G228" s="67"/>
      <c r="H228" s="67"/>
      <c r="I228" s="67"/>
      <c r="J228" s="58"/>
    </row>
    <row r="229" spans="2:10">
      <c r="B229" s="116"/>
      <c r="D229" s="67"/>
      <c r="E229" s="67"/>
      <c r="F229" s="67"/>
      <c r="G229" s="67"/>
      <c r="H229" s="67"/>
      <c r="I229" s="67"/>
      <c r="J229" s="58"/>
    </row>
    <row r="230" spans="2:10">
      <c r="B230" s="116"/>
      <c r="C230" s="37" t="s">
        <v>310</v>
      </c>
      <c r="D230" s="67"/>
      <c r="E230" s="67"/>
      <c r="F230" s="67"/>
      <c r="G230" s="67"/>
      <c r="H230" s="67"/>
      <c r="I230" s="67"/>
      <c r="J230" s="58"/>
    </row>
    <row r="231" spans="2:10">
      <c r="B231" s="116"/>
      <c r="D231" s="67"/>
      <c r="E231" s="67"/>
      <c r="F231" s="67"/>
      <c r="G231" s="67"/>
      <c r="H231" s="67"/>
      <c r="I231" s="67"/>
      <c r="J231" s="58"/>
    </row>
    <row r="232" spans="2:10">
      <c r="B232" s="116"/>
      <c r="D232" s="67"/>
      <c r="E232" s="67"/>
      <c r="F232" s="67"/>
      <c r="G232" s="67"/>
      <c r="H232" s="67"/>
      <c r="I232" s="67"/>
      <c r="J232" s="58"/>
    </row>
    <row r="233" spans="2:10">
      <c r="B233" s="116"/>
      <c r="D233" s="67"/>
      <c r="E233" s="67"/>
      <c r="F233" s="67"/>
      <c r="G233" s="67"/>
      <c r="H233" s="67"/>
      <c r="I233" s="67"/>
      <c r="J233" s="58"/>
    </row>
    <row r="234" spans="2:10">
      <c r="B234" s="116"/>
      <c r="D234" s="67"/>
      <c r="E234" s="67"/>
      <c r="F234" s="67"/>
      <c r="G234" s="67"/>
      <c r="H234" s="67"/>
      <c r="I234" s="67"/>
      <c r="J234" s="58"/>
    </row>
    <row r="235" spans="2:10">
      <c r="B235" s="116"/>
      <c r="D235" s="67"/>
      <c r="E235" s="67"/>
      <c r="F235" s="67"/>
      <c r="G235" s="67"/>
      <c r="H235" s="67"/>
      <c r="I235" s="67"/>
      <c r="J235" s="255"/>
    </row>
    <row r="236" spans="2:10">
      <c r="B236" s="252" t="s">
        <v>311</v>
      </c>
      <c r="C236" s="253" t="s">
        <v>312</v>
      </c>
      <c r="D236" s="253"/>
      <c r="E236" s="253"/>
      <c r="F236" s="253"/>
      <c r="G236" s="253"/>
      <c r="H236" s="253"/>
      <c r="I236" s="253"/>
      <c r="J236" s="254"/>
    </row>
    <row r="237" spans="2:10">
      <c r="B237" s="116"/>
      <c r="D237" s="67"/>
      <c r="E237" s="67"/>
      <c r="F237" s="67"/>
      <c r="G237" s="67"/>
      <c r="H237" s="67"/>
      <c r="I237" s="67"/>
      <c r="J237" s="256"/>
    </row>
    <row r="238" spans="2:10">
      <c r="B238" s="116"/>
      <c r="C238" s="37" t="s">
        <v>309</v>
      </c>
      <c r="D238" s="67"/>
      <c r="E238" s="67"/>
      <c r="F238" s="67"/>
      <c r="G238" s="67"/>
      <c r="H238" s="67"/>
      <c r="I238" s="67"/>
      <c r="J238" s="58"/>
    </row>
    <row r="239" spans="2:10">
      <c r="B239" s="116"/>
      <c r="D239" s="67"/>
      <c r="E239" s="67"/>
      <c r="F239" s="67"/>
      <c r="G239" s="67"/>
      <c r="H239" s="67"/>
      <c r="I239" s="67"/>
      <c r="J239" s="58"/>
    </row>
    <row r="240" spans="2:10">
      <c r="B240" s="116"/>
      <c r="D240" s="67"/>
      <c r="E240" s="67"/>
      <c r="F240" s="67"/>
      <c r="G240" s="67"/>
      <c r="H240" s="67"/>
      <c r="I240" s="67"/>
      <c r="J240" s="58"/>
    </row>
    <row r="241" spans="2:10">
      <c r="B241" s="116"/>
      <c r="J241" s="136"/>
    </row>
    <row r="242" spans="2:10">
      <c r="B242" s="116"/>
      <c r="J242" s="136"/>
    </row>
    <row r="243" spans="2:10">
      <c r="B243" s="116"/>
      <c r="J243" s="136"/>
    </row>
    <row r="244" spans="2:10">
      <c r="B244" s="116"/>
      <c r="J244" s="136"/>
    </row>
    <row r="245" spans="2:10">
      <c r="B245" s="116"/>
      <c r="J245" s="136"/>
    </row>
    <row r="246" spans="2:10">
      <c r="B246" s="116"/>
      <c r="J246" s="136"/>
    </row>
    <row r="247" spans="2:10">
      <c r="B247" s="116"/>
      <c r="J247" s="136"/>
    </row>
    <row r="248" spans="2:10">
      <c r="B248" s="116"/>
      <c r="J248" s="136"/>
    </row>
    <row r="249" spans="2:10">
      <c r="B249" s="116"/>
      <c r="C249" s="37"/>
      <c r="J249" s="136"/>
    </row>
    <row r="250" spans="2:10">
      <c r="B250" s="116"/>
      <c r="J250" s="136"/>
    </row>
    <row r="251" spans="2:10">
      <c r="B251" s="116"/>
      <c r="J251" s="136"/>
    </row>
    <row r="252" spans="2:10">
      <c r="B252" s="116"/>
      <c r="J252" s="136"/>
    </row>
    <row r="253" spans="2:10">
      <c r="B253" s="116"/>
      <c r="J253" s="136"/>
    </row>
    <row r="254" spans="2:10">
      <c r="B254" s="116"/>
      <c r="J254" s="136"/>
    </row>
    <row r="255" spans="2:10">
      <c r="B255" s="116"/>
      <c r="J255" s="136"/>
    </row>
    <row r="256" spans="2:10">
      <c r="B256" s="116"/>
      <c r="J256" s="136"/>
    </row>
    <row r="257" spans="2:10">
      <c r="B257" s="116"/>
      <c r="C257" s="37" t="s">
        <v>313</v>
      </c>
      <c r="J257" s="136"/>
    </row>
    <row r="258" spans="2:10">
      <c r="B258" s="116"/>
      <c r="J258" s="136"/>
    </row>
    <row r="259" spans="2:10">
      <c r="B259" s="116"/>
      <c r="J259" s="136"/>
    </row>
    <row r="260" spans="2:10">
      <c r="B260" s="116"/>
      <c r="J260" s="136"/>
    </row>
    <row r="261" spans="2:10">
      <c r="B261" s="116"/>
      <c r="J261" s="136"/>
    </row>
    <row r="262" spans="2:10">
      <c r="B262" s="116"/>
      <c r="J262" s="136"/>
    </row>
    <row r="263" spans="2:10">
      <c r="B263" s="116"/>
      <c r="J263" s="136"/>
    </row>
    <row r="264" spans="2:10">
      <c r="B264" s="116"/>
      <c r="J264" s="136"/>
    </row>
    <row r="265" spans="2:10">
      <c r="B265" s="116"/>
      <c r="J265" s="136"/>
    </row>
    <row r="266" spans="2:10">
      <c r="B266" s="116"/>
      <c r="J266" s="136"/>
    </row>
    <row r="267" spans="2:10">
      <c r="B267" s="116"/>
      <c r="J267" s="136"/>
    </row>
    <row r="268" spans="2:10">
      <c r="B268" s="116"/>
      <c r="J268" s="136"/>
    </row>
    <row r="269" spans="2:10">
      <c r="B269" s="116"/>
      <c r="J269" s="136"/>
    </row>
    <row r="270" spans="2:10">
      <c r="B270" s="116"/>
      <c r="J270" s="136"/>
    </row>
    <row r="271" spans="2:10">
      <c r="B271" s="116"/>
      <c r="J271" s="136"/>
    </row>
    <row r="272" spans="2:10">
      <c r="B272" s="252" t="s">
        <v>314</v>
      </c>
      <c r="C272" s="253" t="s">
        <v>315</v>
      </c>
      <c r="D272" s="253"/>
      <c r="E272" s="253"/>
      <c r="F272" s="253"/>
      <c r="G272" s="253"/>
      <c r="H272" s="253"/>
      <c r="I272" s="253"/>
      <c r="J272" s="254"/>
    </row>
    <row r="273" spans="2:10">
      <c r="B273" s="116"/>
      <c r="J273" s="136"/>
    </row>
    <row r="274" spans="2:10">
      <c r="B274" s="116"/>
      <c r="C274" s="37" t="s">
        <v>316</v>
      </c>
      <c r="J274" s="136"/>
    </row>
    <row r="275" spans="2:10">
      <c r="B275" s="116"/>
      <c r="J275" s="136"/>
    </row>
    <row r="276" spans="2:10">
      <c r="B276" s="116"/>
      <c r="J276" s="136"/>
    </row>
    <row r="277" spans="2:10">
      <c r="B277" s="116"/>
      <c r="J277" s="136"/>
    </row>
    <row r="278" spans="2:10">
      <c r="B278" s="116"/>
      <c r="J278" s="136"/>
    </row>
    <row r="279" spans="2:10">
      <c r="B279" s="116"/>
      <c r="J279" s="136"/>
    </row>
    <row r="280" spans="2:10">
      <c r="B280" s="116"/>
      <c r="J280" s="136"/>
    </row>
    <row r="281" spans="2:10">
      <c r="B281" s="116"/>
      <c r="J281" s="136"/>
    </row>
    <row r="282" spans="2:10">
      <c r="B282" s="116"/>
      <c r="J282" s="136"/>
    </row>
    <row r="283" spans="2:10">
      <c r="B283" s="116"/>
      <c r="J283" s="136"/>
    </row>
    <row r="284" spans="2:10">
      <c r="B284" s="116"/>
      <c r="J284" s="136"/>
    </row>
    <row r="285" spans="2:10">
      <c r="B285" s="116"/>
      <c r="J285" s="136"/>
    </row>
    <row r="286" spans="2:10">
      <c r="B286" s="116"/>
      <c r="J286" s="136"/>
    </row>
    <row r="287" spans="2:10">
      <c r="B287" s="116"/>
      <c r="J287" s="136"/>
    </row>
    <row r="288" spans="2:10">
      <c r="B288" s="116"/>
      <c r="J288" s="136"/>
    </row>
    <row r="289" spans="2:10">
      <c r="B289" s="116"/>
      <c r="J289" s="136"/>
    </row>
    <row r="290" spans="2:10">
      <c r="B290" s="116"/>
      <c r="J290" s="136"/>
    </row>
    <row r="291" spans="2:10">
      <c r="B291" s="116"/>
      <c r="J291" s="136"/>
    </row>
    <row r="292" spans="2:10">
      <c r="B292" s="116"/>
      <c r="J292" s="136"/>
    </row>
    <row r="293" spans="2:10">
      <c r="B293" s="116"/>
      <c r="J293" s="136"/>
    </row>
    <row r="294" spans="2:10">
      <c r="B294" s="116"/>
      <c r="J294" s="136"/>
    </row>
    <row r="295" spans="2:10">
      <c r="B295" s="116"/>
      <c r="C295" s="35" t="s">
        <v>310</v>
      </c>
      <c r="J295" s="136"/>
    </row>
    <row r="296" spans="2:10">
      <c r="B296" s="116"/>
      <c r="J296" s="136"/>
    </row>
    <row r="297" spans="2:10">
      <c r="B297" s="116"/>
      <c r="J297" s="136"/>
    </row>
    <row r="298" spans="2:10">
      <c r="B298" s="116"/>
      <c r="J298" s="136"/>
    </row>
    <row r="299" spans="2:10">
      <c r="B299" s="116"/>
      <c r="J299" s="136"/>
    </row>
    <row r="300" spans="2:10">
      <c r="B300" s="116"/>
      <c r="J300" s="136"/>
    </row>
    <row r="301" spans="2:10">
      <c r="B301" s="116"/>
      <c r="J301" s="136"/>
    </row>
    <row r="302" spans="2:10">
      <c r="B302" s="116"/>
      <c r="J302" s="136"/>
    </row>
    <row r="303" spans="2:10">
      <c r="B303" s="116"/>
      <c r="J303" s="136"/>
    </row>
    <row r="304" spans="2:10">
      <c r="B304" s="116"/>
      <c r="J304" s="136"/>
    </row>
    <row r="305" spans="2:10">
      <c r="B305" s="116"/>
      <c r="J305" s="136"/>
    </row>
    <row r="306" spans="2:10">
      <c r="B306" s="116"/>
      <c r="J306" s="136"/>
    </row>
    <row r="307" spans="2:10">
      <c r="B307" s="116"/>
      <c r="J307" s="136"/>
    </row>
    <row r="308" spans="2:10">
      <c r="B308" s="116"/>
      <c r="J308" s="136"/>
    </row>
    <row r="309" spans="2:10" ht="15.5" thickBot="1">
      <c r="B309" s="131"/>
      <c r="C309" s="132"/>
      <c r="D309" s="132"/>
      <c r="E309" s="132"/>
      <c r="F309" s="132"/>
      <c r="G309" s="132"/>
      <c r="H309" s="132"/>
      <c r="I309" s="132"/>
      <c r="J309" s="224"/>
    </row>
  </sheetData>
  <mergeCells count="26">
    <mergeCell ref="B167:B168"/>
    <mergeCell ref="C168:D168"/>
    <mergeCell ref="E168:J168"/>
    <mergeCell ref="B205:B206"/>
    <mergeCell ref="C205:F205"/>
    <mergeCell ref="C206:D206"/>
    <mergeCell ref="E206:J206"/>
    <mergeCell ref="B127:B128"/>
    <mergeCell ref="C128:D128"/>
    <mergeCell ref="E128:J128"/>
    <mergeCell ref="B147:B148"/>
    <mergeCell ref="C148:D148"/>
    <mergeCell ref="E148:J148"/>
    <mergeCell ref="B63:B64"/>
    <mergeCell ref="C64:D64"/>
    <mergeCell ref="E64:J64"/>
    <mergeCell ref="B79:B80"/>
    <mergeCell ref="C80:D80"/>
    <mergeCell ref="E80:J80"/>
    <mergeCell ref="B2:J2"/>
    <mergeCell ref="B4:B5"/>
    <mergeCell ref="C5:D5"/>
    <mergeCell ref="E5:J5"/>
    <mergeCell ref="B46:B47"/>
    <mergeCell ref="C47:D47"/>
    <mergeCell ref="E47:J47"/>
  </mergeCells>
  <phoneticPr fontId="27" type="noConversion"/>
  <hyperlinks>
    <hyperlink ref="A1" location="【TCS】!A1" display="戻る" xr:uid="{3CE18378-3F7F-4E58-BEE0-F911D1FC81F5}"/>
  </hyperlinks>
  <pageMargins left="0.75" right="0.75" top="1" bottom="1" header="0.51200000000000001" footer="0.51200000000000001"/>
  <pageSetup paperSize="9" orientation="portrait" verticalDpi="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09AD8-2AA1-4168-86F8-11C5533119EA}">
  <dimension ref="A1:K96"/>
  <sheetViews>
    <sheetView showGridLines="0" workbookViewId="0">
      <pane ySplit="3" topLeftCell="A4" activePane="bottomLeft" state="frozen"/>
      <selection pane="bottomLeft"/>
    </sheetView>
  </sheetViews>
  <sheetFormatPr defaultRowHeight="15"/>
  <cols>
    <col min="1" max="1" width="3.26953125" style="35" customWidth="1"/>
    <col min="2" max="2" width="8.36328125" style="35" customWidth="1"/>
    <col min="3" max="3" width="10" style="35" customWidth="1"/>
    <col min="4" max="4" width="12.36328125" style="37" customWidth="1"/>
    <col min="5" max="5" width="14.90625" style="37" customWidth="1"/>
    <col min="6" max="6" width="16.36328125" style="37" bestFit="1" customWidth="1"/>
    <col min="7" max="7" width="7" style="37" bestFit="1" customWidth="1"/>
    <col min="8" max="8" width="16.36328125" style="37" bestFit="1" customWidth="1"/>
    <col min="9" max="9" width="7" style="37" bestFit="1" customWidth="1"/>
    <col min="10" max="10" width="16.08984375" style="37" customWidth="1"/>
    <col min="11" max="256" width="9" style="35"/>
    <col min="257" max="257" width="3.26953125" style="35" customWidth="1"/>
    <col min="258" max="258" width="8.36328125" style="35" customWidth="1"/>
    <col min="259" max="259" width="10" style="35" customWidth="1"/>
    <col min="260" max="260" width="12.36328125" style="35" customWidth="1"/>
    <col min="261" max="261" width="14.90625" style="35" customWidth="1"/>
    <col min="262" max="262" width="16.36328125" style="35" bestFit="1" customWidth="1"/>
    <col min="263" max="263" width="7" style="35" bestFit="1" customWidth="1"/>
    <col min="264" max="264" width="16.36328125" style="35" bestFit="1" customWidth="1"/>
    <col min="265" max="265" width="7" style="35" bestFit="1" customWidth="1"/>
    <col min="266" max="266" width="16.08984375" style="35" customWidth="1"/>
    <col min="267" max="512" width="9" style="35"/>
    <col min="513" max="513" width="3.26953125" style="35" customWidth="1"/>
    <col min="514" max="514" width="8.36328125" style="35" customWidth="1"/>
    <col min="515" max="515" width="10" style="35" customWidth="1"/>
    <col min="516" max="516" width="12.36328125" style="35" customWidth="1"/>
    <col min="517" max="517" width="14.90625" style="35" customWidth="1"/>
    <col min="518" max="518" width="16.36328125" style="35" bestFit="1" customWidth="1"/>
    <col min="519" max="519" width="7" style="35" bestFit="1" customWidth="1"/>
    <col min="520" max="520" width="16.36328125" style="35" bestFit="1" customWidth="1"/>
    <col min="521" max="521" width="7" style="35" bestFit="1" customWidth="1"/>
    <col min="522" max="522" width="16.08984375" style="35" customWidth="1"/>
    <col min="523" max="768" width="9" style="35"/>
    <col min="769" max="769" width="3.26953125" style="35" customWidth="1"/>
    <col min="770" max="770" width="8.36328125" style="35" customWidth="1"/>
    <col min="771" max="771" width="10" style="35" customWidth="1"/>
    <col min="772" max="772" width="12.36328125" style="35" customWidth="1"/>
    <col min="773" max="773" width="14.90625" style="35" customWidth="1"/>
    <col min="774" max="774" width="16.36328125" style="35" bestFit="1" customWidth="1"/>
    <col min="775" max="775" width="7" style="35" bestFit="1" customWidth="1"/>
    <col min="776" max="776" width="16.36328125" style="35" bestFit="1" customWidth="1"/>
    <col min="777" max="777" width="7" style="35" bestFit="1" customWidth="1"/>
    <col min="778" max="778" width="16.08984375" style="35" customWidth="1"/>
    <col min="779" max="1024" width="9" style="35"/>
    <col min="1025" max="1025" width="3.26953125" style="35" customWidth="1"/>
    <col min="1026" max="1026" width="8.36328125" style="35" customWidth="1"/>
    <col min="1027" max="1027" width="10" style="35" customWidth="1"/>
    <col min="1028" max="1028" width="12.36328125" style="35" customWidth="1"/>
    <col min="1029" max="1029" width="14.90625" style="35" customWidth="1"/>
    <col min="1030" max="1030" width="16.36328125" style="35" bestFit="1" customWidth="1"/>
    <col min="1031" max="1031" width="7" style="35" bestFit="1" customWidth="1"/>
    <col min="1032" max="1032" width="16.36328125" style="35" bestFit="1" customWidth="1"/>
    <col min="1033" max="1033" width="7" style="35" bestFit="1" customWidth="1"/>
    <col min="1034" max="1034" width="16.08984375" style="35" customWidth="1"/>
    <col min="1035" max="1280" width="9" style="35"/>
    <col min="1281" max="1281" width="3.26953125" style="35" customWidth="1"/>
    <col min="1282" max="1282" width="8.36328125" style="35" customWidth="1"/>
    <col min="1283" max="1283" width="10" style="35" customWidth="1"/>
    <col min="1284" max="1284" width="12.36328125" style="35" customWidth="1"/>
    <col min="1285" max="1285" width="14.90625" style="35" customWidth="1"/>
    <col min="1286" max="1286" width="16.36328125" style="35" bestFit="1" customWidth="1"/>
    <col min="1287" max="1287" width="7" style="35" bestFit="1" customWidth="1"/>
    <col min="1288" max="1288" width="16.36328125" style="35" bestFit="1" customWidth="1"/>
    <col min="1289" max="1289" width="7" style="35" bestFit="1" customWidth="1"/>
    <col min="1290" max="1290" width="16.08984375" style="35" customWidth="1"/>
    <col min="1291" max="1536" width="9" style="35"/>
    <col min="1537" max="1537" width="3.26953125" style="35" customWidth="1"/>
    <col min="1538" max="1538" width="8.36328125" style="35" customWidth="1"/>
    <col min="1539" max="1539" width="10" style="35" customWidth="1"/>
    <col min="1540" max="1540" width="12.36328125" style="35" customWidth="1"/>
    <col min="1541" max="1541" width="14.90625" style="35" customWidth="1"/>
    <col min="1542" max="1542" width="16.36328125" style="35" bestFit="1" customWidth="1"/>
    <col min="1543" max="1543" width="7" style="35" bestFit="1" customWidth="1"/>
    <col min="1544" max="1544" width="16.36328125" style="35" bestFit="1" customWidth="1"/>
    <col min="1545" max="1545" width="7" style="35" bestFit="1" customWidth="1"/>
    <col min="1546" max="1546" width="16.08984375" style="35" customWidth="1"/>
    <col min="1547" max="1792" width="9" style="35"/>
    <col min="1793" max="1793" width="3.26953125" style="35" customWidth="1"/>
    <col min="1794" max="1794" width="8.36328125" style="35" customWidth="1"/>
    <col min="1795" max="1795" width="10" style="35" customWidth="1"/>
    <col min="1796" max="1796" width="12.36328125" style="35" customWidth="1"/>
    <col min="1797" max="1797" width="14.90625" style="35" customWidth="1"/>
    <col min="1798" max="1798" width="16.36328125" style="35" bestFit="1" customWidth="1"/>
    <col min="1799" max="1799" width="7" style="35" bestFit="1" customWidth="1"/>
    <col min="1800" max="1800" width="16.36328125" style="35" bestFit="1" customWidth="1"/>
    <col min="1801" max="1801" width="7" style="35" bestFit="1" customWidth="1"/>
    <col min="1802" max="1802" width="16.08984375" style="35" customWidth="1"/>
    <col min="1803" max="2048" width="9" style="35"/>
    <col min="2049" max="2049" width="3.26953125" style="35" customWidth="1"/>
    <col min="2050" max="2050" width="8.36328125" style="35" customWidth="1"/>
    <col min="2051" max="2051" width="10" style="35" customWidth="1"/>
    <col min="2052" max="2052" width="12.36328125" style="35" customWidth="1"/>
    <col min="2053" max="2053" width="14.90625" style="35" customWidth="1"/>
    <col min="2054" max="2054" width="16.36328125" style="35" bestFit="1" customWidth="1"/>
    <col min="2055" max="2055" width="7" style="35" bestFit="1" customWidth="1"/>
    <col min="2056" max="2056" width="16.36328125" style="35" bestFit="1" customWidth="1"/>
    <col min="2057" max="2057" width="7" style="35" bestFit="1" customWidth="1"/>
    <col min="2058" max="2058" width="16.08984375" style="35" customWidth="1"/>
    <col min="2059" max="2304" width="9" style="35"/>
    <col min="2305" max="2305" width="3.26953125" style="35" customWidth="1"/>
    <col min="2306" max="2306" width="8.36328125" style="35" customWidth="1"/>
    <col min="2307" max="2307" width="10" style="35" customWidth="1"/>
    <col min="2308" max="2308" width="12.36328125" style="35" customWidth="1"/>
    <col min="2309" max="2309" width="14.90625" style="35" customWidth="1"/>
    <col min="2310" max="2310" width="16.36328125" style="35" bestFit="1" customWidth="1"/>
    <col min="2311" max="2311" width="7" style="35" bestFit="1" customWidth="1"/>
    <col min="2312" max="2312" width="16.36328125" style="35" bestFit="1" customWidth="1"/>
    <col min="2313" max="2313" width="7" style="35" bestFit="1" customWidth="1"/>
    <col min="2314" max="2314" width="16.08984375" style="35" customWidth="1"/>
    <col min="2315" max="2560" width="9" style="35"/>
    <col min="2561" max="2561" width="3.26953125" style="35" customWidth="1"/>
    <col min="2562" max="2562" width="8.36328125" style="35" customWidth="1"/>
    <col min="2563" max="2563" width="10" style="35" customWidth="1"/>
    <col min="2564" max="2564" width="12.36328125" style="35" customWidth="1"/>
    <col min="2565" max="2565" width="14.90625" style="35" customWidth="1"/>
    <col min="2566" max="2566" width="16.36328125" style="35" bestFit="1" customWidth="1"/>
    <col min="2567" max="2567" width="7" style="35" bestFit="1" customWidth="1"/>
    <col min="2568" max="2568" width="16.36328125" style="35" bestFit="1" customWidth="1"/>
    <col min="2569" max="2569" width="7" style="35" bestFit="1" customWidth="1"/>
    <col min="2570" max="2570" width="16.08984375" style="35" customWidth="1"/>
    <col min="2571" max="2816" width="9" style="35"/>
    <col min="2817" max="2817" width="3.26953125" style="35" customWidth="1"/>
    <col min="2818" max="2818" width="8.36328125" style="35" customWidth="1"/>
    <col min="2819" max="2819" width="10" style="35" customWidth="1"/>
    <col min="2820" max="2820" width="12.36328125" style="35" customWidth="1"/>
    <col min="2821" max="2821" width="14.90625" style="35" customWidth="1"/>
    <col min="2822" max="2822" width="16.36328125" style="35" bestFit="1" customWidth="1"/>
    <col min="2823" max="2823" width="7" style="35" bestFit="1" customWidth="1"/>
    <col min="2824" max="2824" width="16.36328125" style="35" bestFit="1" customWidth="1"/>
    <col min="2825" max="2825" width="7" style="35" bestFit="1" customWidth="1"/>
    <col min="2826" max="2826" width="16.08984375" style="35" customWidth="1"/>
    <col min="2827" max="3072" width="9" style="35"/>
    <col min="3073" max="3073" width="3.26953125" style="35" customWidth="1"/>
    <col min="3074" max="3074" width="8.36328125" style="35" customWidth="1"/>
    <col min="3075" max="3075" width="10" style="35" customWidth="1"/>
    <col min="3076" max="3076" width="12.36328125" style="35" customWidth="1"/>
    <col min="3077" max="3077" width="14.90625" style="35" customWidth="1"/>
    <col min="3078" max="3078" width="16.36328125" style="35" bestFit="1" customWidth="1"/>
    <col min="3079" max="3079" width="7" style="35" bestFit="1" customWidth="1"/>
    <col min="3080" max="3080" width="16.36328125" style="35" bestFit="1" customWidth="1"/>
    <col min="3081" max="3081" width="7" style="35" bestFit="1" customWidth="1"/>
    <col min="3082" max="3082" width="16.08984375" style="35" customWidth="1"/>
    <col min="3083" max="3328" width="9" style="35"/>
    <col min="3329" max="3329" width="3.26953125" style="35" customWidth="1"/>
    <col min="3330" max="3330" width="8.36328125" style="35" customWidth="1"/>
    <col min="3331" max="3331" width="10" style="35" customWidth="1"/>
    <col min="3332" max="3332" width="12.36328125" style="35" customWidth="1"/>
    <col min="3333" max="3333" width="14.90625" style="35" customWidth="1"/>
    <col min="3334" max="3334" width="16.36328125" style="35" bestFit="1" customWidth="1"/>
    <col min="3335" max="3335" width="7" style="35" bestFit="1" customWidth="1"/>
    <col min="3336" max="3336" width="16.36328125" style="35" bestFit="1" customWidth="1"/>
    <col min="3337" max="3337" width="7" style="35" bestFit="1" customWidth="1"/>
    <col min="3338" max="3338" width="16.08984375" style="35" customWidth="1"/>
    <col min="3339" max="3584" width="9" style="35"/>
    <col min="3585" max="3585" width="3.26953125" style="35" customWidth="1"/>
    <col min="3586" max="3586" width="8.36328125" style="35" customWidth="1"/>
    <col min="3587" max="3587" width="10" style="35" customWidth="1"/>
    <col min="3588" max="3588" width="12.36328125" style="35" customWidth="1"/>
    <col min="3589" max="3589" width="14.90625" style="35" customWidth="1"/>
    <col min="3590" max="3590" width="16.36328125" style="35" bestFit="1" customWidth="1"/>
    <col min="3591" max="3591" width="7" style="35" bestFit="1" customWidth="1"/>
    <col min="3592" max="3592" width="16.36328125" style="35" bestFit="1" customWidth="1"/>
    <col min="3593" max="3593" width="7" style="35" bestFit="1" customWidth="1"/>
    <col min="3594" max="3594" width="16.08984375" style="35" customWidth="1"/>
    <col min="3595" max="3840" width="9" style="35"/>
    <col min="3841" max="3841" width="3.26953125" style="35" customWidth="1"/>
    <col min="3842" max="3842" width="8.36328125" style="35" customWidth="1"/>
    <col min="3843" max="3843" width="10" style="35" customWidth="1"/>
    <col min="3844" max="3844" width="12.36328125" style="35" customWidth="1"/>
    <col min="3845" max="3845" width="14.90625" style="35" customWidth="1"/>
    <col min="3846" max="3846" width="16.36328125" style="35" bestFit="1" customWidth="1"/>
    <col min="3847" max="3847" width="7" style="35" bestFit="1" customWidth="1"/>
    <col min="3848" max="3848" width="16.36328125" style="35" bestFit="1" customWidth="1"/>
    <col min="3849" max="3849" width="7" style="35" bestFit="1" customWidth="1"/>
    <col min="3850" max="3850" width="16.08984375" style="35" customWidth="1"/>
    <col min="3851" max="4096" width="9" style="35"/>
    <col min="4097" max="4097" width="3.26953125" style="35" customWidth="1"/>
    <col min="4098" max="4098" width="8.36328125" style="35" customWidth="1"/>
    <col min="4099" max="4099" width="10" style="35" customWidth="1"/>
    <col min="4100" max="4100" width="12.36328125" style="35" customWidth="1"/>
    <col min="4101" max="4101" width="14.90625" style="35" customWidth="1"/>
    <col min="4102" max="4102" width="16.36328125" style="35" bestFit="1" customWidth="1"/>
    <col min="4103" max="4103" width="7" style="35" bestFit="1" customWidth="1"/>
    <col min="4104" max="4104" width="16.36328125" style="35" bestFit="1" customWidth="1"/>
    <col min="4105" max="4105" width="7" style="35" bestFit="1" customWidth="1"/>
    <col min="4106" max="4106" width="16.08984375" style="35" customWidth="1"/>
    <col min="4107" max="4352" width="9" style="35"/>
    <col min="4353" max="4353" width="3.26953125" style="35" customWidth="1"/>
    <col min="4354" max="4354" width="8.36328125" style="35" customWidth="1"/>
    <col min="4355" max="4355" width="10" style="35" customWidth="1"/>
    <col min="4356" max="4356" width="12.36328125" style="35" customWidth="1"/>
    <col min="4357" max="4357" width="14.90625" style="35" customWidth="1"/>
    <col min="4358" max="4358" width="16.36328125" style="35" bestFit="1" customWidth="1"/>
    <col min="4359" max="4359" width="7" style="35" bestFit="1" customWidth="1"/>
    <col min="4360" max="4360" width="16.36328125" style="35" bestFit="1" customWidth="1"/>
    <col min="4361" max="4361" width="7" style="35" bestFit="1" customWidth="1"/>
    <col min="4362" max="4362" width="16.08984375" style="35" customWidth="1"/>
    <col min="4363" max="4608" width="9" style="35"/>
    <col min="4609" max="4609" width="3.26953125" style="35" customWidth="1"/>
    <col min="4610" max="4610" width="8.36328125" style="35" customWidth="1"/>
    <col min="4611" max="4611" width="10" style="35" customWidth="1"/>
    <col min="4612" max="4612" width="12.36328125" style="35" customWidth="1"/>
    <col min="4613" max="4613" width="14.90625" style="35" customWidth="1"/>
    <col min="4614" max="4614" width="16.36328125" style="35" bestFit="1" customWidth="1"/>
    <col min="4615" max="4615" width="7" style="35" bestFit="1" customWidth="1"/>
    <col min="4616" max="4616" width="16.36328125" style="35" bestFit="1" customWidth="1"/>
    <col min="4617" max="4617" width="7" style="35" bestFit="1" customWidth="1"/>
    <col min="4618" max="4618" width="16.08984375" style="35" customWidth="1"/>
    <col min="4619" max="4864" width="9" style="35"/>
    <col min="4865" max="4865" width="3.26953125" style="35" customWidth="1"/>
    <col min="4866" max="4866" width="8.36328125" style="35" customWidth="1"/>
    <col min="4867" max="4867" width="10" style="35" customWidth="1"/>
    <col min="4868" max="4868" width="12.36328125" style="35" customWidth="1"/>
    <col min="4869" max="4869" width="14.90625" style="35" customWidth="1"/>
    <col min="4870" max="4870" width="16.36328125" style="35" bestFit="1" customWidth="1"/>
    <col min="4871" max="4871" width="7" style="35" bestFit="1" customWidth="1"/>
    <col min="4872" max="4872" width="16.36328125" style="35" bestFit="1" customWidth="1"/>
    <col min="4873" max="4873" width="7" style="35" bestFit="1" customWidth="1"/>
    <col min="4874" max="4874" width="16.08984375" style="35" customWidth="1"/>
    <col min="4875" max="5120" width="9" style="35"/>
    <col min="5121" max="5121" width="3.26953125" style="35" customWidth="1"/>
    <col min="5122" max="5122" width="8.36328125" style="35" customWidth="1"/>
    <col min="5123" max="5123" width="10" style="35" customWidth="1"/>
    <col min="5124" max="5124" width="12.36328125" style="35" customWidth="1"/>
    <col min="5125" max="5125" width="14.90625" style="35" customWidth="1"/>
    <col min="5126" max="5126" width="16.36328125" style="35" bestFit="1" customWidth="1"/>
    <col min="5127" max="5127" width="7" style="35" bestFit="1" customWidth="1"/>
    <col min="5128" max="5128" width="16.36328125" style="35" bestFit="1" customWidth="1"/>
    <col min="5129" max="5129" width="7" style="35" bestFit="1" customWidth="1"/>
    <col min="5130" max="5130" width="16.08984375" style="35" customWidth="1"/>
    <col min="5131" max="5376" width="9" style="35"/>
    <col min="5377" max="5377" width="3.26953125" style="35" customWidth="1"/>
    <col min="5378" max="5378" width="8.36328125" style="35" customWidth="1"/>
    <col min="5379" max="5379" width="10" style="35" customWidth="1"/>
    <col min="5380" max="5380" width="12.36328125" style="35" customWidth="1"/>
    <col min="5381" max="5381" width="14.90625" style="35" customWidth="1"/>
    <col min="5382" max="5382" width="16.36328125" style="35" bestFit="1" customWidth="1"/>
    <col min="5383" max="5383" width="7" style="35" bestFit="1" customWidth="1"/>
    <col min="5384" max="5384" width="16.36328125" style="35" bestFit="1" customWidth="1"/>
    <col min="5385" max="5385" width="7" style="35" bestFit="1" customWidth="1"/>
    <col min="5386" max="5386" width="16.08984375" style="35" customWidth="1"/>
    <col min="5387" max="5632" width="9" style="35"/>
    <col min="5633" max="5633" width="3.26953125" style="35" customWidth="1"/>
    <col min="5634" max="5634" width="8.36328125" style="35" customWidth="1"/>
    <col min="5635" max="5635" width="10" style="35" customWidth="1"/>
    <col min="5636" max="5636" width="12.36328125" style="35" customWidth="1"/>
    <col min="5637" max="5637" width="14.90625" style="35" customWidth="1"/>
    <col min="5638" max="5638" width="16.36328125" style="35" bestFit="1" customWidth="1"/>
    <col min="5639" max="5639" width="7" style="35" bestFit="1" customWidth="1"/>
    <col min="5640" max="5640" width="16.36328125" style="35" bestFit="1" customWidth="1"/>
    <col min="5641" max="5641" width="7" style="35" bestFit="1" customWidth="1"/>
    <col min="5642" max="5642" width="16.08984375" style="35" customWidth="1"/>
    <col min="5643" max="5888" width="9" style="35"/>
    <col min="5889" max="5889" width="3.26953125" style="35" customWidth="1"/>
    <col min="5890" max="5890" width="8.36328125" style="35" customWidth="1"/>
    <col min="5891" max="5891" width="10" style="35" customWidth="1"/>
    <col min="5892" max="5892" width="12.36328125" style="35" customWidth="1"/>
    <col min="5893" max="5893" width="14.90625" style="35" customWidth="1"/>
    <col min="5894" max="5894" width="16.36328125" style="35" bestFit="1" customWidth="1"/>
    <col min="5895" max="5895" width="7" style="35" bestFit="1" customWidth="1"/>
    <col min="5896" max="5896" width="16.36328125" style="35" bestFit="1" customWidth="1"/>
    <col min="5897" max="5897" width="7" style="35" bestFit="1" customWidth="1"/>
    <col min="5898" max="5898" width="16.08984375" style="35" customWidth="1"/>
    <col min="5899" max="6144" width="9" style="35"/>
    <col min="6145" max="6145" width="3.26953125" style="35" customWidth="1"/>
    <col min="6146" max="6146" width="8.36328125" style="35" customWidth="1"/>
    <col min="6147" max="6147" width="10" style="35" customWidth="1"/>
    <col min="6148" max="6148" width="12.36328125" style="35" customWidth="1"/>
    <col min="6149" max="6149" width="14.90625" style="35" customWidth="1"/>
    <col min="6150" max="6150" width="16.36328125" style="35" bestFit="1" customWidth="1"/>
    <col min="6151" max="6151" width="7" style="35" bestFit="1" customWidth="1"/>
    <col min="6152" max="6152" width="16.36328125" style="35" bestFit="1" customWidth="1"/>
    <col min="6153" max="6153" width="7" style="35" bestFit="1" customWidth="1"/>
    <col min="6154" max="6154" width="16.08984375" style="35" customWidth="1"/>
    <col min="6155" max="6400" width="9" style="35"/>
    <col min="6401" max="6401" width="3.26953125" style="35" customWidth="1"/>
    <col min="6402" max="6402" width="8.36328125" style="35" customWidth="1"/>
    <col min="6403" max="6403" width="10" style="35" customWidth="1"/>
    <col min="6404" max="6404" width="12.36328125" style="35" customWidth="1"/>
    <col min="6405" max="6405" width="14.90625" style="35" customWidth="1"/>
    <col min="6406" max="6406" width="16.36328125" style="35" bestFit="1" customWidth="1"/>
    <col min="6407" max="6407" width="7" style="35" bestFit="1" customWidth="1"/>
    <col min="6408" max="6408" width="16.36328125" style="35" bestFit="1" customWidth="1"/>
    <col min="6409" max="6409" width="7" style="35" bestFit="1" customWidth="1"/>
    <col min="6410" max="6410" width="16.08984375" style="35" customWidth="1"/>
    <col min="6411" max="6656" width="9" style="35"/>
    <col min="6657" max="6657" width="3.26953125" style="35" customWidth="1"/>
    <col min="6658" max="6658" width="8.36328125" style="35" customWidth="1"/>
    <col min="6659" max="6659" width="10" style="35" customWidth="1"/>
    <col min="6660" max="6660" width="12.36328125" style="35" customWidth="1"/>
    <col min="6661" max="6661" width="14.90625" style="35" customWidth="1"/>
    <col min="6662" max="6662" width="16.36328125" style="35" bestFit="1" customWidth="1"/>
    <col min="6663" max="6663" width="7" style="35" bestFit="1" customWidth="1"/>
    <col min="6664" max="6664" width="16.36328125" style="35" bestFit="1" customWidth="1"/>
    <col min="6665" max="6665" width="7" style="35" bestFit="1" customWidth="1"/>
    <col min="6666" max="6666" width="16.08984375" style="35" customWidth="1"/>
    <col min="6667" max="6912" width="9" style="35"/>
    <col min="6913" max="6913" width="3.26953125" style="35" customWidth="1"/>
    <col min="6914" max="6914" width="8.36328125" style="35" customWidth="1"/>
    <col min="6915" max="6915" width="10" style="35" customWidth="1"/>
    <col min="6916" max="6916" width="12.36328125" style="35" customWidth="1"/>
    <col min="6917" max="6917" width="14.90625" style="35" customWidth="1"/>
    <col min="6918" max="6918" width="16.36328125" style="35" bestFit="1" customWidth="1"/>
    <col min="6919" max="6919" width="7" style="35" bestFit="1" customWidth="1"/>
    <col min="6920" max="6920" width="16.36328125" style="35" bestFit="1" customWidth="1"/>
    <col min="6921" max="6921" width="7" style="35" bestFit="1" customWidth="1"/>
    <col min="6922" max="6922" width="16.08984375" style="35" customWidth="1"/>
    <col min="6923" max="7168" width="9" style="35"/>
    <col min="7169" max="7169" width="3.26953125" style="35" customWidth="1"/>
    <col min="7170" max="7170" width="8.36328125" style="35" customWidth="1"/>
    <col min="7171" max="7171" width="10" style="35" customWidth="1"/>
    <col min="7172" max="7172" width="12.36328125" style="35" customWidth="1"/>
    <col min="7173" max="7173" width="14.90625" style="35" customWidth="1"/>
    <col min="7174" max="7174" width="16.36328125" style="35" bestFit="1" customWidth="1"/>
    <col min="7175" max="7175" width="7" style="35" bestFit="1" customWidth="1"/>
    <col min="7176" max="7176" width="16.36328125" style="35" bestFit="1" customWidth="1"/>
    <col min="7177" max="7177" width="7" style="35" bestFit="1" customWidth="1"/>
    <col min="7178" max="7178" width="16.08984375" style="35" customWidth="1"/>
    <col min="7179" max="7424" width="9" style="35"/>
    <col min="7425" max="7425" width="3.26953125" style="35" customWidth="1"/>
    <col min="7426" max="7426" width="8.36328125" style="35" customWidth="1"/>
    <col min="7427" max="7427" width="10" style="35" customWidth="1"/>
    <col min="7428" max="7428" width="12.36328125" style="35" customWidth="1"/>
    <col min="7429" max="7429" width="14.90625" style="35" customWidth="1"/>
    <col min="7430" max="7430" width="16.36328125" style="35" bestFit="1" customWidth="1"/>
    <col min="7431" max="7431" width="7" style="35" bestFit="1" customWidth="1"/>
    <col min="7432" max="7432" width="16.36328125" style="35" bestFit="1" customWidth="1"/>
    <col min="7433" max="7433" width="7" style="35" bestFit="1" customWidth="1"/>
    <col min="7434" max="7434" width="16.08984375" style="35" customWidth="1"/>
    <col min="7435" max="7680" width="9" style="35"/>
    <col min="7681" max="7681" width="3.26953125" style="35" customWidth="1"/>
    <col min="7682" max="7682" width="8.36328125" style="35" customWidth="1"/>
    <col min="7683" max="7683" width="10" style="35" customWidth="1"/>
    <col min="7684" max="7684" width="12.36328125" style="35" customWidth="1"/>
    <col min="7685" max="7685" width="14.90625" style="35" customWidth="1"/>
    <col min="7686" max="7686" width="16.36328125" style="35" bestFit="1" customWidth="1"/>
    <col min="7687" max="7687" width="7" style="35" bestFit="1" customWidth="1"/>
    <col min="7688" max="7688" width="16.36328125" style="35" bestFit="1" customWidth="1"/>
    <col min="7689" max="7689" width="7" style="35" bestFit="1" customWidth="1"/>
    <col min="7690" max="7690" width="16.08984375" style="35" customWidth="1"/>
    <col min="7691" max="7936" width="9" style="35"/>
    <col min="7937" max="7937" width="3.26953125" style="35" customWidth="1"/>
    <col min="7938" max="7938" width="8.36328125" style="35" customWidth="1"/>
    <col min="7939" max="7939" width="10" style="35" customWidth="1"/>
    <col min="7940" max="7940" width="12.36328125" style="35" customWidth="1"/>
    <col min="7941" max="7941" width="14.90625" style="35" customWidth="1"/>
    <col min="7942" max="7942" width="16.36328125" style="35" bestFit="1" customWidth="1"/>
    <col min="7943" max="7943" width="7" style="35" bestFit="1" customWidth="1"/>
    <col min="7944" max="7944" width="16.36328125" style="35" bestFit="1" customWidth="1"/>
    <col min="7945" max="7945" width="7" style="35" bestFit="1" customWidth="1"/>
    <col min="7946" max="7946" width="16.08984375" style="35" customWidth="1"/>
    <col min="7947" max="8192" width="9" style="35"/>
    <col min="8193" max="8193" width="3.26953125" style="35" customWidth="1"/>
    <col min="8194" max="8194" width="8.36328125" style="35" customWidth="1"/>
    <col min="8195" max="8195" width="10" style="35" customWidth="1"/>
    <col min="8196" max="8196" width="12.36328125" style="35" customWidth="1"/>
    <col min="8197" max="8197" width="14.90625" style="35" customWidth="1"/>
    <col min="8198" max="8198" width="16.36328125" style="35" bestFit="1" customWidth="1"/>
    <col min="8199" max="8199" width="7" style="35" bestFit="1" customWidth="1"/>
    <col min="8200" max="8200" width="16.36328125" style="35" bestFit="1" customWidth="1"/>
    <col min="8201" max="8201" width="7" style="35" bestFit="1" customWidth="1"/>
    <col min="8202" max="8202" width="16.08984375" style="35" customWidth="1"/>
    <col min="8203" max="8448" width="9" style="35"/>
    <col min="8449" max="8449" width="3.26953125" style="35" customWidth="1"/>
    <col min="8450" max="8450" width="8.36328125" style="35" customWidth="1"/>
    <col min="8451" max="8451" width="10" style="35" customWidth="1"/>
    <col min="8452" max="8452" width="12.36328125" style="35" customWidth="1"/>
    <col min="8453" max="8453" width="14.90625" style="35" customWidth="1"/>
    <col min="8454" max="8454" width="16.36328125" style="35" bestFit="1" customWidth="1"/>
    <col min="8455" max="8455" width="7" style="35" bestFit="1" customWidth="1"/>
    <col min="8456" max="8456" width="16.36328125" style="35" bestFit="1" customWidth="1"/>
    <col min="8457" max="8457" width="7" style="35" bestFit="1" customWidth="1"/>
    <col min="8458" max="8458" width="16.08984375" style="35" customWidth="1"/>
    <col min="8459" max="8704" width="9" style="35"/>
    <col min="8705" max="8705" width="3.26953125" style="35" customWidth="1"/>
    <col min="8706" max="8706" width="8.36328125" style="35" customWidth="1"/>
    <col min="8707" max="8707" width="10" style="35" customWidth="1"/>
    <col min="8708" max="8708" width="12.36328125" style="35" customWidth="1"/>
    <col min="8709" max="8709" width="14.90625" style="35" customWidth="1"/>
    <col min="8710" max="8710" width="16.36328125" style="35" bestFit="1" customWidth="1"/>
    <col min="8711" max="8711" width="7" style="35" bestFit="1" customWidth="1"/>
    <col min="8712" max="8712" width="16.36328125" style="35" bestFit="1" customWidth="1"/>
    <col min="8713" max="8713" width="7" style="35" bestFit="1" customWidth="1"/>
    <col min="8714" max="8714" width="16.08984375" style="35" customWidth="1"/>
    <col min="8715" max="8960" width="9" style="35"/>
    <col min="8961" max="8961" width="3.26953125" style="35" customWidth="1"/>
    <col min="8962" max="8962" width="8.36328125" style="35" customWidth="1"/>
    <col min="8963" max="8963" width="10" style="35" customWidth="1"/>
    <col min="8964" max="8964" width="12.36328125" style="35" customWidth="1"/>
    <col min="8965" max="8965" width="14.90625" style="35" customWidth="1"/>
    <col min="8966" max="8966" width="16.36328125" style="35" bestFit="1" customWidth="1"/>
    <col min="8967" max="8967" width="7" style="35" bestFit="1" customWidth="1"/>
    <col min="8968" max="8968" width="16.36328125" style="35" bestFit="1" customWidth="1"/>
    <col min="8969" max="8969" width="7" style="35" bestFit="1" customWidth="1"/>
    <col min="8970" max="8970" width="16.08984375" style="35" customWidth="1"/>
    <col min="8971" max="9216" width="9" style="35"/>
    <col min="9217" max="9217" width="3.26953125" style="35" customWidth="1"/>
    <col min="9218" max="9218" width="8.36328125" style="35" customWidth="1"/>
    <col min="9219" max="9219" width="10" style="35" customWidth="1"/>
    <col min="9220" max="9220" width="12.36328125" style="35" customWidth="1"/>
    <col min="9221" max="9221" width="14.90625" style="35" customWidth="1"/>
    <col min="9222" max="9222" width="16.36328125" style="35" bestFit="1" customWidth="1"/>
    <col min="9223" max="9223" width="7" style="35" bestFit="1" customWidth="1"/>
    <col min="9224" max="9224" width="16.36328125" style="35" bestFit="1" customWidth="1"/>
    <col min="9225" max="9225" width="7" style="35" bestFit="1" customWidth="1"/>
    <col min="9226" max="9226" width="16.08984375" style="35" customWidth="1"/>
    <col min="9227" max="9472" width="9" style="35"/>
    <col min="9473" max="9473" width="3.26953125" style="35" customWidth="1"/>
    <col min="9474" max="9474" width="8.36328125" style="35" customWidth="1"/>
    <col min="9475" max="9475" width="10" style="35" customWidth="1"/>
    <col min="9476" max="9476" width="12.36328125" style="35" customWidth="1"/>
    <col min="9477" max="9477" width="14.90625" style="35" customWidth="1"/>
    <col min="9478" max="9478" width="16.36328125" style="35" bestFit="1" customWidth="1"/>
    <col min="9479" max="9479" width="7" style="35" bestFit="1" customWidth="1"/>
    <col min="9480" max="9480" width="16.36328125" style="35" bestFit="1" customWidth="1"/>
    <col min="9481" max="9481" width="7" style="35" bestFit="1" customWidth="1"/>
    <col min="9482" max="9482" width="16.08984375" style="35" customWidth="1"/>
    <col min="9483" max="9728" width="9" style="35"/>
    <col min="9729" max="9729" width="3.26953125" style="35" customWidth="1"/>
    <col min="9730" max="9730" width="8.36328125" style="35" customWidth="1"/>
    <col min="9731" max="9731" width="10" style="35" customWidth="1"/>
    <col min="9732" max="9732" width="12.36328125" style="35" customWidth="1"/>
    <col min="9733" max="9733" width="14.90625" style="35" customWidth="1"/>
    <col min="9734" max="9734" width="16.36328125" style="35" bestFit="1" customWidth="1"/>
    <col min="9735" max="9735" width="7" style="35" bestFit="1" customWidth="1"/>
    <col min="9736" max="9736" width="16.36328125" style="35" bestFit="1" customWidth="1"/>
    <col min="9737" max="9737" width="7" style="35" bestFit="1" customWidth="1"/>
    <col min="9738" max="9738" width="16.08984375" style="35" customWidth="1"/>
    <col min="9739" max="9984" width="9" style="35"/>
    <col min="9985" max="9985" width="3.26953125" style="35" customWidth="1"/>
    <col min="9986" max="9986" width="8.36328125" style="35" customWidth="1"/>
    <col min="9987" max="9987" width="10" style="35" customWidth="1"/>
    <col min="9988" max="9988" width="12.36328125" style="35" customWidth="1"/>
    <col min="9989" max="9989" width="14.90625" style="35" customWidth="1"/>
    <col min="9990" max="9990" width="16.36328125" style="35" bestFit="1" customWidth="1"/>
    <col min="9991" max="9991" width="7" style="35" bestFit="1" customWidth="1"/>
    <col min="9992" max="9992" width="16.36328125" style="35" bestFit="1" customWidth="1"/>
    <col min="9993" max="9993" width="7" style="35" bestFit="1" customWidth="1"/>
    <col min="9994" max="9994" width="16.08984375" style="35" customWidth="1"/>
    <col min="9995" max="10240" width="9" style="35"/>
    <col min="10241" max="10241" width="3.26953125" style="35" customWidth="1"/>
    <col min="10242" max="10242" width="8.36328125" style="35" customWidth="1"/>
    <col min="10243" max="10243" width="10" style="35" customWidth="1"/>
    <col min="10244" max="10244" width="12.36328125" style="35" customWidth="1"/>
    <col min="10245" max="10245" width="14.90625" style="35" customWidth="1"/>
    <col min="10246" max="10246" width="16.36328125" style="35" bestFit="1" customWidth="1"/>
    <col min="10247" max="10247" width="7" style="35" bestFit="1" customWidth="1"/>
    <col min="10248" max="10248" width="16.36328125" style="35" bestFit="1" customWidth="1"/>
    <col min="10249" max="10249" width="7" style="35" bestFit="1" customWidth="1"/>
    <col min="10250" max="10250" width="16.08984375" style="35" customWidth="1"/>
    <col min="10251" max="10496" width="9" style="35"/>
    <col min="10497" max="10497" width="3.26953125" style="35" customWidth="1"/>
    <col min="10498" max="10498" width="8.36328125" style="35" customWidth="1"/>
    <col min="10499" max="10499" width="10" style="35" customWidth="1"/>
    <col min="10500" max="10500" width="12.36328125" style="35" customWidth="1"/>
    <col min="10501" max="10501" width="14.90625" style="35" customWidth="1"/>
    <col min="10502" max="10502" width="16.36328125" style="35" bestFit="1" customWidth="1"/>
    <col min="10503" max="10503" width="7" style="35" bestFit="1" customWidth="1"/>
    <col min="10504" max="10504" width="16.36328125" style="35" bestFit="1" customWidth="1"/>
    <col min="10505" max="10505" width="7" style="35" bestFit="1" customWidth="1"/>
    <col min="10506" max="10506" width="16.08984375" style="35" customWidth="1"/>
    <col min="10507" max="10752" width="9" style="35"/>
    <col min="10753" max="10753" width="3.26953125" style="35" customWidth="1"/>
    <col min="10754" max="10754" width="8.36328125" style="35" customWidth="1"/>
    <col min="10755" max="10755" width="10" style="35" customWidth="1"/>
    <col min="10756" max="10756" width="12.36328125" style="35" customWidth="1"/>
    <col min="10757" max="10757" width="14.90625" style="35" customWidth="1"/>
    <col min="10758" max="10758" width="16.36328125" style="35" bestFit="1" customWidth="1"/>
    <col min="10759" max="10759" width="7" style="35" bestFit="1" customWidth="1"/>
    <col min="10760" max="10760" width="16.36328125" style="35" bestFit="1" customWidth="1"/>
    <col min="10761" max="10761" width="7" style="35" bestFit="1" customWidth="1"/>
    <col min="10762" max="10762" width="16.08984375" style="35" customWidth="1"/>
    <col min="10763" max="11008" width="9" style="35"/>
    <col min="11009" max="11009" width="3.26953125" style="35" customWidth="1"/>
    <col min="11010" max="11010" width="8.36328125" style="35" customWidth="1"/>
    <col min="11011" max="11011" width="10" style="35" customWidth="1"/>
    <col min="11012" max="11012" width="12.36328125" style="35" customWidth="1"/>
    <col min="11013" max="11013" width="14.90625" style="35" customWidth="1"/>
    <col min="11014" max="11014" width="16.36328125" style="35" bestFit="1" customWidth="1"/>
    <col min="11015" max="11015" width="7" style="35" bestFit="1" customWidth="1"/>
    <col min="11016" max="11016" width="16.36328125" style="35" bestFit="1" customWidth="1"/>
    <col min="11017" max="11017" width="7" style="35" bestFit="1" customWidth="1"/>
    <col min="11018" max="11018" width="16.08984375" style="35" customWidth="1"/>
    <col min="11019" max="11264" width="9" style="35"/>
    <col min="11265" max="11265" width="3.26953125" style="35" customWidth="1"/>
    <col min="11266" max="11266" width="8.36328125" style="35" customWidth="1"/>
    <col min="11267" max="11267" width="10" style="35" customWidth="1"/>
    <col min="11268" max="11268" width="12.36328125" style="35" customWidth="1"/>
    <col min="11269" max="11269" width="14.90625" style="35" customWidth="1"/>
    <col min="11270" max="11270" width="16.36328125" style="35" bestFit="1" customWidth="1"/>
    <col min="11271" max="11271" width="7" style="35" bestFit="1" customWidth="1"/>
    <col min="11272" max="11272" width="16.36328125" style="35" bestFit="1" customWidth="1"/>
    <col min="11273" max="11273" width="7" style="35" bestFit="1" customWidth="1"/>
    <col min="11274" max="11274" width="16.08984375" style="35" customWidth="1"/>
    <col min="11275" max="11520" width="9" style="35"/>
    <col min="11521" max="11521" width="3.26953125" style="35" customWidth="1"/>
    <col min="11522" max="11522" width="8.36328125" style="35" customWidth="1"/>
    <col min="11523" max="11523" width="10" style="35" customWidth="1"/>
    <col min="11524" max="11524" width="12.36328125" style="35" customWidth="1"/>
    <col min="11525" max="11525" width="14.90625" style="35" customWidth="1"/>
    <col min="11526" max="11526" width="16.36328125" style="35" bestFit="1" customWidth="1"/>
    <col min="11527" max="11527" width="7" style="35" bestFit="1" customWidth="1"/>
    <col min="11528" max="11528" width="16.36328125" style="35" bestFit="1" customWidth="1"/>
    <col min="11529" max="11529" width="7" style="35" bestFit="1" customWidth="1"/>
    <col min="11530" max="11530" width="16.08984375" style="35" customWidth="1"/>
    <col min="11531" max="11776" width="9" style="35"/>
    <col min="11777" max="11777" width="3.26953125" style="35" customWidth="1"/>
    <col min="11778" max="11778" width="8.36328125" style="35" customWidth="1"/>
    <col min="11779" max="11779" width="10" style="35" customWidth="1"/>
    <col min="11780" max="11780" width="12.36328125" style="35" customWidth="1"/>
    <col min="11781" max="11781" width="14.90625" style="35" customWidth="1"/>
    <col min="11782" max="11782" width="16.36328125" style="35" bestFit="1" customWidth="1"/>
    <col min="11783" max="11783" width="7" style="35" bestFit="1" customWidth="1"/>
    <col min="11784" max="11784" width="16.36328125" style="35" bestFit="1" customWidth="1"/>
    <col min="11785" max="11785" width="7" style="35" bestFit="1" customWidth="1"/>
    <col min="11786" max="11786" width="16.08984375" style="35" customWidth="1"/>
    <col min="11787" max="12032" width="9" style="35"/>
    <col min="12033" max="12033" width="3.26953125" style="35" customWidth="1"/>
    <col min="12034" max="12034" width="8.36328125" style="35" customWidth="1"/>
    <col min="12035" max="12035" width="10" style="35" customWidth="1"/>
    <col min="12036" max="12036" width="12.36328125" style="35" customWidth="1"/>
    <col min="12037" max="12037" width="14.90625" style="35" customWidth="1"/>
    <col min="12038" max="12038" width="16.36328125" style="35" bestFit="1" customWidth="1"/>
    <col min="12039" max="12039" width="7" style="35" bestFit="1" customWidth="1"/>
    <col min="12040" max="12040" width="16.36328125" style="35" bestFit="1" customWidth="1"/>
    <col min="12041" max="12041" width="7" style="35" bestFit="1" customWidth="1"/>
    <col min="12042" max="12042" width="16.08984375" style="35" customWidth="1"/>
    <col min="12043" max="12288" width="9" style="35"/>
    <col min="12289" max="12289" width="3.26953125" style="35" customWidth="1"/>
    <col min="12290" max="12290" width="8.36328125" style="35" customWidth="1"/>
    <col min="12291" max="12291" width="10" style="35" customWidth="1"/>
    <col min="12292" max="12292" width="12.36328125" style="35" customWidth="1"/>
    <col min="12293" max="12293" width="14.90625" style="35" customWidth="1"/>
    <col min="12294" max="12294" width="16.36328125" style="35" bestFit="1" customWidth="1"/>
    <col min="12295" max="12295" width="7" style="35" bestFit="1" customWidth="1"/>
    <col min="12296" max="12296" width="16.36328125" style="35" bestFit="1" customWidth="1"/>
    <col min="12297" max="12297" width="7" style="35" bestFit="1" customWidth="1"/>
    <col min="12298" max="12298" width="16.08984375" style="35" customWidth="1"/>
    <col min="12299" max="12544" width="9" style="35"/>
    <col min="12545" max="12545" width="3.26953125" style="35" customWidth="1"/>
    <col min="12546" max="12546" width="8.36328125" style="35" customWidth="1"/>
    <col min="12547" max="12547" width="10" style="35" customWidth="1"/>
    <col min="12548" max="12548" width="12.36328125" style="35" customWidth="1"/>
    <col min="12549" max="12549" width="14.90625" style="35" customWidth="1"/>
    <col min="12550" max="12550" width="16.36328125" style="35" bestFit="1" customWidth="1"/>
    <col min="12551" max="12551" width="7" style="35" bestFit="1" customWidth="1"/>
    <col min="12552" max="12552" width="16.36328125" style="35" bestFit="1" customWidth="1"/>
    <col min="12553" max="12553" width="7" style="35" bestFit="1" customWidth="1"/>
    <col min="12554" max="12554" width="16.08984375" style="35" customWidth="1"/>
    <col min="12555" max="12800" width="9" style="35"/>
    <col min="12801" max="12801" width="3.26953125" style="35" customWidth="1"/>
    <col min="12802" max="12802" width="8.36328125" style="35" customWidth="1"/>
    <col min="12803" max="12803" width="10" style="35" customWidth="1"/>
    <col min="12804" max="12804" width="12.36328125" style="35" customWidth="1"/>
    <col min="12805" max="12805" width="14.90625" style="35" customWidth="1"/>
    <col min="12806" max="12806" width="16.36328125" style="35" bestFit="1" customWidth="1"/>
    <col min="12807" max="12807" width="7" style="35" bestFit="1" customWidth="1"/>
    <col min="12808" max="12808" width="16.36328125" style="35" bestFit="1" customWidth="1"/>
    <col min="12809" max="12809" width="7" style="35" bestFit="1" customWidth="1"/>
    <col min="12810" max="12810" width="16.08984375" style="35" customWidth="1"/>
    <col min="12811" max="13056" width="9" style="35"/>
    <col min="13057" max="13057" width="3.26953125" style="35" customWidth="1"/>
    <col min="13058" max="13058" width="8.36328125" style="35" customWidth="1"/>
    <col min="13059" max="13059" width="10" style="35" customWidth="1"/>
    <col min="13060" max="13060" width="12.36328125" style="35" customWidth="1"/>
    <col min="13061" max="13061" width="14.90625" style="35" customWidth="1"/>
    <col min="13062" max="13062" width="16.36328125" style="35" bestFit="1" customWidth="1"/>
    <col min="13063" max="13063" width="7" style="35" bestFit="1" customWidth="1"/>
    <col min="13064" max="13064" width="16.36328125" style="35" bestFit="1" customWidth="1"/>
    <col min="13065" max="13065" width="7" style="35" bestFit="1" customWidth="1"/>
    <col min="13066" max="13066" width="16.08984375" style="35" customWidth="1"/>
    <col min="13067" max="13312" width="9" style="35"/>
    <col min="13313" max="13313" width="3.26953125" style="35" customWidth="1"/>
    <col min="13314" max="13314" width="8.36328125" style="35" customWidth="1"/>
    <col min="13315" max="13315" width="10" style="35" customWidth="1"/>
    <col min="13316" max="13316" width="12.36328125" style="35" customWidth="1"/>
    <col min="13317" max="13317" width="14.90625" style="35" customWidth="1"/>
    <col min="13318" max="13318" width="16.36328125" style="35" bestFit="1" customWidth="1"/>
    <col min="13319" max="13319" width="7" style="35" bestFit="1" customWidth="1"/>
    <col min="13320" max="13320" width="16.36328125" style="35" bestFit="1" customWidth="1"/>
    <col min="13321" max="13321" width="7" style="35" bestFit="1" customWidth="1"/>
    <col min="13322" max="13322" width="16.08984375" style="35" customWidth="1"/>
    <col min="13323" max="13568" width="9" style="35"/>
    <col min="13569" max="13569" width="3.26953125" style="35" customWidth="1"/>
    <col min="13570" max="13570" width="8.36328125" style="35" customWidth="1"/>
    <col min="13571" max="13571" width="10" style="35" customWidth="1"/>
    <col min="13572" max="13572" width="12.36328125" style="35" customWidth="1"/>
    <col min="13573" max="13573" width="14.90625" style="35" customWidth="1"/>
    <col min="13574" max="13574" width="16.36328125" style="35" bestFit="1" customWidth="1"/>
    <col min="13575" max="13575" width="7" style="35" bestFit="1" customWidth="1"/>
    <col min="13576" max="13576" width="16.36328125" style="35" bestFit="1" customWidth="1"/>
    <col min="13577" max="13577" width="7" style="35" bestFit="1" customWidth="1"/>
    <col min="13578" max="13578" width="16.08984375" style="35" customWidth="1"/>
    <col min="13579" max="13824" width="9" style="35"/>
    <col min="13825" max="13825" width="3.26953125" style="35" customWidth="1"/>
    <col min="13826" max="13826" width="8.36328125" style="35" customWidth="1"/>
    <col min="13827" max="13827" width="10" style="35" customWidth="1"/>
    <col min="13828" max="13828" width="12.36328125" style="35" customWidth="1"/>
    <col min="13829" max="13829" width="14.90625" style="35" customWidth="1"/>
    <col min="13830" max="13830" width="16.36328125" style="35" bestFit="1" customWidth="1"/>
    <col min="13831" max="13831" width="7" style="35" bestFit="1" customWidth="1"/>
    <col min="13832" max="13832" width="16.36328125" style="35" bestFit="1" customWidth="1"/>
    <col min="13833" max="13833" width="7" style="35" bestFit="1" customWidth="1"/>
    <col min="13834" max="13834" width="16.08984375" style="35" customWidth="1"/>
    <col min="13835" max="14080" width="9" style="35"/>
    <col min="14081" max="14081" width="3.26953125" style="35" customWidth="1"/>
    <col min="14082" max="14082" width="8.36328125" style="35" customWidth="1"/>
    <col min="14083" max="14083" width="10" style="35" customWidth="1"/>
    <col min="14084" max="14084" width="12.36328125" style="35" customWidth="1"/>
    <col min="14085" max="14085" width="14.90625" style="35" customWidth="1"/>
    <col min="14086" max="14086" width="16.36328125" style="35" bestFit="1" customWidth="1"/>
    <col min="14087" max="14087" width="7" style="35" bestFit="1" customWidth="1"/>
    <col min="14088" max="14088" width="16.36328125" style="35" bestFit="1" customWidth="1"/>
    <col min="14089" max="14089" width="7" style="35" bestFit="1" customWidth="1"/>
    <col min="14090" max="14090" width="16.08984375" style="35" customWidth="1"/>
    <col min="14091" max="14336" width="9" style="35"/>
    <col min="14337" max="14337" width="3.26953125" style="35" customWidth="1"/>
    <col min="14338" max="14338" width="8.36328125" style="35" customWidth="1"/>
    <col min="14339" max="14339" width="10" style="35" customWidth="1"/>
    <col min="14340" max="14340" width="12.36328125" style="35" customWidth="1"/>
    <col min="14341" max="14341" width="14.90625" style="35" customWidth="1"/>
    <col min="14342" max="14342" width="16.36328125" style="35" bestFit="1" customWidth="1"/>
    <col min="14343" max="14343" width="7" style="35" bestFit="1" customWidth="1"/>
    <col min="14344" max="14344" width="16.36328125" style="35" bestFit="1" customWidth="1"/>
    <col min="14345" max="14345" width="7" style="35" bestFit="1" customWidth="1"/>
    <col min="14346" max="14346" width="16.08984375" style="35" customWidth="1"/>
    <col min="14347" max="14592" width="9" style="35"/>
    <col min="14593" max="14593" width="3.26953125" style="35" customWidth="1"/>
    <col min="14594" max="14594" width="8.36328125" style="35" customWidth="1"/>
    <col min="14595" max="14595" width="10" style="35" customWidth="1"/>
    <col min="14596" max="14596" width="12.36328125" style="35" customWidth="1"/>
    <col min="14597" max="14597" width="14.90625" style="35" customWidth="1"/>
    <col min="14598" max="14598" width="16.36328125" style="35" bestFit="1" customWidth="1"/>
    <col min="14599" max="14599" width="7" style="35" bestFit="1" customWidth="1"/>
    <col min="14600" max="14600" width="16.36328125" style="35" bestFit="1" customWidth="1"/>
    <col min="14601" max="14601" width="7" style="35" bestFit="1" customWidth="1"/>
    <col min="14602" max="14602" width="16.08984375" style="35" customWidth="1"/>
    <col min="14603" max="14848" width="9" style="35"/>
    <col min="14849" max="14849" width="3.26953125" style="35" customWidth="1"/>
    <col min="14850" max="14850" width="8.36328125" style="35" customWidth="1"/>
    <col min="14851" max="14851" width="10" style="35" customWidth="1"/>
    <col min="14852" max="14852" width="12.36328125" style="35" customWidth="1"/>
    <col min="14853" max="14853" width="14.90625" style="35" customWidth="1"/>
    <col min="14854" max="14854" width="16.36328125" style="35" bestFit="1" customWidth="1"/>
    <col min="14855" max="14855" width="7" style="35" bestFit="1" customWidth="1"/>
    <col min="14856" max="14856" width="16.36328125" style="35" bestFit="1" customWidth="1"/>
    <col min="14857" max="14857" width="7" style="35" bestFit="1" customWidth="1"/>
    <col min="14858" max="14858" width="16.08984375" style="35" customWidth="1"/>
    <col min="14859" max="15104" width="9" style="35"/>
    <col min="15105" max="15105" width="3.26953125" style="35" customWidth="1"/>
    <col min="15106" max="15106" width="8.36328125" style="35" customWidth="1"/>
    <col min="15107" max="15107" width="10" style="35" customWidth="1"/>
    <col min="15108" max="15108" width="12.36328125" style="35" customWidth="1"/>
    <col min="15109" max="15109" width="14.90625" style="35" customWidth="1"/>
    <col min="15110" max="15110" width="16.36328125" style="35" bestFit="1" customWidth="1"/>
    <col min="15111" max="15111" width="7" style="35" bestFit="1" customWidth="1"/>
    <col min="15112" max="15112" width="16.36328125" style="35" bestFit="1" customWidth="1"/>
    <col min="15113" max="15113" width="7" style="35" bestFit="1" customWidth="1"/>
    <col min="15114" max="15114" width="16.08984375" style="35" customWidth="1"/>
    <col min="15115" max="15360" width="9" style="35"/>
    <col min="15361" max="15361" width="3.26953125" style="35" customWidth="1"/>
    <col min="15362" max="15362" width="8.36328125" style="35" customWidth="1"/>
    <col min="15363" max="15363" width="10" style="35" customWidth="1"/>
    <col min="15364" max="15364" width="12.36328125" style="35" customWidth="1"/>
    <col min="15365" max="15365" width="14.90625" style="35" customWidth="1"/>
    <col min="15366" max="15366" width="16.36328125" style="35" bestFit="1" customWidth="1"/>
    <col min="15367" max="15367" width="7" style="35" bestFit="1" customWidth="1"/>
    <col min="15368" max="15368" width="16.36328125" style="35" bestFit="1" customWidth="1"/>
    <col min="15369" max="15369" width="7" style="35" bestFit="1" customWidth="1"/>
    <col min="15370" max="15370" width="16.08984375" style="35" customWidth="1"/>
    <col min="15371" max="15616" width="9" style="35"/>
    <col min="15617" max="15617" width="3.26953125" style="35" customWidth="1"/>
    <col min="15618" max="15618" width="8.36328125" style="35" customWidth="1"/>
    <col min="15619" max="15619" width="10" style="35" customWidth="1"/>
    <col min="15620" max="15620" width="12.36328125" style="35" customWidth="1"/>
    <col min="15621" max="15621" width="14.90625" style="35" customWidth="1"/>
    <col min="15622" max="15622" width="16.36328125" style="35" bestFit="1" customWidth="1"/>
    <col min="15623" max="15623" width="7" style="35" bestFit="1" customWidth="1"/>
    <col min="15624" max="15624" width="16.36328125" style="35" bestFit="1" customWidth="1"/>
    <col min="15625" max="15625" width="7" style="35" bestFit="1" customWidth="1"/>
    <col min="15626" max="15626" width="16.08984375" style="35" customWidth="1"/>
    <col min="15627" max="15872" width="9" style="35"/>
    <col min="15873" max="15873" width="3.26953125" style="35" customWidth="1"/>
    <col min="15874" max="15874" width="8.36328125" style="35" customWidth="1"/>
    <col min="15875" max="15875" width="10" style="35" customWidth="1"/>
    <col min="15876" max="15876" width="12.36328125" style="35" customWidth="1"/>
    <col min="15877" max="15877" width="14.90625" style="35" customWidth="1"/>
    <col min="15878" max="15878" width="16.36328125" style="35" bestFit="1" customWidth="1"/>
    <col min="15879" max="15879" width="7" style="35" bestFit="1" customWidth="1"/>
    <col min="15880" max="15880" width="16.36328125" style="35" bestFit="1" customWidth="1"/>
    <col min="15881" max="15881" width="7" style="35" bestFit="1" customWidth="1"/>
    <col min="15882" max="15882" width="16.08984375" style="35" customWidth="1"/>
    <col min="15883" max="16128" width="9" style="35"/>
    <col min="16129" max="16129" width="3.26953125" style="35" customWidth="1"/>
    <col min="16130" max="16130" width="8.36328125" style="35" customWidth="1"/>
    <col min="16131" max="16131" width="10" style="35" customWidth="1"/>
    <col min="16132" max="16132" width="12.36328125" style="35" customWidth="1"/>
    <col min="16133" max="16133" width="14.90625" style="35" customWidth="1"/>
    <col min="16134" max="16134" width="16.36328125" style="35" bestFit="1" customWidth="1"/>
    <col min="16135" max="16135" width="7" style="35" bestFit="1" customWidth="1"/>
    <col min="16136" max="16136" width="16.36328125" style="35" bestFit="1" customWidth="1"/>
    <col min="16137" max="16137" width="7" style="35" bestFit="1" customWidth="1"/>
    <col min="16138" max="16138" width="16.08984375" style="35" customWidth="1"/>
    <col min="16139" max="16384" width="9" style="35"/>
  </cols>
  <sheetData>
    <row r="1" spans="1:11">
      <c r="A1" s="36" t="s">
        <v>85</v>
      </c>
    </row>
    <row r="2" spans="1:11" s="84" customFormat="1" ht="24" customHeight="1" thickBot="1">
      <c r="A2" s="110"/>
      <c r="B2" s="418" t="s">
        <v>317</v>
      </c>
      <c r="C2" s="418"/>
      <c r="D2" s="418"/>
      <c r="E2" s="418"/>
      <c r="F2" s="418"/>
      <c r="G2" s="418"/>
      <c r="H2" s="418"/>
      <c r="I2" s="418"/>
      <c r="J2" s="418"/>
    </row>
    <row r="3" spans="1:11" ht="14.25" customHeight="1" thickTop="1" thickBot="1">
      <c r="B3" s="41" t="s">
        <v>87</v>
      </c>
      <c r="C3" s="41" t="s">
        <v>88</v>
      </c>
      <c r="D3" s="41"/>
      <c r="E3" s="42"/>
    </row>
    <row r="4" spans="1:11" ht="14.25" customHeight="1">
      <c r="B4" s="419" t="s">
        <v>318</v>
      </c>
      <c r="C4" s="111" t="s">
        <v>319</v>
      </c>
      <c r="D4" s="111" t="s">
        <v>207</v>
      </c>
      <c r="E4" s="111"/>
      <c r="F4" s="111"/>
      <c r="G4" s="111"/>
      <c r="H4" s="111"/>
      <c r="I4" s="111"/>
      <c r="J4" s="112"/>
    </row>
    <row r="5" spans="1:11" ht="14.25" customHeight="1" thickBot="1">
      <c r="B5" s="420"/>
      <c r="C5" s="421"/>
      <c r="D5" s="422"/>
      <c r="E5" s="423"/>
      <c r="F5" s="423"/>
      <c r="G5" s="423"/>
      <c r="H5" s="423"/>
      <c r="I5" s="423"/>
      <c r="J5" s="424"/>
    </row>
    <row r="6" spans="1:11">
      <c r="B6" s="134"/>
      <c r="C6" s="135"/>
      <c r="D6" s="67"/>
      <c r="E6" s="67"/>
      <c r="F6" s="67"/>
      <c r="G6" s="35"/>
      <c r="H6" s="35"/>
      <c r="I6" s="35"/>
      <c r="J6" s="136"/>
    </row>
    <row r="7" spans="1:11" ht="17.25" customHeight="1">
      <c r="B7" s="116"/>
      <c r="C7" s="137" t="s">
        <v>208</v>
      </c>
      <c r="D7" s="425" t="s">
        <v>209</v>
      </c>
      <c r="E7" s="426"/>
      <c r="F7" s="426"/>
      <c r="G7" s="426"/>
      <c r="H7" s="426"/>
      <c r="I7" s="427"/>
      <c r="J7" s="138"/>
      <c r="K7" s="139"/>
    </row>
    <row r="8" spans="1:11" ht="15" customHeight="1">
      <c r="B8" s="140"/>
      <c r="C8" s="141" t="s">
        <v>210</v>
      </c>
      <c r="D8" s="142" t="s">
        <v>211</v>
      </c>
      <c r="E8" s="142" t="s">
        <v>212</v>
      </c>
      <c r="F8" s="143" t="s">
        <v>213</v>
      </c>
      <c r="G8" s="143" t="s">
        <v>214</v>
      </c>
      <c r="H8" s="143" t="s">
        <v>215</v>
      </c>
      <c r="I8" s="144" t="s">
        <v>216</v>
      </c>
      <c r="J8" s="145"/>
      <c r="K8" s="146"/>
    </row>
    <row r="9" spans="1:11" ht="12" customHeight="1">
      <c r="B9" s="147"/>
      <c r="C9" s="148" t="s">
        <v>217</v>
      </c>
      <c r="D9" s="149" t="s">
        <v>218</v>
      </c>
      <c r="E9" s="149" t="s">
        <v>219</v>
      </c>
      <c r="F9" s="150" t="s">
        <v>220</v>
      </c>
      <c r="G9" s="150" t="s">
        <v>221</v>
      </c>
      <c r="H9" s="150" t="s">
        <v>222</v>
      </c>
      <c r="I9" s="151" t="s">
        <v>223</v>
      </c>
      <c r="J9" s="152"/>
      <c r="K9" s="153"/>
    </row>
    <row r="10" spans="1:11" ht="12" customHeight="1">
      <c r="B10" s="147"/>
      <c r="C10" s="154" t="s">
        <v>224</v>
      </c>
      <c r="D10" s="155" t="s">
        <v>225</v>
      </c>
      <c r="E10" s="156">
        <v>66666</v>
      </c>
      <c r="F10" s="157" t="s">
        <v>226</v>
      </c>
      <c r="G10" s="157" t="s">
        <v>234</v>
      </c>
      <c r="H10" s="157" t="s">
        <v>226</v>
      </c>
      <c r="I10" s="158" t="s">
        <v>234</v>
      </c>
      <c r="J10" s="159"/>
      <c r="K10" s="160"/>
    </row>
    <row r="11" spans="1:11" ht="12" customHeight="1">
      <c r="B11" s="147"/>
      <c r="C11" s="154" t="s">
        <v>224</v>
      </c>
      <c r="D11" s="155" t="s">
        <v>228</v>
      </c>
      <c r="E11" s="156">
        <v>3500</v>
      </c>
      <c r="F11" s="157" t="s">
        <v>226</v>
      </c>
      <c r="G11" s="157" t="s">
        <v>234</v>
      </c>
      <c r="H11" s="157" t="s">
        <v>226</v>
      </c>
      <c r="I11" s="158" t="s">
        <v>234</v>
      </c>
      <c r="J11" s="159"/>
      <c r="K11" s="160"/>
    </row>
    <row r="12" spans="1:11" ht="12" customHeight="1">
      <c r="B12" s="147"/>
      <c r="C12" s="154" t="s">
        <v>229</v>
      </c>
      <c r="D12" s="155" t="s">
        <v>230</v>
      </c>
      <c r="E12" s="156">
        <v>12000</v>
      </c>
      <c r="F12" s="157" t="s">
        <v>226</v>
      </c>
      <c r="G12" s="157" t="s">
        <v>234</v>
      </c>
      <c r="H12" s="157" t="s">
        <v>226</v>
      </c>
      <c r="I12" s="158" t="s">
        <v>234</v>
      </c>
      <c r="J12" s="159"/>
      <c r="K12" s="160"/>
    </row>
    <row r="13" spans="1:11" ht="12" customHeight="1">
      <c r="B13" s="147"/>
      <c r="C13" s="154" t="s">
        <v>229</v>
      </c>
      <c r="D13" s="155" t="s">
        <v>231</v>
      </c>
      <c r="E13" s="156">
        <v>300</v>
      </c>
      <c r="F13" s="157" t="s">
        <v>226</v>
      </c>
      <c r="G13" s="157" t="s">
        <v>234</v>
      </c>
      <c r="H13" s="157" t="s">
        <v>226</v>
      </c>
      <c r="I13" s="158" t="s">
        <v>234</v>
      </c>
      <c r="J13" s="159"/>
      <c r="K13" s="160"/>
    </row>
    <row r="14" spans="1:11" ht="12" customHeight="1">
      <c r="B14" s="147"/>
      <c r="C14" s="154" t="s">
        <v>229</v>
      </c>
      <c r="D14" s="155" t="s">
        <v>228</v>
      </c>
      <c r="E14" s="156">
        <v>100</v>
      </c>
      <c r="F14" s="157" t="s">
        <v>226</v>
      </c>
      <c r="G14" s="157" t="s">
        <v>234</v>
      </c>
      <c r="H14" s="157" t="s">
        <v>226</v>
      </c>
      <c r="I14" s="158" t="s">
        <v>234</v>
      </c>
      <c r="J14" s="159"/>
      <c r="K14" s="160"/>
    </row>
    <row r="15" spans="1:11" ht="12" customHeight="1">
      <c r="B15" s="147"/>
      <c r="C15" s="154" t="s">
        <v>229</v>
      </c>
      <c r="D15" s="155" t="s">
        <v>232</v>
      </c>
      <c r="E15" s="156">
        <v>50</v>
      </c>
      <c r="F15" s="157" t="s">
        <v>226</v>
      </c>
      <c r="G15" s="157" t="s">
        <v>234</v>
      </c>
      <c r="H15" s="157" t="s">
        <v>226</v>
      </c>
      <c r="I15" s="158" t="s">
        <v>234</v>
      </c>
      <c r="J15" s="159"/>
      <c r="K15" s="160"/>
    </row>
    <row r="16" spans="1:11" ht="12" customHeight="1">
      <c r="B16" s="147"/>
      <c r="C16" s="154" t="s">
        <v>233</v>
      </c>
      <c r="D16" s="155" t="s">
        <v>232</v>
      </c>
      <c r="E16" s="156">
        <v>3000</v>
      </c>
      <c r="F16" s="157" t="s">
        <v>226</v>
      </c>
      <c r="G16" s="157" t="s">
        <v>234</v>
      </c>
      <c r="H16" s="157" t="s">
        <v>226</v>
      </c>
      <c r="I16" s="158" t="s">
        <v>234</v>
      </c>
      <c r="J16" s="159"/>
      <c r="K16" s="166"/>
    </row>
    <row r="17" spans="2:11" ht="12" customHeight="1">
      <c r="B17" s="147"/>
      <c r="C17" s="154" t="s">
        <v>235</v>
      </c>
      <c r="D17" s="155" t="s">
        <v>232</v>
      </c>
      <c r="E17" s="156">
        <v>200</v>
      </c>
      <c r="F17" s="157" t="s">
        <v>226</v>
      </c>
      <c r="G17" s="157" t="s">
        <v>234</v>
      </c>
      <c r="H17" s="157" t="s">
        <v>226</v>
      </c>
      <c r="I17" s="158" t="s">
        <v>234</v>
      </c>
      <c r="J17" s="159"/>
      <c r="K17" s="166"/>
    </row>
    <row r="18" spans="2:11" ht="12" customHeight="1">
      <c r="B18" s="147"/>
      <c r="C18" s="154" t="s">
        <v>236</v>
      </c>
      <c r="D18" s="155" t="s">
        <v>237</v>
      </c>
      <c r="E18" s="156">
        <v>999999999999999</v>
      </c>
      <c r="F18" s="157" t="s">
        <v>226</v>
      </c>
      <c r="G18" s="157" t="s">
        <v>234</v>
      </c>
      <c r="H18" s="157" t="s">
        <v>226</v>
      </c>
      <c r="I18" s="158" t="s">
        <v>234</v>
      </c>
      <c r="J18" s="159"/>
      <c r="K18" s="167"/>
    </row>
    <row r="19" spans="2:11" ht="12" customHeight="1">
      <c r="B19" s="147"/>
      <c r="C19" s="154" t="s">
        <v>236</v>
      </c>
      <c r="D19" s="155" t="s">
        <v>232</v>
      </c>
      <c r="E19" s="156">
        <v>200000</v>
      </c>
      <c r="F19" s="157" t="s">
        <v>226</v>
      </c>
      <c r="G19" s="157" t="s">
        <v>234</v>
      </c>
      <c r="H19" s="157" t="s">
        <v>226</v>
      </c>
      <c r="I19" s="158" t="s">
        <v>234</v>
      </c>
      <c r="J19" s="159"/>
      <c r="K19" s="167"/>
    </row>
    <row r="20" spans="2:11" ht="12" customHeight="1">
      <c r="B20" s="147"/>
      <c r="C20" s="154" t="s">
        <v>236</v>
      </c>
      <c r="D20" s="155" t="s">
        <v>238</v>
      </c>
      <c r="E20" s="156">
        <v>0</v>
      </c>
      <c r="F20" s="157" t="s">
        <v>226</v>
      </c>
      <c r="G20" s="157" t="s">
        <v>234</v>
      </c>
      <c r="H20" s="157" t="s">
        <v>226</v>
      </c>
      <c r="I20" s="158" t="s">
        <v>234</v>
      </c>
      <c r="J20" s="159"/>
      <c r="K20" s="167"/>
    </row>
    <row r="21" spans="2:11" ht="12" customHeight="1">
      <c r="B21" s="147"/>
      <c r="C21" s="168" t="s">
        <v>236</v>
      </c>
      <c r="D21" s="169" t="s">
        <v>239</v>
      </c>
      <c r="E21" s="170">
        <v>333333333</v>
      </c>
      <c r="F21" s="171" t="s">
        <v>226</v>
      </c>
      <c r="G21" s="171" t="s">
        <v>234</v>
      </c>
      <c r="H21" s="171" t="s">
        <v>226</v>
      </c>
      <c r="I21" s="172" t="s">
        <v>234</v>
      </c>
      <c r="J21" s="159"/>
      <c r="K21" s="167"/>
    </row>
    <row r="22" spans="2:11" ht="12" customHeight="1">
      <c r="B22" s="147"/>
      <c r="C22" s="257" t="s">
        <v>236</v>
      </c>
      <c r="D22" s="257" t="s">
        <v>240</v>
      </c>
      <c r="E22" s="258">
        <v>999999999999999</v>
      </c>
      <c r="F22" s="259"/>
      <c r="G22" s="259"/>
      <c r="H22" s="259"/>
      <c r="I22" s="259"/>
      <c r="J22" s="159"/>
      <c r="K22" s="167"/>
    </row>
    <row r="23" spans="2:11" ht="12" customHeight="1">
      <c r="B23" s="147"/>
      <c r="C23" s="257" t="s">
        <v>236</v>
      </c>
      <c r="D23" s="257" t="s">
        <v>241</v>
      </c>
      <c r="E23" s="260">
        <v>300</v>
      </c>
      <c r="F23" s="259"/>
      <c r="G23" s="259"/>
      <c r="H23" s="259"/>
      <c r="I23" s="259"/>
      <c r="J23" s="159"/>
      <c r="K23" s="167"/>
    </row>
    <row r="24" spans="2:11" ht="11.25" customHeight="1">
      <c r="B24" s="147"/>
      <c r="C24" s="257" t="s">
        <v>236</v>
      </c>
      <c r="D24" s="257" t="s">
        <v>242</v>
      </c>
      <c r="E24" s="260">
        <v>20</v>
      </c>
      <c r="F24" s="259"/>
      <c r="G24" s="259"/>
      <c r="H24" s="259"/>
      <c r="I24" s="259"/>
      <c r="J24" s="159"/>
      <c r="K24" s="177"/>
    </row>
    <row r="25" spans="2:11">
      <c r="B25" s="147"/>
      <c r="C25" s="257" t="s">
        <v>243</v>
      </c>
      <c r="D25" s="257" t="s">
        <v>244</v>
      </c>
      <c r="E25" s="260">
        <v>6000</v>
      </c>
      <c r="F25" s="259"/>
      <c r="G25" s="259"/>
      <c r="H25" s="259"/>
      <c r="I25" s="259"/>
      <c r="J25" s="159"/>
      <c r="K25" s="178"/>
    </row>
    <row r="26" spans="2:11">
      <c r="B26" s="116"/>
      <c r="C26" s="259"/>
      <c r="D26" s="259"/>
      <c r="E26" s="259"/>
      <c r="F26" s="259"/>
      <c r="G26" s="259"/>
      <c r="H26" s="259"/>
      <c r="I26" s="259"/>
      <c r="J26" s="159"/>
      <c r="K26" s="167"/>
    </row>
    <row r="27" spans="2:11">
      <c r="B27" s="116"/>
      <c r="C27" s="179"/>
      <c r="D27" s="179"/>
      <c r="E27" s="179"/>
      <c r="F27" s="179"/>
      <c r="G27" s="179"/>
      <c r="H27" s="179"/>
      <c r="I27" s="179"/>
      <c r="J27" s="159"/>
      <c r="K27" s="167"/>
    </row>
    <row r="28" spans="2:11">
      <c r="B28" s="116"/>
      <c r="C28" s="179"/>
      <c r="D28" s="179"/>
      <c r="E28" s="179"/>
      <c r="F28" s="179"/>
      <c r="G28" s="179"/>
      <c r="H28" s="179"/>
      <c r="I28" s="179"/>
      <c r="J28" s="159"/>
      <c r="K28" s="180"/>
    </row>
    <row r="29" spans="2:11">
      <c r="B29" s="116"/>
      <c r="C29" s="160"/>
      <c r="D29" s="160"/>
      <c r="E29" s="160"/>
      <c r="F29" s="160"/>
      <c r="G29" s="160"/>
      <c r="H29" s="160"/>
      <c r="I29" s="160"/>
      <c r="J29" s="181"/>
      <c r="K29" s="160"/>
    </row>
    <row r="30" spans="2:11" ht="17.25" customHeight="1">
      <c r="B30" s="116"/>
      <c r="C30" s="137" t="s">
        <v>245</v>
      </c>
      <c r="D30" s="425" t="s">
        <v>209</v>
      </c>
      <c r="E30" s="426"/>
      <c r="F30" s="426"/>
      <c r="G30" s="426"/>
      <c r="H30" s="426"/>
      <c r="I30" s="427"/>
      <c r="J30" s="138"/>
      <c r="K30" s="139"/>
    </row>
    <row r="31" spans="2:11" ht="15" customHeight="1">
      <c r="B31" s="140"/>
      <c r="C31" s="141" t="s">
        <v>210</v>
      </c>
      <c r="D31" s="142" t="s">
        <v>211</v>
      </c>
      <c r="E31" s="142" t="s">
        <v>212</v>
      </c>
      <c r="F31" s="143" t="s">
        <v>213</v>
      </c>
      <c r="G31" s="143" t="s">
        <v>214</v>
      </c>
      <c r="H31" s="143" t="s">
        <v>215</v>
      </c>
      <c r="I31" s="144" t="s">
        <v>216</v>
      </c>
      <c r="J31" s="145"/>
      <c r="K31" s="146"/>
    </row>
    <row r="32" spans="2:11" ht="12" customHeight="1">
      <c r="B32" s="147"/>
      <c r="C32" s="148" t="s">
        <v>217</v>
      </c>
      <c r="D32" s="149" t="s">
        <v>218</v>
      </c>
      <c r="E32" s="149" t="s">
        <v>219</v>
      </c>
      <c r="F32" s="150" t="s">
        <v>220</v>
      </c>
      <c r="G32" s="150" t="s">
        <v>221</v>
      </c>
      <c r="H32" s="150" t="s">
        <v>222</v>
      </c>
      <c r="I32" s="151" t="s">
        <v>223</v>
      </c>
      <c r="J32" s="152"/>
      <c r="K32" s="153"/>
    </row>
    <row r="33" spans="2:11" ht="12" customHeight="1">
      <c r="B33" s="147"/>
      <c r="C33" s="182"/>
      <c r="D33" s="183"/>
      <c r="E33" s="184"/>
      <c r="F33" s="185"/>
      <c r="G33" s="185"/>
      <c r="H33" s="185"/>
      <c r="I33" s="186"/>
      <c r="J33" s="159"/>
      <c r="K33" s="160"/>
    </row>
    <row r="34" spans="2:11" ht="12" customHeight="1">
      <c r="B34" s="147"/>
      <c r="C34" s="187"/>
      <c r="D34" s="188"/>
      <c r="E34" s="189"/>
      <c r="F34" s="190"/>
      <c r="G34" s="190"/>
      <c r="H34" s="190"/>
      <c r="I34" s="191"/>
      <c r="J34" s="159"/>
      <c r="K34" s="160"/>
    </row>
    <row r="35" spans="2:11" ht="12" customHeight="1">
      <c r="B35" s="147"/>
      <c r="C35" s="187"/>
      <c r="D35" s="188"/>
      <c r="E35" s="189"/>
      <c r="F35" s="190"/>
      <c r="G35" s="190"/>
      <c r="H35" s="190"/>
      <c r="I35" s="191"/>
      <c r="J35" s="159"/>
      <c r="K35" s="160"/>
    </row>
    <row r="36" spans="2:11" ht="12" customHeight="1">
      <c r="B36" s="147"/>
      <c r="C36" s="192"/>
      <c r="D36" s="193"/>
      <c r="E36" s="194"/>
      <c r="F36" s="195"/>
      <c r="G36" s="195"/>
      <c r="H36" s="195"/>
      <c r="I36" s="196"/>
      <c r="J36" s="159"/>
      <c r="K36" s="160"/>
    </row>
    <row r="37" spans="2:11" ht="12" customHeight="1">
      <c r="B37" s="147"/>
      <c r="C37" s="197" t="s">
        <v>229</v>
      </c>
      <c r="D37" s="198" t="s">
        <v>228</v>
      </c>
      <c r="E37" s="199">
        <v>100</v>
      </c>
      <c r="F37" s="200" t="s">
        <v>226</v>
      </c>
      <c r="G37" s="200" t="s">
        <v>234</v>
      </c>
      <c r="H37" s="200" t="s">
        <v>226</v>
      </c>
      <c r="I37" s="261" t="s">
        <v>234</v>
      </c>
      <c r="J37" s="159"/>
      <c r="K37" s="160"/>
    </row>
    <row r="38" spans="2:11" ht="12" customHeight="1">
      <c r="B38" s="147"/>
      <c r="C38" s="201" t="s">
        <v>229</v>
      </c>
      <c r="D38" s="202" t="s">
        <v>232</v>
      </c>
      <c r="E38" s="203">
        <v>50</v>
      </c>
      <c r="F38" s="204" t="s">
        <v>226</v>
      </c>
      <c r="G38" s="204" t="s">
        <v>234</v>
      </c>
      <c r="H38" s="204" t="s">
        <v>226</v>
      </c>
      <c r="I38" s="211" t="s">
        <v>234</v>
      </c>
      <c r="J38" s="159"/>
      <c r="K38" s="160"/>
    </row>
    <row r="39" spans="2:11" ht="12" customHeight="1">
      <c r="B39" s="147"/>
      <c r="C39" s="201" t="s">
        <v>233</v>
      </c>
      <c r="D39" s="202" t="s">
        <v>232</v>
      </c>
      <c r="E39" s="203">
        <v>3000</v>
      </c>
      <c r="F39" s="204" t="s">
        <v>226</v>
      </c>
      <c r="G39" s="204" t="s">
        <v>234</v>
      </c>
      <c r="H39" s="204" t="s">
        <v>248</v>
      </c>
      <c r="I39" s="211" t="s">
        <v>247</v>
      </c>
      <c r="J39" s="159"/>
      <c r="K39" s="166"/>
    </row>
    <row r="40" spans="2:11" ht="12" customHeight="1">
      <c r="B40" s="147"/>
      <c r="C40" s="201" t="s">
        <v>235</v>
      </c>
      <c r="D40" s="202" t="s">
        <v>232</v>
      </c>
      <c r="E40" s="203">
        <v>200</v>
      </c>
      <c r="F40" s="204" t="s">
        <v>226</v>
      </c>
      <c r="G40" s="204" t="s">
        <v>234</v>
      </c>
      <c r="H40" s="204" t="s">
        <v>248</v>
      </c>
      <c r="I40" s="211" t="s">
        <v>247</v>
      </c>
      <c r="J40" s="159"/>
      <c r="K40" s="166"/>
    </row>
    <row r="41" spans="2:11" ht="12" customHeight="1">
      <c r="B41" s="147"/>
      <c r="C41" s="201" t="s">
        <v>236</v>
      </c>
      <c r="D41" s="202" t="s">
        <v>237</v>
      </c>
      <c r="E41" s="203">
        <v>999999999999999</v>
      </c>
      <c r="F41" s="204" t="s">
        <v>226</v>
      </c>
      <c r="G41" s="204" t="s">
        <v>234</v>
      </c>
      <c r="H41" s="204" t="s">
        <v>248</v>
      </c>
      <c r="I41" s="211" t="s">
        <v>247</v>
      </c>
      <c r="J41" s="159"/>
      <c r="K41" s="167"/>
    </row>
    <row r="42" spans="2:11" ht="12" customHeight="1">
      <c r="B42" s="147"/>
      <c r="C42" s="201" t="s">
        <v>236</v>
      </c>
      <c r="D42" s="202" t="s">
        <v>232</v>
      </c>
      <c r="E42" s="203">
        <v>200000</v>
      </c>
      <c r="F42" s="204" t="s">
        <v>226</v>
      </c>
      <c r="G42" s="204" t="s">
        <v>234</v>
      </c>
      <c r="H42" s="204" t="s">
        <v>226</v>
      </c>
      <c r="I42" s="211" t="s">
        <v>234</v>
      </c>
      <c r="J42" s="159"/>
      <c r="K42" s="167"/>
    </row>
    <row r="43" spans="2:11" ht="12" customHeight="1">
      <c r="B43" s="147"/>
      <c r="C43" s="201" t="s">
        <v>236</v>
      </c>
      <c r="D43" s="202" t="s">
        <v>238</v>
      </c>
      <c r="E43" s="203">
        <v>0</v>
      </c>
      <c r="F43" s="204" t="s">
        <v>226</v>
      </c>
      <c r="G43" s="204" t="s">
        <v>234</v>
      </c>
      <c r="H43" s="204" t="s">
        <v>226</v>
      </c>
      <c r="I43" s="211" t="s">
        <v>234</v>
      </c>
      <c r="J43" s="159"/>
      <c r="K43" s="167"/>
    </row>
    <row r="44" spans="2:11" ht="12" customHeight="1">
      <c r="B44" s="147"/>
      <c r="C44" s="201" t="s">
        <v>236</v>
      </c>
      <c r="D44" s="202" t="s">
        <v>239</v>
      </c>
      <c r="E44" s="210">
        <v>333333333</v>
      </c>
      <c r="F44" s="204" t="s">
        <v>226</v>
      </c>
      <c r="G44" s="204" t="s">
        <v>234</v>
      </c>
      <c r="H44" s="204" t="s">
        <v>226</v>
      </c>
      <c r="I44" s="211" t="s">
        <v>234</v>
      </c>
      <c r="J44" s="159"/>
      <c r="K44" s="167"/>
    </row>
    <row r="45" spans="2:11" ht="12" customHeight="1">
      <c r="B45" s="147"/>
      <c r="C45" s="262" t="s">
        <v>236</v>
      </c>
      <c r="D45" s="263" t="s">
        <v>240</v>
      </c>
      <c r="E45" s="264">
        <v>999999999999999</v>
      </c>
      <c r="F45" s="208" t="s">
        <v>248</v>
      </c>
      <c r="G45" s="208" t="s">
        <v>247</v>
      </c>
      <c r="H45" s="208" t="s">
        <v>248</v>
      </c>
      <c r="I45" s="209" t="s">
        <v>247</v>
      </c>
      <c r="J45" s="159"/>
      <c r="K45" s="167"/>
    </row>
    <row r="46" spans="2:11" ht="12" customHeight="1">
      <c r="B46" s="147"/>
      <c r="C46" s="262" t="s">
        <v>236</v>
      </c>
      <c r="D46" s="263" t="s">
        <v>241</v>
      </c>
      <c r="E46" s="205">
        <v>300</v>
      </c>
      <c r="F46" s="208" t="s">
        <v>248</v>
      </c>
      <c r="G46" s="208" t="s">
        <v>247</v>
      </c>
      <c r="H46" s="208" t="s">
        <v>248</v>
      </c>
      <c r="I46" s="209" t="s">
        <v>247</v>
      </c>
      <c r="J46" s="159"/>
      <c r="K46" s="167"/>
    </row>
    <row r="47" spans="2:11" ht="11.25" customHeight="1">
      <c r="B47" s="147"/>
      <c r="C47" s="262" t="s">
        <v>236</v>
      </c>
      <c r="D47" s="263" t="s">
        <v>242</v>
      </c>
      <c r="E47" s="205">
        <v>20</v>
      </c>
      <c r="F47" s="208" t="s">
        <v>248</v>
      </c>
      <c r="G47" s="208" t="s">
        <v>247</v>
      </c>
      <c r="H47" s="208" t="s">
        <v>248</v>
      </c>
      <c r="I47" s="209" t="s">
        <v>247</v>
      </c>
      <c r="J47" s="159"/>
      <c r="K47" s="177"/>
    </row>
    <row r="48" spans="2:11">
      <c r="B48" s="147"/>
      <c r="C48" s="265" t="s">
        <v>243</v>
      </c>
      <c r="D48" s="266" t="s">
        <v>244</v>
      </c>
      <c r="E48" s="267">
        <v>6000</v>
      </c>
      <c r="F48" s="268" t="s">
        <v>248</v>
      </c>
      <c r="G48" s="268" t="s">
        <v>247</v>
      </c>
      <c r="H48" s="268" t="s">
        <v>248</v>
      </c>
      <c r="I48" s="269" t="s">
        <v>247</v>
      </c>
      <c r="J48" s="159"/>
      <c r="K48" s="178"/>
    </row>
    <row r="49" spans="2:10">
      <c r="B49" s="219"/>
      <c r="C49" s="135"/>
      <c r="D49" s="67"/>
      <c r="E49" s="67"/>
      <c r="F49" s="67"/>
      <c r="G49" s="35"/>
      <c r="H49" s="35"/>
      <c r="I49" s="35"/>
      <c r="J49" s="136"/>
    </row>
    <row r="50" spans="2:10">
      <c r="B50" s="219"/>
      <c r="C50" s="135"/>
      <c r="D50" s="67"/>
      <c r="E50" s="67"/>
      <c r="F50" s="67"/>
      <c r="G50" s="35"/>
      <c r="H50" s="35"/>
      <c r="I50" s="35"/>
      <c r="J50" s="136"/>
    </row>
    <row r="51" spans="2:10">
      <c r="B51" s="219"/>
      <c r="C51" s="135"/>
      <c r="D51" s="67"/>
      <c r="E51" s="67"/>
      <c r="F51" s="67"/>
      <c r="G51" s="35"/>
      <c r="H51" s="35"/>
      <c r="I51" s="35"/>
      <c r="J51" s="136"/>
    </row>
    <row r="52" spans="2:10">
      <c r="B52" s="219"/>
      <c r="C52" s="135"/>
      <c r="D52" s="67"/>
      <c r="E52" s="67"/>
      <c r="F52" s="67"/>
      <c r="G52" s="35"/>
      <c r="H52" s="35"/>
      <c r="I52" s="35"/>
      <c r="J52" s="136"/>
    </row>
    <row r="53" spans="2:10" ht="15.5" thickBot="1">
      <c r="B53" s="219"/>
      <c r="C53" s="135"/>
      <c r="D53" s="67"/>
      <c r="E53" s="67"/>
      <c r="F53" s="67"/>
      <c r="G53" s="35"/>
      <c r="H53" s="35"/>
      <c r="I53" s="35"/>
      <c r="J53" s="136"/>
    </row>
    <row r="54" spans="2:10" ht="14.25" customHeight="1">
      <c r="B54" s="419" t="s">
        <v>320</v>
      </c>
      <c r="C54" s="111" t="s">
        <v>250</v>
      </c>
      <c r="D54" s="111"/>
      <c r="E54" s="111"/>
      <c r="F54" s="111"/>
      <c r="G54" s="111"/>
      <c r="H54" s="111"/>
      <c r="I54" s="111"/>
      <c r="J54" s="112"/>
    </row>
    <row r="55" spans="2:10" ht="14.25" customHeight="1" thickBot="1">
      <c r="B55" s="420"/>
      <c r="C55" s="421"/>
      <c r="D55" s="422"/>
      <c r="E55" s="423"/>
      <c r="F55" s="423"/>
      <c r="G55" s="423"/>
      <c r="H55" s="423"/>
      <c r="I55" s="423"/>
      <c r="J55" s="424"/>
    </row>
    <row r="56" spans="2:10">
      <c r="B56" s="127" t="s">
        <v>251</v>
      </c>
      <c r="D56" s="67"/>
      <c r="E56" s="67"/>
      <c r="F56" s="67"/>
      <c r="G56" s="35"/>
      <c r="H56" s="35"/>
      <c r="I56" s="35"/>
      <c r="J56" s="136"/>
    </row>
    <row r="57" spans="2:10">
      <c r="B57" s="223"/>
      <c r="C57" s="118"/>
      <c r="D57" s="67"/>
      <c r="E57" s="67"/>
      <c r="F57" s="67"/>
      <c r="G57" s="35"/>
      <c r="H57" s="35"/>
      <c r="I57" s="35"/>
      <c r="J57" s="136"/>
    </row>
    <row r="58" spans="2:10">
      <c r="B58" s="116"/>
      <c r="D58" s="67"/>
      <c r="E58" s="67"/>
      <c r="F58" s="67"/>
      <c r="G58" s="35"/>
      <c r="H58" s="35"/>
      <c r="I58" s="35"/>
      <c r="J58" s="136"/>
    </row>
    <row r="59" spans="2:10">
      <c r="B59" s="116"/>
      <c r="D59" s="67"/>
      <c r="E59" s="67"/>
      <c r="F59" s="67"/>
      <c r="G59" s="35"/>
      <c r="H59" s="35"/>
      <c r="I59" s="35"/>
      <c r="J59" s="136"/>
    </row>
    <row r="60" spans="2:10">
      <c r="B60" s="116"/>
      <c r="D60" s="67"/>
      <c r="E60" s="67"/>
      <c r="F60" s="67"/>
      <c r="G60" s="35"/>
      <c r="H60" s="35"/>
      <c r="I60" s="35"/>
      <c r="J60" s="136"/>
    </row>
    <row r="61" spans="2:10">
      <c r="B61" s="116"/>
      <c r="D61" s="67"/>
      <c r="E61" s="67"/>
      <c r="F61" s="67"/>
      <c r="G61" s="35"/>
      <c r="H61" s="35"/>
      <c r="I61" s="35"/>
      <c r="J61" s="136"/>
    </row>
    <row r="62" spans="2:10">
      <c r="B62" s="116"/>
      <c r="D62" s="67"/>
      <c r="E62" s="67"/>
      <c r="F62" s="67"/>
      <c r="G62" s="35"/>
      <c r="H62" s="35"/>
      <c r="I62" s="35"/>
      <c r="J62" s="136"/>
    </row>
    <row r="63" spans="2:10">
      <c r="B63" s="116"/>
      <c r="C63" s="178"/>
      <c r="D63" s="67"/>
      <c r="E63" s="67"/>
      <c r="F63" s="67"/>
      <c r="G63" s="35"/>
      <c r="H63" s="178" t="s">
        <v>196</v>
      </c>
      <c r="I63" s="35"/>
      <c r="J63" s="136"/>
    </row>
    <row r="64" spans="2:10" ht="15.5" thickBot="1">
      <c r="B64" s="116"/>
      <c r="D64" s="67"/>
      <c r="E64" s="67"/>
      <c r="F64" s="67"/>
      <c r="G64" s="35"/>
      <c r="H64" s="35"/>
      <c r="I64" s="35"/>
      <c r="J64" s="136"/>
    </row>
    <row r="65" spans="2:10" ht="14.25" customHeight="1">
      <c r="B65" s="419" t="s">
        <v>321</v>
      </c>
      <c r="C65" s="111" t="s">
        <v>322</v>
      </c>
      <c r="D65" s="111"/>
      <c r="E65" s="111"/>
      <c r="F65" s="111"/>
      <c r="G65" s="111"/>
      <c r="H65" s="111"/>
      <c r="I65" s="111"/>
      <c r="J65" s="112"/>
    </row>
    <row r="66" spans="2:10" ht="14.25" customHeight="1" thickBot="1">
      <c r="B66" s="420"/>
      <c r="C66" s="421"/>
      <c r="D66" s="422"/>
      <c r="E66" s="423"/>
      <c r="F66" s="423"/>
      <c r="G66" s="423"/>
      <c r="H66" s="423"/>
      <c r="I66" s="423"/>
      <c r="J66" s="424"/>
    </row>
    <row r="67" spans="2:10">
      <c r="B67" s="127" t="s">
        <v>254</v>
      </c>
      <c r="D67" s="67"/>
      <c r="E67" s="67"/>
      <c r="F67" s="67"/>
      <c r="G67" s="35"/>
      <c r="H67" s="35"/>
      <c r="I67" s="35"/>
      <c r="J67" s="136"/>
    </row>
    <row r="68" spans="2:10">
      <c r="B68" s="223"/>
      <c r="C68" s="118"/>
      <c r="D68" s="67"/>
      <c r="E68" s="67"/>
      <c r="F68" s="67"/>
      <c r="G68" s="35"/>
      <c r="H68" s="35"/>
      <c r="I68" s="35"/>
      <c r="J68" s="136"/>
    </row>
    <row r="69" spans="2:10">
      <c r="B69" s="116"/>
      <c r="D69" s="67"/>
      <c r="E69" s="67"/>
      <c r="F69" s="67"/>
      <c r="G69" s="35"/>
      <c r="H69" s="35"/>
      <c r="I69" s="35"/>
      <c r="J69" s="136"/>
    </row>
    <row r="70" spans="2:10">
      <c r="B70" s="116"/>
      <c r="D70" s="67"/>
      <c r="E70" s="67"/>
      <c r="F70" s="67"/>
      <c r="G70" s="35"/>
      <c r="H70" s="35"/>
      <c r="I70" s="35"/>
      <c r="J70" s="136"/>
    </row>
    <row r="71" spans="2:10">
      <c r="B71" s="116"/>
      <c r="D71" s="67"/>
      <c r="E71" s="67"/>
      <c r="F71" s="67"/>
      <c r="G71" s="35"/>
      <c r="H71" s="35"/>
      <c r="I71" s="35"/>
      <c r="J71" s="136"/>
    </row>
    <row r="72" spans="2:10">
      <c r="B72" s="116"/>
      <c r="D72" s="67"/>
      <c r="E72" s="67"/>
      <c r="F72" s="67"/>
      <c r="G72" s="35"/>
      <c r="H72" s="35"/>
      <c r="I72" s="35"/>
      <c r="J72" s="136"/>
    </row>
    <row r="73" spans="2:10">
      <c r="B73" s="116"/>
      <c r="D73" s="67"/>
      <c r="E73" s="67"/>
      <c r="F73" s="67"/>
      <c r="G73" s="35"/>
      <c r="H73" s="35"/>
      <c r="I73" s="35"/>
      <c r="J73" s="136"/>
    </row>
    <row r="74" spans="2:10">
      <c r="B74" s="116"/>
      <c r="C74" s="178"/>
      <c r="D74" s="67"/>
      <c r="E74" s="67"/>
      <c r="F74" s="67"/>
      <c r="G74" s="35"/>
      <c r="H74" s="178" t="s">
        <v>196</v>
      </c>
      <c r="I74" s="35"/>
      <c r="J74" s="136"/>
    </row>
    <row r="75" spans="2:10" ht="15.5" thickBot="1">
      <c r="B75" s="123"/>
      <c r="C75" s="124"/>
      <c r="D75" s="125"/>
      <c r="E75" s="125"/>
      <c r="F75" s="125"/>
      <c r="G75" s="124"/>
      <c r="H75" s="124"/>
      <c r="I75" s="124"/>
      <c r="J75" s="222"/>
    </row>
    <row r="76" spans="2:10" ht="14.25" customHeight="1">
      <c r="B76" s="419" t="s">
        <v>323</v>
      </c>
      <c r="C76" s="111" t="s">
        <v>324</v>
      </c>
      <c r="D76" s="111"/>
      <c r="E76" s="111"/>
      <c r="F76" s="111"/>
      <c r="G76" s="111"/>
      <c r="H76" s="111"/>
      <c r="I76" s="111"/>
      <c r="J76" s="112"/>
    </row>
    <row r="77" spans="2:10" ht="14.25" customHeight="1" thickBot="1">
      <c r="B77" s="420"/>
      <c r="C77" s="421"/>
      <c r="D77" s="422"/>
      <c r="E77" s="423"/>
      <c r="F77" s="423"/>
      <c r="G77" s="423"/>
      <c r="H77" s="423"/>
      <c r="I77" s="423"/>
      <c r="J77" s="424"/>
    </row>
    <row r="78" spans="2:10">
      <c r="B78" s="116"/>
      <c r="D78" s="67"/>
      <c r="E78" s="67"/>
      <c r="F78" s="67"/>
      <c r="G78" s="67"/>
      <c r="H78" s="67"/>
      <c r="I78" s="67"/>
      <c r="J78" s="58"/>
    </row>
    <row r="79" spans="2:10">
      <c r="B79" s="223"/>
      <c r="C79" s="118"/>
      <c r="D79" s="67"/>
      <c r="E79" s="67"/>
      <c r="F79" s="67"/>
      <c r="G79" s="67"/>
      <c r="H79" s="67"/>
      <c r="I79" s="67"/>
      <c r="J79" s="58"/>
    </row>
    <row r="80" spans="2:10">
      <c r="B80" s="116"/>
      <c r="D80" s="67"/>
      <c r="E80" s="67"/>
      <c r="F80" s="67"/>
      <c r="G80" s="67"/>
      <c r="H80" s="67"/>
      <c r="I80" s="67"/>
      <c r="J80" s="58"/>
    </row>
    <row r="81" spans="2:10">
      <c r="B81" s="116"/>
      <c r="D81" s="67"/>
      <c r="E81" s="67"/>
      <c r="F81" s="67"/>
      <c r="G81" s="67"/>
      <c r="H81" s="67"/>
      <c r="I81" s="67"/>
      <c r="J81" s="58"/>
    </row>
    <row r="82" spans="2:10">
      <c r="B82" s="116"/>
      <c r="D82" s="67"/>
      <c r="E82" s="67"/>
      <c r="F82" s="67"/>
      <c r="G82" s="67"/>
      <c r="H82" s="67"/>
      <c r="I82" s="67"/>
      <c r="J82" s="58"/>
    </row>
    <row r="83" spans="2:10">
      <c r="B83" s="116"/>
      <c r="D83" s="67"/>
      <c r="E83" s="67"/>
      <c r="F83" s="67"/>
      <c r="G83" s="67"/>
      <c r="H83" s="67"/>
      <c r="I83" s="67"/>
      <c r="J83" s="58"/>
    </row>
    <row r="84" spans="2:10">
      <c r="B84" s="116"/>
      <c r="C84" s="178"/>
      <c r="D84" s="67"/>
      <c r="E84" s="67"/>
      <c r="F84" s="67"/>
      <c r="G84" s="67"/>
      <c r="H84" s="178" t="s">
        <v>199</v>
      </c>
      <c r="I84" s="67"/>
      <c r="J84" s="58"/>
    </row>
    <row r="85" spans="2:10" ht="15.5" thickBot="1">
      <c r="B85" s="123"/>
      <c r="C85" s="124"/>
      <c r="D85" s="125"/>
      <c r="E85" s="125"/>
      <c r="F85" s="125"/>
      <c r="G85" s="125"/>
      <c r="H85" s="125"/>
      <c r="I85" s="125"/>
      <c r="J85" s="126"/>
    </row>
    <row r="86" spans="2:10" ht="14.25" customHeight="1">
      <c r="B86" s="419" t="s">
        <v>325</v>
      </c>
      <c r="C86" s="111" t="s">
        <v>326</v>
      </c>
      <c r="D86" s="111"/>
      <c r="E86" s="111"/>
      <c r="F86" s="111"/>
      <c r="G86" s="111"/>
      <c r="H86" s="111"/>
      <c r="I86" s="111"/>
      <c r="J86" s="112"/>
    </row>
    <row r="87" spans="2:10" ht="14.25" customHeight="1" thickBot="1">
      <c r="B87" s="420"/>
      <c r="C87" s="421"/>
      <c r="D87" s="422"/>
      <c r="E87" s="423"/>
      <c r="F87" s="423"/>
      <c r="G87" s="423"/>
      <c r="H87" s="423"/>
      <c r="I87" s="423"/>
      <c r="J87" s="424"/>
    </row>
    <row r="88" spans="2:10">
      <c r="B88" s="116"/>
      <c r="D88" s="67"/>
      <c r="E88" s="67"/>
      <c r="F88" s="67"/>
      <c r="G88" s="67"/>
      <c r="H88" s="67"/>
      <c r="I88" s="67"/>
      <c r="J88" s="58"/>
    </row>
    <row r="89" spans="2:10">
      <c r="B89" s="223"/>
      <c r="C89" s="118"/>
      <c r="D89" s="67"/>
      <c r="E89" s="67"/>
      <c r="F89" s="67"/>
      <c r="G89" s="67"/>
      <c r="H89" s="67"/>
      <c r="I89" s="67"/>
      <c r="J89" s="58"/>
    </row>
    <row r="90" spans="2:10">
      <c r="B90" s="116"/>
      <c r="D90" s="67"/>
      <c r="E90" s="67"/>
      <c r="F90" s="67"/>
      <c r="G90" s="67"/>
      <c r="H90" s="67"/>
      <c r="I90" s="67"/>
      <c r="J90" s="58"/>
    </row>
    <row r="91" spans="2:10">
      <c r="B91" s="116"/>
      <c r="D91" s="67"/>
      <c r="E91" s="67"/>
      <c r="F91" s="67"/>
      <c r="G91" s="67"/>
      <c r="H91" s="67"/>
      <c r="I91" s="67"/>
      <c r="J91" s="58"/>
    </row>
    <row r="92" spans="2:10">
      <c r="B92" s="116"/>
      <c r="D92" s="67"/>
      <c r="E92" s="67"/>
      <c r="F92" s="67"/>
      <c r="G92" s="67"/>
      <c r="H92" s="67"/>
      <c r="I92" s="67"/>
      <c r="J92" s="58"/>
    </row>
    <row r="93" spans="2:10">
      <c r="B93" s="116"/>
      <c r="D93" s="67"/>
      <c r="E93" s="67"/>
      <c r="F93" s="67"/>
      <c r="G93" s="67"/>
      <c r="H93" s="67"/>
      <c r="I93" s="67"/>
      <c r="J93" s="58"/>
    </row>
    <row r="94" spans="2:10">
      <c r="B94" s="116"/>
      <c r="D94" s="67"/>
      <c r="E94" s="67"/>
      <c r="F94" s="67"/>
      <c r="G94" s="67"/>
      <c r="H94" s="67"/>
      <c r="I94" s="67"/>
      <c r="J94" s="58"/>
    </row>
    <row r="95" spans="2:10">
      <c r="B95" s="116"/>
      <c r="C95" s="178"/>
      <c r="D95" s="67"/>
      <c r="E95" s="67"/>
      <c r="F95" s="67"/>
      <c r="G95" s="67"/>
      <c r="H95" s="178" t="s">
        <v>199</v>
      </c>
      <c r="I95" s="67"/>
      <c r="J95" s="58"/>
    </row>
    <row r="96" spans="2:10" ht="15.5" thickBot="1">
      <c r="B96" s="131"/>
      <c r="C96" s="132"/>
      <c r="D96" s="81"/>
      <c r="E96" s="81"/>
      <c r="F96" s="81"/>
      <c r="G96" s="81"/>
      <c r="H96" s="81"/>
      <c r="I96" s="81"/>
      <c r="J96" s="82"/>
    </row>
  </sheetData>
  <mergeCells count="18">
    <mergeCell ref="B76:B77"/>
    <mergeCell ref="C77:D77"/>
    <mergeCell ref="E77:J77"/>
    <mergeCell ref="B86:B87"/>
    <mergeCell ref="C87:D87"/>
    <mergeCell ref="E87:J87"/>
    <mergeCell ref="B54:B55"/>
    <mergeCell ref="C55:D55"/>
    <mergeCell ref="E55:J55"/>
    <mergeCell ref="B65:B66"/>
    <mergeCell ref="C66:D66"/>
    <mergeCell ref="E66:J66"/>
    <mergeCell ref="D30:I30"/>
    <mergeCell ref="B2:J2"/>
    <mergeCell ref="B4:B5"/>
    <mergeCell ref="C5:D5"/>
    <mergeCell ref="E5:J5"/>
    <mergeCell ref="D7:I7"/>
  </mergeCells>
  <phoneticPr fontId="27" type="noConversion"/>
  <hyperlinks>
    <hyperlink ref="A1" location="【TCS】!A1" display="戻る" xr:uid="{536B1BC2-B9CC-44EF-AF95-8AC0D3753A09}"/>
  </hyperlinks>
  <pageMargins left="0.75" right="0.75" top="1" bottom="1" header="0.51200000000000001" footer="0.51200000000000001"/>
  <pageSetup paperSize="9" orientation="portrait" verticalDpi="0"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1B128-674A-420E-83CB-B751012DF99B}">
  <dimension ref="A1:L91"/>
  <sheetViews>
    <sheetView showGridLines="0" workbookViewId="0">
      <pane ySplit="3" topLeftCell="A4" activePane="bottomLeft" state="frozen"/>
      <selection pane="bottomLeft"/>
    </sheetView>
  </sheetViews>
  <sheetFormatPr defaultRowHeight="15"/>
  <cols>
    <col min="1" max="1" width="3.26953125" style="35" customWidth="1"/>
    <col min="2" max="2" width="5.08984375" style="35" customWidth="1"/>
    <col min="3" max="3" width="10" style="35" customWidth="1"/>
    <col min="4" max="4" width="12.36328125" style="37" customWidth="1"/>
    <col min="5" max="5" width="14.90625" style="37" customWidth="1"/>
    <col min="6" max="6" width="16.36328125" style="37" bestFit="1" customWidth="1"/>
    <col min="7" max="7" width="7" style="37" bestFit="1" customWidth="1"/>
    <col min="8" max="8" width="16.36328125" style="37" bestFit="1" customWidth="1"/>
    <col min="9" max="9" width="7" style="37" bestFit="1" customWidth="1"/>
    <col min="10" max="10" width="16.08984375" style="37" customWidth="1"/>
    <col min="11" max="11" width="7" style="37" bestFit="1" customWidth="1"/>
    <col min="12" max="256" width="9" style="35"/>
    <col min="257" max="257" width="3.26953125" style="35" customWidth="1"/>
    <col min="258" max="258" width="5.08984375" style="35" customWidth="1"/>
    <col min="259" max="259" width="10" style="35" customWidth="1"/>
    <col min="260" max="260" width="12.36328125" style="35" customWidth="1"/>
    <col min="261" max="261" width="14.90625" style="35" customWidth="1"/>
    <col min="262" max="262" width="16.36328125" style="35" bestFit="1" customWidth="1"/>
    <col min="263" max="263" width="7" style="35" bestFit="1" customWidth="1"/>
    <col min="264" max="264" width="16.36328125" style="35" bestFit="1" customWidth="1"/>
    <col min="265" max="265" width="7" style="35" bestFit="1" customWidth="1"/>
    <col min="266" max="266" width="16.08984375" style="35" customWidth="1"/>
    <col min="267" max="267" width="7" style="35" bestFit="1" customWidth="1"/>
    <col min="268" max="512" width="9" style="35"/>
    <col min="513" max="513" width="3.26953125" style="35" customWidth="1"/>
    <col min="514" max="514" width="5.08984375" style="35" customWidth="1"/>
    <col min="515" max="515" width="10" style="35" customWidth="1"/>
    <col min="516" max="516" width="12.36328125" style="35" customWidth="1"/>
    <col min="517" max="517" width="14.90625" style="35" customWidth="1"/>
    <col min="518" max="518" width="16.36328125" style="35" bestFit="1" customWidth="1"/>
    <col min="519" max="519" width="7" style="35" bestFit="1" customWidth="1"/>
    <col min="520" max="520" width="16.36328125" style="35" bestFit="1" customWidth="1"/>
    <col min="521" max="521" width="7" style="35" bestFit="1" customWidth="1"/>
    <col min="522" max="522" width="16.08984375" style="35" customWidth="1"/>
    <col min="523" max="523" width="7" style="35" bestFit="1" customWidth="1"/>
    <col min="524" max="768" width="9" style="35"/>
    <col min="769" max="769" width="3.26953125" style="35" customWidth="1"/>
    <col min="770" max="770" width="5.08984375" style="35" customWidth="1"/>
    <col min="771" max="771" width="10" style="35" customWidth="1"/>
    <col min="772" max="772" width="12.36328125" style="35" customWidth="1"/>
    <col min="773" max="773" width="14.90625" style="35" customWidth="1"/>
    <col min="774" max="774" width="16.36328125" style="35" bestFit="1" customWidth="1"/>
    <col min="775" max="775" width="7" style="35" bestFit="1" customWidth="1"/>
    <col min="776" max="776" width="16.36328125" style="35" bestFit="1" customWidth="1"/>
    <col min="777" max="777" width="7" style="35" bestFit="1" customWidth="1"/>
    <col min="778" max="778" width="16.08984375" style="35" customWidth="1"/>
    <col min="779" max="779" width="7" style="35" bestFit="1" customWidth="1"/>
    <col min="780" max="1024" width="9" style="35"/>
    <col min="1025" max="1025" width="3.26953125" style="35" customWidth="1"/>
    <col min="1026" max="1026" width="5.08984375" style="35" customWidth="1"/>
    <col min="1027" max="1027" width="10" style="35" customWidth="1"/>
    <col min="1028" max="1028" width="12.36328125" style="35" customWidth="1"/>
    <col min="1029" max="1029" width="14.90625" style="35" customWidth="1"/>
    <col min="1030" max="1030" width="16.36328125" style="35" bestFit="1" customWidth="1"/>
    <col min="1031" max="1031" width="7" style="35" bestFit="1" customWidth="1"/>
    <col min="1032" max="1032" width="16.36328125" style="35" bestFit="1" customWidth="1"/>
    <col min="1033" max="1033" width="7" style="35" bestFit="1" customWidth="1"/>
    <col min="1034" max="1034" width="16.08984375" style="35" customWidth="1"/>
    <col min="1035" max="1035" width="7" style="35" bestFit="1" customWidth="1"/>
    <col min="1036" max="1280" width="9" style="35"/>
    <col min="1281" max="1281" width="3.26953125" style="35" customWidth="1"/>
    <col min="1282" max="1282" width="5.08984375" style="35" customWidth="1"/>
    <col min="1283" max="1283" width="10" style="35" customWidth="1"/>
    <col min="1284" max="1284" width="12.36328125" style="35" customWidth="1"/>
    <col min="1285" max="1285" width="14.90625" style="35" customWidth="1"/>
    <col min="1286" max="1286" width="16.36328125" style="35" bestFit="1" customWidth="1"/>
    <col min="1287" max="1287" width="7" style="35" bestFit="1" customWidth="1"/>
    <col min="1288" max="1288" width="16.36328125" style="35" bestFit="1" customWidth="1"/>
    <col min="1289" max="1289" width="7" style="35" bestFit="1" customWidth="1"/>
    <col min="1290" max="1290" width="16.08984375" style="35" customWidth="1"/>
    <col min="1291" max="1291" width="7" style="35" bestFit="1" customWidth="1"/>
    <col min="1292" max="1536" width="9" style="35"/>
    <col min="1537" max="1537" width="3.26953125" style="35" customWidth="1"/>
    <col min="1538" max="1538" width="5.08984375" style="35" customWidth="1"/>
    <col min="1539" max="1539" width="10" style="35" customWidth="1"/>
    <col min="1540" max="1540" width="12.36328125" style="35" customWidth="1"/>
    <col min="1541" max="1541" width="14.90625" style="35" customWidth="1"/>
    <col min="1542" max="1542" width="16.36328125" style="35" bestFit="1" customWidth="1"/>
    <col min="1543" max="1543" width="7" style="35" bestFit="1" customWidth="1"/>
    <col min="1544" max="1544" width="16.36328125" style="35" bestFit="1" customWidth="1"/>
    <col min="1545" max="1545" width="7" style="35" bestFit="1" customWidth="1"/>
    <col min="1546" max="1546" width="16.08984375" style="35" customWidth="1"/>
    <col min="1547" max="1547" width="7" style="35" bestFit="1" customWidth="1"/>
    <col min="1548" max="1792" width="9" style="35"/>
    <col min="1793" max="1793" width="3.26953125" style="35" customWidth="1"/>
    <col min="1794" max="1794" width="5.08984375" style="35" customWidth="1"/>
    <col min="1795" max="1795" width="10" style="35" customWidth="1"/>
    <col min="1796" max="1796" width="12.36328125" style="35" customWidth="1"/>
    <col min="1797" max="1797" width="14.90625" style="35" customWidth="1"/>
    <col min="1798" max="1798" width="16.36328125" style="35" bestFit="1" customWidth="1"/>
    <col min="1799" max="1799" width="7" style="35" bestFit="1" customWidth="1"/>
    <col min="1800" max="1800" width="16.36328125" style="35" bestFit="1" customWidth="1"/>
    <col min="1801" max="1801" width="7" style="35" bestFit="1" customWidth="1"/>
    <col min="1802" max="1802" width="16.08984375" style="35" customWidth="1"/>
    <col min="1803" max="1803" width="7" style="35" bestFit="1" customWidth="1"/>
    <col min="1804" max="2048" width="9" style="35"/>
    <col min="2049" max="2049" width="3.26953125" style="35" customWidth="1"/>
    <col min="2050" max="2050" width="5.08984375" style="35" customWidth="1"/>
    <col min="2051" max="2051" width="10" style="35" customWidth="1"/>
    <col min="2052" max="2052" width="12.36328125" style="35" customWidth="1"/>
    <col min="2053" max="2053" width="14.90625" style="35" customWidth="1"/>
    <col min="2054" max="2054" width="16.36328125" style="35" bestFit="1" customWidth="1"/>
    <col min="2055" max="2055" width="7" style="35" bestFit="1" customWidth="1"/>
    <col min="2056" max="2056" width="16.36328125" style="35" bestFit="1" customWidth="1"/>
    <col min="2057" max="2057" width="7" style="35" bestFit="1" customWidth="1"/>
    <col min="2058" max="2058" width="16.08984375" style="35" customWidth="1"/>
    <col min="2059" max="2059" width="7" style="35" bestFit="1" customWidth="1"/>
    <col min="2060" max="2304" width="9" style="35"/>
    <col min="2305" max="2305" width="3.26953125" style="35" customWidth="1"/>
    <col min="2306" max="2306" width="5.08984375" style="35" customWidth="1"/>
    <col min="2307" max="2307" width="10" style="35" customWidth="1"/>
    <col min="2308" max="2308" width="12.36328125" style="35" customWidth="1"/>
    <col min="2309" max="2309" width="14.90625" style="35" customWidth="1"/>
    <col min="2310" max="2310" width="16.36328125" style="35" bestFit="1" customWidth="1"/>
    <col min="2311" max="2311" width="7" style="35" bestFit="1" customWidth="1"/>
    <col min="2312" max="2312" width="16.36328125" style="35" bestFit="1" customWidth="1"/>
    <col min="2313" max="2313" width="7" style="35" bestFit="1" customWidth="1"/>
    <col min="2314" max="2314" width="16.08984375" style="35" customWidth="1"/>
    <col min="2315" max="2315" width="7" style="35" bestFit="1" customWidth="1"/>
    <col min="2316" max="2560" width="9" style="35"/>
    <col min="2561" max="2561" width="3.26953125" style="35" customWidth="1"/>
    <col min="2562" max="2562" width="5.08984375" style="35" customWidth="1"/>
    <col min="2563" max="2563" width="10" style="35" customWidth="1"/>
    <col min="2564" max="2564" width="12.36328125" style="35" customWidth="1"/>
    <col min="2565" max="2565" width="14.90625" style="35" customWidth="1"/>
    <col min="2566" max="2566" width="16.36328125" style="35" bestFit="1" customWidth="1"/>
    <col min="2567" max="2567" width="7" style="35" bestFit="1" customWidth="1"/>
    <col min="2568" max="2568" width="16.36328125" style="35" bestFit="1" customWidth="1"/>
    <col min="2569" max="2569" width="7" style="35" bestFit="1" customWidth="1"/>
    <col min="2570" max="2570" width="16.08984375" style="35" customWidth="1"/>
    <col min="2571" max="2571" width="7" style="35" bestFit="1" customWidth="1"/>
    <col min="2572" max="2816" width="9" style="35"/>
    <col min="2817" max="2817" width="3.26953125" style="35" customWidth="1"/>
    <col min="2818" max="2818" width="5.08984375" style="35" customWidth="1"/>
    <col min="2819" max="2819" width="10" style="35" customWidth="1"/>
    <col min="2820" max="2820" width="12.36328125" style="35" customWidth="1"/>
    <col min="2821" max="2821" width="14.90625" style="35" customWidth="1"/>
    <col min="2822" max="2822" width="16.36328125" style="35" bestFit="1" customWidth="1"/>
    <col min="2823" max="2823" width="7" style="35" bestFit="1" customWidth="1"/>
    <col min="2824" max="2824" width="16.36328125" style="35" bestFit="1" customWidth="1"/>
    <col min="2825" max="2825" width="7" style="35" bestFit="1" customWidth="1"/>
    <col min="2826" max="2826" width="16.08984375" style="35" customWidth="1"/>
    <col min="2827" max="2827" width="7" style="35" bestFit="1" customWidth="1"/>
    <col min="2828" max="3072" width="9" style="35"/>
    <col min="3073" max="3073" width="3.26953125" style="35" customWidth="1"/>
    <col min="3074" max="3074" width="5.08984375" style="35" customWidth="1"/>
    <col min="3075" max="3075" width="10" style="35" customWidth="1"/>
    <col min="3076" max="3076" width="12.36328125" style="35" customWidth="1"/>
    <col min="3077" max="3077" width="14.90625" style="35" customWidth="1"/>
    <col min="3078" max="3078" width="16.36328125" style="35" bestFit="1" customWidth="1"/>
    <col min="3079" max="3079" width="7" style="35" bestFit="1" customWidth="1"/>
    <col min="3080" max="3080" width="16.36328125" style="35" bestFit="1" customWidth="1"/>
    <col min="3081" max="3081" width="7" style="35" bestFit="1" customWidth="1"/>
    <col min="3082" max="3082" width="16.08984375" style="35" customWidth="1"/>
    <col min="3083" max="3083" width="7" style="35" bestFit="1" customWidth="1"/>
    <col min="3084" max="3328" width="9" style="35"/>
    <col min="3329" max="3329" width="3.26953125" style="35" customWidth="1"/>
    <col min="3330" max="3330" width="5.08984375" style="35" customWidth="1"/>
    <col min="3331" max="3331" width="10" style="35" customWidth="1"/>
    <col min="3332" max="3332" width="12.36328125" style="35" customWidth="1"/>
    <col min="3333" max="3333" width="14.90625" style="35" customWidth="1"/>
    <col min="3334" max="3334" width="16.36328125" style="35" bestFit="1" customWidth="1"/>
    <col min="3335" max="3335" width="7" style="35" bestFit="1" customWidth="1"/>
    <col min="3336" max="3336" width="16.36328125" style="35" bestFit="1" customWidth="1"/>
    <col min="3337" max="3337" width="7" style="35" bestFit="1" customWidth="1"/>
    <col min="3338" max="3338" width="16.08984375" style="35" customWidth="1"/>
    <col min="3339" max="3339" width="7" style="35" bestFit="1" customWidth="1"/>
    <col min="3340" max="3584" width="9" style="35"/>
    <col min="3585" max="3585" width="3.26953125" style="35" customWidth="1"/>
    <col min="3586" max="3586" width="5.08984375" style="35" customWidth="1"/>
    <col min="3587" max="3587" width="10" style="35" customWidth="1"/>
    <col min="3588" max="3588" width="12.36328125" style="35" customWidth="1"/>
    <col min="3589" max="3589" width="14.90625" style="35" customWidth="1"/>
    <col min="3590" max="3590" width="16.36328125" style="35" bestFit="1" customWidth="1"/>
    <col min="3591" max="3591" width="7" style="35" bestFit="1" customWidth="1"/>
    <col min="3592" max="3592" width="16.36328125" style="35" bestFit="1" customWidth="1"/>
    <col min="3593" max="3593" width="7" style="35" bestFit="1" customWidth="1"/>
    <col min="3594" max="3594" width="16.08984375" style="35" customWidth="1"/>
    <col min="3595" max="3595" width="7" style="35" bestFit="1" customWidth="1"/>
    <col min="3596" max="3840" width="9" style="35"/>
    <col min="3841" max="3841" width="3.26953125" style="35" customWidth="1"/>
    <col min="3842" max="3842" width="5.08984375" style="35" customWidth="1"/>
    <col min="3843" max="3843" width="10" style="35" customWidth="1"/>
    <col min="3844" max="3844" width="12.36328125" style="35" customWidth="1"/>
    <col min="3845" max="3845" width="14.90625" style="35" customWidth="1"/>
    <col min="3846" max="3846" width="16.36328125" style="35" bestFit="1" customWidth="1"/>
    <col min="3847" max="3847" width="7" style="35" bestFit="1" customWidth="1"/>
    <col min="3848" max="3848" width="16.36328125" style="35" bestFit="1" customWidth="1"/>
    <col min="3849" max="3849" width="7" style="35" bestFit="1" customWidth="1"/>
    <col min="3850" max="3850" width="16.08984375" style="35" customWidth="1"/>
    <col min="3851" max="3851" width="7" style="35" bestFit="1" customWidth="1"/>
    <col min="3852" max="4096" width="9" style="35"/>
    <col min="4097" max="4097" width="3.26953125" style="35" customWidth="1"/>
    <col min="4098" max="4098" width="5.08984375" style="35" customWidth="1"/>
    <col min="4099" max="4099" width="10" style="35" customWidth="1"/>
    <col min="4100" max="4100" width="12.36328125" style="35" customWidth="1"/>
    <col min="4101" max="4101" width="14.90625" style="35" customWidth="1"/>
    <col min="4102" max="4102" width="16.36328125" style="35" bestFit="1" customWidth="1"/>
    <col min="4103" max="4103" width="7" style="35" bestFit="1" customWidth="1"/>
    <col min="4104" max="4104" width="16.36328125" style="35" bestFit="1" customWidth="1"/>
    <col min="4105" max="4105" width="7" style="35" bestFit="1" customWidth="1"/>
    <col min="4106" max="4106" width="16.08984375" style="35" customWidth="1"/>
    <col min="4107" max="4107" width="7" style="35" bestFit="1" customWidth="1"/>
    <col min="4108" max="4352" width="9" style="35"/>
    <col min="4353" max="4353" width="3.26953125" style="35" customWidth="1"/>
    <col min="4354" max="4354" width="5.08984375" style="35" customWidth="1"/>
    <col min="4355" max="4355" width="10" style="35" customWidth="1"/>
    <col min="4356" max="4356" width="12.36328125" style="35" customWidth="1"/>
    <col min="4357" max="4357" width="14.90625" style="35" customWidth="1"/>
    <col min="4358" max="4358" width="16.36328125" style="35" bestFit="1" customWidth="1"/>
    <col min="4359" max="4359" width="7" style="35" bestFit="1" customWidth="1"/>
    <col min="4360" max="4360" width="16.36328125" style="35" bestFit="1" customWidth="1"/>
    <col min="4361" max="4361" width="7" style="35" bestFit="1" customWidth="1"/>
    <col min="4362" max="4362" width="16.08984375" style="35" customWidth="1"/>
    <col min="4363" max="4363" width="7" style="35" bestFit="1" customWidth="1"/>
    <col min="4364" max="4608" width="9" style="35"/>
    <col min="4609" max="4609" width="3.26953125" style="35" customWidth="1"/>
    <col min="4610" max="4610" width="5.08984375" style="35" customWidth="1"/>
    <col min="4611" max="4611" width="10" style="35" customWidth="1"/>
    <col min="4612" max="4612" width="12.36328125" style="35" customWidth="1"/>
    <col min="4613" max="4613" width="14.90625" style="35" customWidth="1"/>
    <col min="4614" max="4614" width="16.36328125" style="35" bestFit="1" customWidth="1"/>
    <col min="4615" max="4615" width="7" style="35" bestFit="1" customWidth="1"/>
    <col min="4616" max="4616" width="16.36328125" style="35" bestFit="1" customWidth="1"/>
    <col min="4617" max="4617" width="7" style="35" bestFit="1" customWidth="1"/>
    <col min="4618" max="4618" width="16.08984375" style="35" customWidth="1"/>
    <col min="4619" max="4619" width="7" style="35" bestFit="1" customWidth="1"/>
    <col min="4620" max="4864" width="9" style="35"/>
    <col min="4865" max="4865" width="3.26953125" style="35" customWidth="1"/>
    <col min="4866" max="4866" width="5.08984375" style="35" customWidth="1"/>
    <col min="4867" max="4867" width="10" style="35" customWidth="1"/>
    <col min="4868" max="4868" width="12.36328125" style="35" customWidth="1"/>
    <col min="4869" max="4869" width="14.90625" style="35" customWidth="1"/>
    <col min="4870" max="4870" width="16.36328125" style="35" bestFit="1" customWidth="1"/>
    <col min="4871" max="4871" width="7" style="35" bestFit="1" customWidth="1"/>
    <col min="4872" max="4872" width="16.36328125" style="35" bestFit="1" customWidth="1"/>
    <col min="4873" max="4873" width="7" style="35" bestFit="1" customWidth="1"/>
    <col min="4874" max="4874" width="16.08984375" style="35" customWidth="1"/>
    <col min="4875" max="4875" width="7" style="35" bestFit="1" customWidth="1"/>
    <col min="4876" max="5120" width="9" style="35"/>
    <col min="5121" max="5121" width="3.26953125" style="35" customWidth="1"/>
    <col min="5122" max="5122" width="5.08984375" style="35" customWidth="1"/>
    <col min="5123" max="5123" width="10" style="35" customWidth="1"/>
    <col min="5124" max="5124" width="12.36328125" style="35" customWidth="1"/>
    <col min="5125" max="5125" width="14.90625" style="35" customWidth="1"/>
    <col min="5126" max="5126" width="16.36328125" style="35" bestFit="1" customWidth="1"/>
    <col min="5127" max="5127" width="7" style="35" bestFit="1" customWidth="1"/>
    <col min="5128" max="5128" width="16.36328125" style="35" bestFit="1" customWidth="1"/>
    <col min="5129" max="5129" width="7" style="35" bestFit="1" customWidth="1"/>
    <col min="5130" max="5130" width="16.08984375" style="35" customWidth="1"/>
    <col min="5131" max="5131" width="7" style="35" bestFit="1" customWidth="1"/>
    <col min="5132" max="5376" width="9" style="35"/>
    <col min="5377" max="5377" width="3.26953125" style="35" customWidth="1"/>
    <col min="5378" max="5378" width="5.08984375" style="35" customWidth="1"/>
    <col min="5379" max="5379" width="10" style="35" customWidth="1"/>
    <col min="5380" max="5380" width="12.36328125" style="35" customWidth="1"/>
    <col min="5381" max="5381" width="14.90625" style="35" customWidth="1"/>
    <col min="5382" max="5382" width="16.36328125" style="35" bestFit="1" customWidth="1"/>
    <col min="5383" max="5383" width="7" style="35" bestFit="1" customWidth="1"/>
    <col min="5384" max="5384" width="16.36328125" style="35" bestFit="1" customWidth="1"/>
    <col min="5385" max="5385" width="7" style="35" bestFit="1" customWidth="1"/>
    <col min="5386" max="5386" width="16.08984375" style="35" customWidth="1"/>
    <col min="5387" max="5387" width="7" style="35" bestFit="1" customWidth="1"/>
    <col min="5388" max="5632" width="9" style="35"/>
    <col min="5633" max="5633" width="3.26953125" style="35" customWidth="1"/>
    <col min="5634" max="5634" width="5.08984375" style="35" customWidth="1"/>
    <col min="5635" max="5635" width="10" style="35" customWidth="1"/>
    <col min="5636" max="5636" width="12.36328125" style="35" customWidth="1"/>
    <col min="5637" max="5637" width="14.90625" style="35" customWidth="1"/>
    <col min="5638" max="5638" width="16.36328125" style="35" bestFit="1" customWidth="1"/>
    <col min="5639" max="5639" width="7" style="35" bestFit="1" customWidth="1"/>
    <col min="5640" max="5640" width="16.36328125" style="35" bestFit="1" customWidth="1"/>
    <col min="5641" max="5641" width="7" style="35" bestFit="1" customWidth="1"/>
    <col min="5642" max="5642" width="16.08984375" style="35" customWidth="1"/>
    <col min="5643" max="5643" width="7" style="35" bestFit="1" customWidth="1"/>
    <col min="5644" max="5888" width="9" style="35"/>
    <col min="5889" max="5889" width="3.26953125" style="35" customWidth="1"/>
    <col min="5890" max="5890" width="5.08984375" style="35" customWidth="1"/>
    <col min="5891" max="5891" width="10" style="35" customWidth="1"/>
    <col min="5892" max="5892" width="12.36328125" style="35" customWidth="1"/>
    <col min="5893" max="5893" width="14.90625" style="35" customWidth="1"/>
    <col min="5894" max="5894" width="16.36328125" style="35" bestFit="1" customWidth="1"/>
    <col min="5895" max="5895" width="7" style="35" bestFit="1" customWidth="1"/>
    <col min="5896" max="5896" width="16.36328125" style="35" bestFit="1" customWidth="1"/>
    <col min="5897" max="5897" width="7" style="35" bestFit="1" customWidth="1"/>
    <col min="5898" max="5898" width="16.08984375" style="35" customWidth="1"/>
    <col min="5899" max="5899" width="7" style="35" bestFit="1" customWidth="1"/>
    <col min="5900" max="6144" width="9" style="35"/>
    <col min="6145" max="6145" width="3.26953125" style="35" customWidth="1"/>
    <col min="6146" max="6146" width="5.08984375" style="35" customWidth="1"/>
    <col min="6147" max="6147" width="10" style="35" customWidth="1"/>
    <col min="6148" max="6148" width="12.36328125" style="35" customWidth="1"/>
    <col min="6149" max="6149" width="14.90625" style="35" customWidth="1"/>
    <col min="6150" max="6150" width="16.36328125" style="35" bestFit="1" customWidth="1"/>
    <col min="6151" max="6151" width="7" style="35" bestFit="1" customWidth="1"/>
    <col min="6152" max="6152" width="16.36328125" style="35" bestFit="1" customWidth="1"/>
    <col min="6153" max="6153" width="7" style="35" bestFit="1" customWidth="1"/>
    <col min="6154" max="6154" width="16.08984375" style="35" customWidth="1"/>
    <col min="6155" max="6155" width="7" style="35" bestFit="1" customWidth="1"/>
    <col min="6156" max="6400" width="9" style="35"/>
    <col min="6401" max="6401" width="3.26953125" style="35" customWidth="1"/>
    <col min="6402" max="6402" width="5.08984375" style="35" customWidth="1"/>
    <col min="6403" max="6403" width="10" style="35" customWidth="1"/>
    <col min="6404" max="6404" width="12.36328125" style="35" customWidth="1"/>
    <col min="6405" max="6405" width="14.90625" style="35" customWidth="1"/>
    <col min="6406" max="6406" width="16.36328125" style="35" bestFit="1" customWidth="1"/>
    <col min="6407" max="6407" width="7" style="35" bestFit="1" customWidth="1"/>
    <col min="6408" max="6408" width="16.36328125" style="35" bestFit="1" customWidth="1"/>
    <col min="6409" max="6409" width="7" style="35" bestFit="1" customWidth="1"/>
    <col min="6410" max="6410" width="16.08984375" style="35" customWidth="1"/>
    <col min="6411" max="6411" width="7" style="35" bestFit="1" customWidth="1"/>
    <col min="6412" max="6656" width="9" style="35"/>
    <col min="6657" max="6657" width="3.26953125" style="35" customWidth="1"/>
    <col min="6658" max="6658" width="5.08984375" style="35" customWidth="1"/>
    <col min="6659" max="6659" width="10" style="35" customWidth="1"/>
    <col min="6660" max="6660" width="12.36328125" style="35" customWidth="1"/>
    <col min="6661" max="6661" width="14.90625" style="35" customWidth="1"/>
    <col min="6662" max="6662" width="16.36328125" style="35" bestFit="1" customWidth="1"/>
    <col min="6663" max="6663" width="7" style="35" bestFit="1" customWidth="1"/>
    <col min="6664" max="6664" width="16.36328125" style="35" bestFit="1" customWidth="1"/>
    <col min="6665" max="6665" width="7" style="35" bestFit="1" customWidth="1"/>
    <col min="6666" max="6666" width="16.08984375" style="35" customWidth="1"/>
    <col min="6667" max="6667" width="7" style="35" bestFit="1" customWidth="1"/>
    <col min="6668" max="6912" width="9" style="35"/>
    <col min="6913" max="6913" width="3.26953125" style="35" customWidth="1"/>
    <col min="6914" max="6914" width="5.08984375" style="35" customWidth="1"/>
    <col min="6915" max="6915" width="10" style="35" customWidth="1"/>
    <col min="6916" max="6916" width="12.36328125" style="35" customWidth="1"/>
    <col min="6917" max="6917" width="14.90625" style="35" customWidth="1"/>
    <col min="6918" max="6918" width="16.36328125" style="35" bestFit="1" customWidth="1"/>
    <col min="6919" max="6919" width="7" style="35" bestFit="1" customWidth="1"/>
    <col min="6920" max="6920" width="16.36328125" style="35" bestFit="1" customWidth="1"/>
    <col min="6921" max="6921" width="7" style="35" bestFit="1" customWidth="1"/>
    <col min="6922" max="6922" width="16.08984375" style="35" customWidth="1"/>
    <col min="6923" max="6923" width="7" style="35" bestFit="1" customWidth="1"/>
    <col min="6924" max="7168" width="9" style="35"/>
    <col min="7169" max="7169" width="3.26953125" style="35" customWidth="1"/>
    <col min="7170" max="7170" width="5.08984375" style="35" customWidth="1"/>
    <col min="7171" max="7171" width="10" style="35" customWidth="1"/>
    <col min="7172" max="7172" width="12.36328125" style="35" customWidth="1"/>
    <col min="7173" max="7173" width="14.90625" style="35" customWidth="1"/>
    <col min="7174" max="7174" width="16.36328125" style="35" bestFit="1" customWidth="1"/>
    <col min="7175" max="7175" width="7" style="35" bestFit="1" customWidth="1"/>
    <col min="7176" max="7176" width="16.36328125" style="35" bestFit="1" customWidth="1"/>
    <col min="7177" max="7177" width="7" style="35" bestFit="1" customWidth="1"/>
    <col min="7178" max="7178" width="16.08984375" style="35" customWidth="1"/>
    <col min="7179" max="7179" width="7" style="35" bestFit="1" customWidth="1"/>
    <col min="7180" max="7424" width="9" style="35"/>
    <col min="7425" max="7425" width="3.26953125" style="35" customWidth="1"/>
    <col min="7426" max="7426" width="5.08984375" style="35" customWidth="1"/>
    <col min="7427" max="7427" width="10" style="35" customWidth="1"/>
    <col min="7428" max="7428" width="12.36328125" style="35" customWidth="1"/>
    <col min="7429" max="7429" width="14.90625" style="35" customWidth="1"/>
    <col min="7430" max="7430" width="16.36328125" style="35" bestFit="1" customWidth="1"/>
    <col min="7431" max="7431" width="7" style="35" bestFit="1" customWidth="1"/>
    <col min="7432" max="7432" width="16.36328125" style="35" bestFit="1" customWidth="1"/>
    <col min="7433" max="7433" width="7" style="35" bestFit="1" customWidth="1"/>
    <col min="7434" max="7434" width="16.08984375" style="35" customWidth="1"/>
    <col min="7435" max="7435" width="7" style="35" bestFit="1" customWidth="1"/>
    <col min="7436" max="7680" width="9" style="35"/>
    <col min="7681" max="7681" width="3.26953125" style="35" customWidth="1"/>
    <col min="7682" max="7682" width="5.08984375" style="35" customWidth="1"/>
    <col min="7683" max="7683" width="10" style="35" customWidth="1"/>
    <col min="7684" max="7684" width="12.36328125" style="35" customWidth="1"/>
    <col min="7685" max="7685" width="14.90625" style="35" customWidth="1"/>
    <col min="7686" max="7686" width="16.36328125" style="35" bestFit="1" customWidth="1"/>
    <col min="7687" max="7687" width="7" style="35" bestFit="1" customWidth="1"/>
    <col min="7688" max="7688" width="16.36328125" style="35" bestFit="1" customWidth="1"/>
    <col min="7689" max="7689" width="7" style="35" bestFit="1" customWidth="1"/>
    <col min="7690" max="7690" width="16.08984375" style="35" customWidth="1"/>
    <col min="7691" max="7691" width="7" style="35" bestFit="1" customWidth="1"/>
    <col min="7692" max="7936" width="9" style="35"/>
    <col min="7937" max="7937" width="3.26953125" style="35" customWidth="1"/>
    <col min="7938" max="7938" width="5.08984375" style="35" customWidth="1"/>
    <col min="7939" max="7939" width="10" style="35" customWidth="1"/>
    <col min="7940" max="7940" width="12.36328125" style="35" customWidth="1"/>
    <col min="7941" max="7941" width="14.90625" style="35" customWidth="1"/>
    <col min="7942" max="7942" width="16.36328125" style="35" bestFit="1" customWidth="1"/>
    <col min="7943" max="7943" width="7" style="35" bestFit="1" customWidth="1"/>
    <col min="7944" max="7944" width="16.36328125" style="35" bestFit="1" customWidth="1"/>
    <col min="7945" max="7945" width="7" style="35" bestFit="1" customWidth="1"/>
    <col min="7946" max="7946" width="16.08984375" style="35" customWidth="1"/>
    <col min="7947" max="7947" width="7" style="35" bestFit="1" customWidth="1"/>
    <col min="7948" max="8192" width="9" style="35"/>
    <col min="8193" max="8193" width="3.26953125" style="35" customWidth="1"/>
    <col min="8194" max="8194" width="5.08984375" style="35" customWidth="1"/>
    <col min="8195" max="8195" width="10" style="35" customWidth="1"/>
    <col min="8196" max="8196" width="12.36328125" style="35" customWidth="1"/>
    <col min="8197" max="8197" width="14.90625" style="35" customWidth="1"/>
    <col min="8198" max="8198" width="16.36328125" style="35" bestFit="1" customWidth="1"/>
    <col min="8199" max="8199" width="7" style="35" bestFit="1" customWidth="1"/>
    <col min="8200" max="8200" width="16.36328125" style="35" bestFit="1" customWidth="1"/>
    <col min="8201" max="8201" width="7" style="35" bestFit="1" customWidth="1"/>
    <col min="8202" max="8202" width="16.08984375" style="35" customWidth="1"/>
    <col min="8203" max="8203" width="7" style="35" bestFit="1" customWidth="1"/>
    <col min="8204" max="8448" width="9" style="35"/>
    <col min="8449" max="8449" width="3.26953125" style="35" customWidth="1"/>
    <col min="8450" max="8450" width="5.08984375" style="35" customWidth="1"/>
    <col min="8451" max="8451" width="10" style="35" customWidth="1"/>
    <col min="8452" max="8452" width="12.36328125" style="35" customWidth="1"/>
    <col min="8453" max="8453" width="14.90625" style="35" customWidth="1"/>
    <col min="8454" max="8454" width="16.36328125" style="35" bestFit="1" customWidth="1"/>
    <col min="8455" max="8455" width="7" style="35" bestFit="1" customWidth="1"/>
    <col min="8456" max="8456" width="16.36328125" style="35" bestFit="1" customWidth="1"/>
    <col min="8457" max="8457" width="7" style="35" bestFit="1" customWidth="1"/>
    <col min="8458" max="8458" width="16.08984375" style="35" customWidth="1"/>
    <col min="8459" max="8459" width="7" style="35" bestFit="1" customWidth="1"/>
    <col min="8460" max="8704" width="9" style="35"/>
    <col min="8705" max="8705" width="3.26953125" style="35" customWidth="1"/>
    <col min="8706" max="8706" width="5.08984375" style="35" customWidth="1"/>
    <col min="8707" max="8707" width="10" style="35" customWidth="1"/>
    <col min="8708" max="8708" width="12.36328125" style="35" customWidth="1"/>
    <col min="8709" max="8709" width="14.90625" style="35" customWidth="1"/>
    <col min="8710" max="8710" width="16.36328125" style="35" bestFit="1" customWidth="1"/>
    <col min="8711" max="8711" width="7" style="35" bestFit="1" customWidth="1"/>
    <col min="8712" max="8712" width="16.36328125" style="35" bestFit="1" customWidth="1"/>
    <col min="8713" max="8713" width="7" style="35" bestFit="1" customWidth="1"/>
    <col min="8714" max="8714" width="16.08984375" style="35" customWidth="1"/>
    <col min="8715" max="8715" width="7" style="35" bestFit="1" customWidth="1"/>
    <col min="8716" max="8960" width="9" style="35"/>
    <col min="8961" max="8961" width="3.26953125" style="35" customWidth="1"/>
    <col min="8962" max="8962" width="5.08984375" style="35" customWidth="1"/>
    <col min="8963" max="8963" width="10" style="35" customWidth="1"/>
    <col min="8964" max="8964" width="12.36328125" style="35" customWidth="1"/>
    <col min="8965" max="8965" width="14.90625" style="35" customWidth="1"/>
    <col min="8966" max="8966" width="16.36328125" style="35" bestFit="1" customWidth="1"/>
    <col min="8967" max="8967" width="7" style="35" bestFit="1" customWidth="1"/>
    <col min="8968" max="8968" width="16.36328125" style="35" bestFit="1" customWidth="1"/>
    <col min="8969" max="8969" width="7" style="35" bestFit="1" customWidth="1"/>
    <col min="8970" max="8970" width="16.08984375" style="35" customWidth="1"/>
    <col min="8971" max="8971" width="7" style="35" bestFit="1" customWidth="1"/>
    <col min="8972" max="9216" width="9" style="35"/>
    <col min="9217" max="9217" width="3.26953125" style="35" customWidth="1"/>
    <col min="9218" max="9218" width="5.08984375" style="35" customWidth="1"/>
    <col min="9219" max="9219" width="10" style="35" customWidth="1"/>
    <col min="9220" max="9220" width="12.36328125" style="35" customWidth="1"/>
    <col min="9221" max="9221" width="14.90625" style="35" customWidth="1"/>
    <col min="9222" max="9222" width="16.36328125" style="35" bestFit="1" customWidth="1"/>
    <col min="9223" max="9223" width="7" style="35" bestFit="1" customWidth="1"/>
    <col min="9224" max="9224" width="16.36328125" style="35" bestFit="1" customWidth="1"/>
    <col min="9225" max="9225" width="7" style="35" bestFit="1" customWidth="1"/>
    <col min="9226" max="9226" width="16.08984375" style="35" customWidth="1"/>
    <col min="9227" max="9227" width="7" style="35" bestFit="1" customWidth="1"/>
    <col min="9228" max="9472" width="9" style="35"/>
    <col min="9473" max="9473" width="3.26953125" style="35" customWidth="1"/>
    <col min="9474" max="9474" width="5.08984375" style="35" customWidth="1"/>
    <col min="9475" max="9475" width="10" style="35" customWidth="1"/>
    <col min="9476" max="9476" width="12.36328125" style="35" customWidth="1"/>
    <col min="9477" max="9477" width="14.90625" style="35" customWidth="1"/>
    <col min="9478" max="9478" width="16.36328125" style="35" bestFit="1" customWidth="1"/>
    <col min="9479" max="9479" width="7" style="35" bestFit="1" customWidth="1"/>
    <col min="9480" max="9480" width="16.36328125" style="35" bestFit="1" customWidth="1"/>
    <col min="9481" max="9481" width="7" style="35" bestFit="1" customWidth="1"/>
    <col min="9482" max="9482" width="16.08984375" style="35" customWidth="1"/>
    <col min="9483" max="9483" width="7" style="35" bestFit="1" customWidth="1"/>
    <col min="9484" max="9728" width="9" style="35"/>
    <col min="9729" max="9729" width="3.26953125" style="35" customWidth="1"/>
    <col min="9730" max="9730" width="5.08984375" style="35" customWidth="1"/>
    <col min="9731" max="9731" width="10" style="35" customWidth="1"/>
    <col min="9732" max="9732" width="12.36328125" style="35" customWidth="1"/>
    <col min="9733" max="9733" width="14.90625" style="35" customWidth="1"/>
    <col min="9734" max="9734" width="16.36328125" style="35" bestFit="1" customWidth="1"/>
    <col min="9735" max="9735" width="7" style="35" bestFit="1" customWidth="1"/>
    <col min="9736" max="9736" width="16.36328125" style="35" bestFit="1" customWidth="1"/>
    <col min="9737" max="9737" width="7" style="35" bestFit="1" customWidth="1"/>
    <col min="9738" max="9738" width="16.08984375" style="35" customWidth="1"/>
    <col min="9739" max="9739" width="7" style="35" bestFit="1" customWidth="1"/>
    <col min="9740" max="9984" width="9" style="35"/>
    <col min="9985" max="9985" width="3.26953125" style="35" customWidth="1"/>
    <col min="9986" max="9986" width="5.08984375" style="35" customWidth="1"/>
    <col min="9987" max="9987" width="10" style="35" customWidth="1"/>
    <col min="9988" max="9988" width="12.36328125" style="35" customWidth="1"/>
    <col min="9989" max="9989" width="14.90625" style="35" customWidth="1"/>
    <col min="9990" max="9990" width="16.36328125" style="35" bestFit="1" customWidth="1"/>
    <col min="9991" max="9991" width="7" style="35" bestFit="1" customWidth="1"/>
    <col min="9992" max="9992" width="16.36328125" style="35" bestFit="1" customWidth="1"/>
    <col min="9993" max="9993" width="7" style="35" bestFit="1" customWidth="1"/>
    <col min="9994" max="9994" width="16.08984375" style="35" customWidth="1"/>
    <col min="9995" max="9995" width="7" style="35" bestFit="1" customWidth="1"/>
    <col min="9996" max="10240" width="9" style="35"/>
    <col min="10241" max="10241" width="3.26953125" style="35" customWidth="1"/>
    <col min="10242" max="10242" width="5.08984375" style="35" customWidth="1"/>
    <col min="10243" max="10243" width="10" style="35" customWidth="1"/>
    <col min="10244" max="10244" width="12.36328125" style="35" customWidth="1"/>
    <col min="10245" max="10245" width="14.90625" style="35" customWidth="1"/>
    <col min="10246" max="10246" width="16.36328125" style="35" bestFit="1" customWidth="1"/>
    <col min="10247" max="10247" width="7" style="35" bestFit="1" customWidth="1"/>
    <col min="10248" max="10248" width="16.36328125" style="35" bestFit="1" customWidth="1"/>
    <col min="10249" max="10249" width="7" style="35" bestFit="1" customWidth="1"/>
    <col min="10250" max="10250" width="16.08984375" style="35" customWidth="1"/>
    <col min="10251" max="10251" width="7" style="35" bestFit="1" customWidth="1"/>
    <col min="10252" max="10496" width="9" style="35"/>
    <col min="10497" max="10497" width="3.26953125" style="35" customWidth="1"/>
    <col min="10498" max="10498" width="5.08984375" style="35" customWidth="1"/>
    <col min="10499" max="10499" width="10" style="35" customWidth="1"/>
    <col min="10500" max="10500" width="12.36328125" style="35" customWidth="1"/>
    <col min="10501" max="10501" width="14.90625" style="35" customWidth="1"/>
    <col min="10502" max="10502" width="16.36328125" style="35" bestFit="1" customWidth="1"/>
    <col min="10503" max="10503" width="7" style="35" bestFit="1" customWidth="1"/>
    <col min="10504" max="10504" width="16.36328125" style="35" bestFit="1" customWidth="1"/>
    <col min="10505" max="10505" width="7" style="35" bestFit="1" customWidth="1"/>
    <col min="10506" max="10506" width="16.08984375" style="35" customWidth="1"/>
    <col min="10507" max="10507" width="7" style="35" bestFit="1" customWidth="1"/>
    <col min="10508" max="10752" width="9" style="35"/>
    <col min="10753" max="10753" width="3.26953125" style="35" customWidth="1"/>
    <col min="10754" max="10754" width="5.08984375" style="35" customWidth="1"/>
    <col min="10755" max="10755" width="10" style="35" customWidth="1"/>
    <col min="10756" max="10756" width="12.36328125" style="35" customWidth="1"/>
    <col min="10757" max="10757" width="14.90625" style="35" customWidth="1"/>
    <col min="10758" max="10758" width="16.36328125" style="35" bestFit="1" customWidth="1"/>
    <col min="10759" max="10759" width="7" style="35" bestFit="1" customWidth="1"/>
    <col min="10760" max="10760" width="16.36328125" style="35" bestFit="1" customWidth="1"/>
    <col min="10761" max="10761" width="7" style="35" bestFit="1" customWidth="1"/>
    <col min="10762" max="10762" width="16.08984375" style="35" customWidth="1"/>
    <col min="10763" max="10763" width="7" style="35" bestFit="1" customWidth="1"/>
    <col min="10764" max="11008" width="9" style="35"/>
    <col min="11009" max="11009" width="3.26953125" style="35" customWidth="1"/>
    <col min="11010" max="11010" width="5.08984375" style="35" customWidth="1"/>
    <col min="11011" max="11011" width="10" style="35" customWidth="1"/>
    <col min="11012" max="11012" width="12.36328125" style="35" customWidth="1"/>
    <col min="11013" max="11013" width="14.90625" style="35" customWidth="1"/>
    <col min="11014" max="11014" width="16.36328125" style="35" bestFit="1" customWidth="1"/>
    <col min="11015" max="11015" width="7" style="35" bestFit="1" customWidth="1"/>
    <col min="11016" max="11016" width="16.36328125" style="35" bestFit="1" customWidth="1"/>
    <col min="11017" max="11017" width="7" style="35" bestFit="1" customWidth="1"/>
    <col min="11018" max="11018" width="16.08984375" style="35" customWidth="1"/>
    <col min="11019" max="11019" width="7" style="35" bestFit="1" customWidth="1"/>
    <col min="11020" max="11264" width="9" style="35"/>
    <col min="11265" max="11265" width="3.26953125" style="35" customWidth="1"/>
    <col min="11266" max="11266" width="5.08984375" style="35" customWidth="1"/>
    <col min="11267" max="11267" width="10" style="35" customWidth="1"/>
    <col min="11268" max="11268" width="12.36328125" style="35" customWidth="1"/>
    <col min="11269" max="11269" width="14.90625" style="35" customWidth="1"/>
    <col min="11270" max="11270" width="16.36328125" style="35" bestFit="1" customWidth="1"/>
    <col min="11271" max="11271" width="7" style="35" bestFit="1" customWidth="1"/>
    <col min="11272" max="11272" width="16.36328125" style="35" bestFit="1" customWidth="1"/>
    <col min="11273" max="11273" width="7" style="35" bestFit="1" customWidth="1"/>
    <col min="11274" max="11274" width="16.08984375" style="35" customWidth="1"/>
    <col min="11275" max="11275" width="7" style="35" bestFit="1" customWidth="1"/>
    <col min="11276" max="11520" width="9" style="35"/>
    <col min="11521" max="11521" width="3.26953125" style="35" customWidth="1"/>
    <col min="11522" max="11522" width="5.08984375" style="35" customWidth="1"/>
    <col min="11523" max="11523" width="10" style="35" customWidth="1"/>
    <col min="11524" max="11524" width="12.36328125" style="35" customWidth="1"/>
    <col min="11525" max="11525" width="14.90625" style="35" customWidth="1"/>
    <col min="11526" max="11526" width="16.36328125" style="35" bestFit="1" customWidth="1"/>
    <col min="11527" max="11527" width="7" style="35" bestFit="1" customWidth="1"/>
    <col min="11528" max="11528" width="16.36328125" style="35" bestFit="1" customWidth="1"/>
    <col min="11529" max="11529" width="7" style="35" bestFit="1" customWidth="1"/>
    <col min="11530" max="11530" width="16.08984375" style="35" customWidth="1"/>
    <col min="11531" max="11531" width="7" style="35" bestFit="1" customWidth="1"/>
    <col min="11532" max="11776" width="9" style="35"/>
    <col min="11777" max="11777" width="3.26953125" style="35" customWidth="1"/>
    <col min="11778" max="11778" width="5.08984375" style="35" customWidth="1"/>
    <col min="11779" max="11779" width="10" style="35" customWidth="1"/>
    <col min="11780" max="11780" width="12.36328125" style="35" customWidth="1"/>
    <col min="11781" max="11781" width="14.90625" style="35" customWidth="1"/>
    <col min="11782" max="11782" width="16.36328125" style="35" bestFit="1" customWidth="1"/>
    <col min="11783" max="11783" width="7" style="35" bestFit="1" customWidth="1"/>
    <col min="11784" max="11784" width="16.36328125" style="35" bestFit="1" customWidth="1"/>
    <col min="11785" max="11785" width="7" style="35" bestFit="1" customWidth="1"/>
    <col min="11786" max="11786" width="16.08984375" style="35" customWidth="1"/>
    <col min="11787" max="11787" width="7" style="35" bestFit="1" customWidth="1"/>
    <col min="11788" max="12032" width="9" style="35"/>
    <col min="12033" max="12033" width="3.26953125" style="35" customWidth="1"/>
    <col min="12034" max="12034" width="5.08984375" style="35" customWidth="1"/>
    <col min="12035" max="12035" width="10" style="35" customWidth="1"/>
    <col min="12036" max="12036" width="12.36328125" style="35" customWidth="1"/>
    <col min="12037" max="12037" width="14.90625" style="35" customWidth="1"/>
    <col min="12038" max="12038" width="16.36328125" style="35" bestFit="1" customWidth="1"/>
    <col min="12039" max="12039" width="7" style="35" bestFit="1" customWidth="1"/>
    <col min="12040" max="12040" width="16.36328125" style="35" bestFit="1" customWidth="1"/>
    <col min="12041" max="12041" width="7" style="35" bestFit="1" customWidth="1"/>
    <col min="12042" max="12042" width="16.08984375" style="35" customWidth="1"/>
    <col min="12043" max="12043" width="7" style="35" bestFit="1" customWidth="1"/>
    <col min="12044" max="12288" width="9" style="35"/>
    <col min="12289" max="12289" width="3.26953125" style="35" customWidth="1"/>
    <col min="12290" max="12290" width="5.08984375" style="35" customWidth="1"/>
    <col min="12291" max="12291" width="10" style="35" customWidth="1"/>
    <col min="12292" max="12292" width="12.36328125" style="35" customWidth="1"/>
    <col min="12293" max="12293" width="14.90625" style="35" customWidth="1"/>
    <col min="12294" max="12294" width="16.36328125" style="35" bestFit="1" customWidth="1"/>
    <col min="12295" max="12295" width="7" style="35" bestFit="1" customWidth="1"/>
    <col min="12296" max="12296" width="16.36328125" style="35" bestFit="1" customWidth="1"/>
    <col min="12297" max="12297" width="7" style="35" bestFit="1" customWidth="1"/>
    <col min="12298" max="12298" width="16.08984375" style="35" customWidth="1"/>
    <col min="12299" max="12299" width="7" style="35" bestFit="1" customWidth="1"/>
    <col min="12300" max="12544" width="9" style="35"/>
    <col min="12545" max="12545" width="3.26953125" style="35" customWidth="1"/>
    <col min="12546" max="12546" width="5.08984375" style="35" customWidth="1"/>
    <col min="12547" max="12547" width="10" style="35" customWidth="1"/>
    <col min="12548" max="12548" width="12.36328125" style="35" customWidth="1"/>
    <col min="12549" max="12549" width="14.90625" style="35" customWidth="1"/>
    <col min="12550" max="12550" width="16.36328125" style="35" bestFit="1" customWidth="1"/>
    <col min="12551" max="12551" width="7" style="35" bestFit="1" customWidth="1"/>
    <col min="12552" max="12552" width="16.36328125" style="35" bestFit="1" customWidth="1"/>
    <col min="12553" max="12553" width="7" style="35" bestFit="1" customWidth="1"/>
    <col min="12554" max="12554" width="16.08984375" style="35" customWidth="1"/>
    <col min="12555" max="12555" width="7" style="35" bestFit="1" customWidth="1"/>
    <col min="12556" max="12800" width="9" style="35"/>
    <col min="12801" max="12801" width="3.26953125" style="35" customWidth="1"/>
    <col min="12802" max="12802" width="5.08984375" style="35" customWidth="1"/>
    <col min="12803" max="12803" width="10" style="35" customWidth="1"/>
    <col min="12804" max="12804" width="12.36328125" style="35" customWidth="1"/>
    <col min="12805" max="12805" width="14.90625" style="35" customWidth="1"/>
    <col min="12806" max="12806" width="16.36328125" style="35" bestFit="1" customWidth="1"/>
    <col min="12807" max="12807" width="7" style="35" bestFit="1" customWidth="1"/>
    <col min="12808" max="12808" width="16.36328125" style="35" bestFit="1" customWidth="1"/>
    <col min="12809" max="12809" width="7" style="35" bestFit="1" customWidth="1"/>
    <col min="12810" max="12810" width="16.08984375" style="35" customWidth="1"/>
    <col min="12811" max="12811" width="7" style="35" bestFit="1" customWidth="1"/>
    <col min="12812" max="13056" width="9" style="35"/>
    <col min="13057" max="13057" width="3.26953125" style="35" customWidth="1"/>
    <col min="13058" max="13058" width="5.08984375" style="35" customWidth="1"/>
    <col min="13059" max="13059" width="10" style="35" customWidth="1"/>
    <col min="13060" max="13060" width="12.36328125" style="35" customWidth="1"/>
    <col min="13061" max="13061" width="14.90625" style="35" customWidth="1"/>
    <col min="13062" max="13062" width="16.36328125" style="35" bestFit="1" customWidth="1"/>
    <col min="13063" max="13063" width="7" style="35" bestFit="1" customWidth="1"/>
    <col min="13064" max="13064" width="16.36328125" style="35" bestFit="1" customWidth="1"/>
    <col min="13065" max="13065" width="7" style="35" bestFit="1" customWidth="1"/>
    <col min="13066" max="13066" width="16.08984375" style="35" customWidth="1"/>
    <col min="13067" max="13067" width="7" style="35" bestFit="1" customWidth="1"/>
    <col min="13068" max="13312" width="9" style="35"/>
    <col min="13313" max="13313" width="3.26953125" style="35" customWidth="1"/>
    <col min="13314" max="13314" width="5.08984375" style="35" customWidth="1"/>
    <col min="13315" max="13315" width="10" style="35" customWidth="1"/>
    <col min="13316" max="13316" width="12.36328125" style="35" customWidth="1"/>
    <col min="13317" max="13317" width="14.90625" style="35" customWidth="1"/>
    <col min="13318" max="13318" width="16.36328125" style="35" bestFit="1" customWidth="1"/>
    <col min="13319" max="13319" width="7" style="35" bestFit="1" customWidth="1"/>
    <col min="13320" max="13320" width="16.36328125" style="35" bestFit="1" customWidth="1"/>
    <col min="13321" max="13321" width="7" style="35" bestFit="1" customWidth="1"/>
    <col min="13322" max="13322" width="16.08984375" style="35" customWidth="1"/>
    <col min="13323" max="13323" width="7" style="35" bestFit="1" customWidth="1"/>
    <col min="13324" max="13568" width="9" style="35"/>
    <col min="13569" max="13569" width="3.26953125" style="35" customWidth="1"/>
    <col min="13570" max="13570" width="5.08984375" style="35" customWidth="1"/>
    <col min="13571" max="13571" width="10" style="35" customWidth="1"/>
    <col min="13572" max="13572" width="12.36328125" style="35" customWidth="1"/>
    <col min="13573" max="13573" width="14.90625" style="35" customWidth="1"/>
    <col min="13574" max="13574" width="16.36328125" style="35" bestFit="1" customWidth="1"/>
    <col min="13575" max="13575" width="7" style="35" bestFit="1" customWidth="1"/>
    <col min="13576" max="13576" width="16.36328125" style="35" bestFit="1" customWidth="1"/>
    <col min="13577" max="13577" width="7" style="35" bestFit="1" customWidth="1"/>
    <col min="13578" max="13578" width="16.08984375" style="35" customWidth="1"/>
    <col min="13579" max="13579" width="7" style="35" bestFit="1" customWidth="1"/>
    <col min="13580" max="13824" width="9" style="35"/>
    <col min="13825" max="13825" width="3.26953125" style="35" customWidth="1"/>
    <col min="13826" max="13826" width="5.08984375" style="35" customWidth="1"/>
    <col min="13827" max="13827" width="10" style="35" customWidth="1"/>
    <col min="13828" max="13828" width="12.36328125" style="35" customWidth="1"/>
    <col min="13829" max="13829" width="14.90625" style="35" customWidth="1"/>
    <col min="13830" max="13830" width="16.36328125" style="35" bestFit="1" customWidth="1"/>
    <col min="13831" max="13831" width="7" style="35" bestFit="1" customWidth="1"/>
    <col min="13832" max="13832" width="16.36328125" style="35" bestFit="1" customWidth="1"/>
    <col min="13833" max="13833" width="7" style="35" bestFit="1" customWidth="1"/>
    <col min="13834" max="13834" width="16.08984375" style="35" customWidth="1"/>
    <col min="13835" max="13835" width="7" style="35" bestFit="1" customWidth="1"/>
    <col min="13836" max="14080" width="9" style="35"/>
    <col min="14081" max="14081" width="3.26953125" style="35" customWidth="1"/>
    <col min="14082" max="14082" width="5.08984375" style="35" customWidth="1"/>
    <col min="14083" max="14083" width="10" style="35" customWidth="1"/>
    <col min="14084" max="14084" width="12.36328125" style="35" customWidth="1"/>
    <col min="14085" max="14085" width="14.90625" style="35" customWidth="1"/>
    <col min="14086" max="14086" width="16.36328125" style="35" bestFit="1" customWidth="1"/>
    <col min="14087" max="14087" width="7" style="35" bestFit="1" customWidth="1"/>
    <col min="14088" max="14088" width="16.36328125" style="35" bestFit="1" customWidth="1"/>
    <col min="14089" max="14089" width="7" style="35" bestFit="1" customWidth="1"/>
    <col min="14090" max="14090" width="16.08984375" style="35" customWidth="1"/>
    <col min="14091" max="14091" width="7" style="35" bestFit="1" customWidth="1"/>
    <col min="14092" max="14336" width="9" style="35"/>
    <col min="14337" max="14337" width="3.26953125" style="35" customWidth="1"/>
    <col min="14338" max="14338" width="5.08984375" style="35" customWidth="1"/>
    <col min="14339" max="14339" width="10" style="35" customWidth="1"/>
    <col min="14340" max="14340" width="12.36328125" style="35" customWidth="1"/>
    <col min="14341" max="14341" width="14.90625" style="35" customWidth="1"/>
    <col min="14342" max="14342" width="16.36328125" style="35" bestFit="1" customWidth="1"/>
    <col min="14343" max="14343" width="7" style="35" bestFit="1" customWidth="1"/>
    <col min="14344" max="14344" width="16.36328125" style="35" bestFit="1" customWidth="1"/>
    <col min="14345" max="14345" width="7" style="35" bestFit="1" customWidth="1"/>
    <col min="14346" max="14346" width="16.08984375" style="35" customWidth="1"/>
    <col min="14347" max="14347" width="7" style="35" bestFit="1" customWidth="1"/>
    <col min="14348" max="14592" width="9" style="35"/>
    <col min="14593" max="14593" width="3.26953125" style="35" customWidth="1"/>
    <col min="14594" max="14594" width="5.08984375" style="35" customWidth="1"/>
    <col min="14595" max="14595" width="10" style="35" customWidth="1"/>
    <col min="14596" max="14596" width="12.36328125" style="35" customWidth="1"/>
    <col min="14597" max="14597" width="14.90625" style="35" customWidth="1"/>
    <col min="14598" max="14598" width="16.36328125" style="35" bestFit="1" customWidth="1"/>
    <col min="14599" max="14599" width="7" style="35" bestFit="1" customWidth="1"/>
    <col min="14600" max="14600" width="16.36328125" style="35" bestFit="1" customWidth="1"/>
    <col min="14601" max="14601" width="7" style="35" bestFit="1" customWidth="1"/>
    <col min="14602" max="14602" width="16.08984375" style="35" customWidth="1"/>
    <col min="14603" max="14603" width="7" style="35" bestFit="1" customWidth="1"/>
    <col min="14604" max="14848" width="9" style="35"/>
    <col min="14849" max="14849" width="3.26953125" style="35" customWidth="1"/>
    <col min="14850" max="14850" width="5.08984375" style="35" customWidth="1"/>
    <col min="14851" max="14851" width="10" style="35" customWidth="1"/>
    <col min="14852" max="14852" width="12.36328125" style="35" customWidth="1"/>
    <col min="14853" max="14853" width="14.90625" style="35" customWidth="1"/>
    <col min="14854" max="14854" width="16.36328125" style="35" bestFit="1" customWidth="1"/>
    <col min="14855" max="14855" width="7" style="35" bestFit="1" customWidth="1"/>
    <col min="14856" max="14856" width="16.36328125" style="35" bestFit="1" customWidth="1"/>
    <col min="14857" max="14857" width="7" style="35" bestFit="1" customWidth="1"/>
    <col min="14858" max="14858" width="16.08984375" style="35" customWidth="1"/>
    <col min="14859" max="14859" width="7" style="35" bestFit="1" customWidth="1"/>
    <col min="14860" max="15104" width="9" style="35"/>
    <col min="15105" max="15105" width="3.26953125" style="35" customWidth="1"/>
    <col min="15106" max="15106" width="5.08984375" style="35" customWidth="1"/>
    <col min="15107" max="15107" width="10" style="35" customWidth="1"/>
    <col min="15108" max="15108" width="12.36328125" style="35" customWidth="1"/>
    <col min="15109" max="15109" width="14.90625" style="35" customWidth="1"/>
    <col min="15110" max="15110" width="16.36328125" style="35" bestFit="1" customWidth="1"/>
    <col min="15111" max="15111" width="7" style="35" bestFit="1" customWidth="1"/>
    <col min="15112" max="15112" width="16.36328125" style="35" bestFit="1" customWidth="1"/>
    <col min="15113" max="15113" width="7" style="35" bestFit="1" customWidth="1"/>
    <col min="15114" max="15114" width="16.08984375" style="35" customWidth="1"/>
    <col min="15115" max="15115" width="7" style="35" bestFit="1" customWidth="1"/>
    <col min="15116" max="15360" width="9" style="35"/>
    <col min="15361" max="15361" width="3.26953125" style="35" customWidth="1"/>
    <col min="15362" max="15362" width="5.08984375" style="35" customWidth="1"/>
    <col min="15363" max="15363" width="10" style="35" customWidth="1"/>
    <col min="15364" max="15364" width="12.36328125" style="35" customWidth="1"/>
    <col min="15365" max="15365" width="14.90625" style="35" customWidth="1"/>
    <col min="15366" max="15366" width="16.36328125" style="35" bestFit="1" customWidth="1"/>
    <col min="15367" max="15367" width="7" style="35" bestFit="1" customWidth="1"/>
    <col min="15368" max="15368" width="16.36328125" style="35" bestFit="1" customWidth="1"/>
    <col min="15369" max="15369" width="7" style="35" bestFit="1" customWidth="1"/>
    <col min="15370" max="15370" width="16.08984375" style="35" customWidth="1"/>
    <col min="15371" max="15371" width="7" style="35" bestFit="1" customWidth="1"/>
    <col min="15372" max="15616" width="9" style="35"/>
    <col min="15617" max="15617" width="3.26953125" style="35" customWidth="1"/>
    <col min="15618" max="15618" width="5.08984375" style="35" customWidth="1"/>
    <col min="15619" max="15619" width="10" style="35" customWidth="1"/>
    <col min="15620" max="15620" width="12.36328125" style="35" customWidth="1"/>
    <col min="15621" max="15621" width="14.90625" style="35" customWidth="1"/>
    <col min="15622" max="15622" width="16.36328125" style="35" bestFit="1" customWidth="1"/>
    <col min="15623" max="15623" width="7" style="35" bestFit="1" customWidth="1"/>
    <col min="15624" max="15624" width="16.36328125" style="35" bestFit="1" customWidth="1"/>
    <col min="15625" max="15625" width="7" style="35" bestFit="1" customWidth="1"/>
    <col min="15626" max="15626" width="16.08984375" style="35" customWidth="1"/>
    <col min="15627" max="15627" width="7" style="35" bestFit="1" customWidth="1"/>
    <col min="15628" max="15872" width="9" style="35"/>
    <col min="15873" max="15873" width="3.26953125" style="35" customWidth="1"/>
    <col min="15874" max="15874" width="5.08984375" style="35" customWidth="1"/>
    <col min="15875" max="15875" width="10" style="35" customWidth="1"/>
    <col min="15876" max="15876" width="12.36328125" style="35" customWidth="1"/>
    <col min="15877" max="15877" width="14.90625" style="35" customWidth="1"/>
    <col min="15878" max="15878" width="16.36328125" style="35" bestFit="1" customWidth="1"/>
    <col min="15879" max="15879" width="7" style="35" bestFit="1" customWidth="1"/>
    <col min="15880" max="15880" width="16.36328125" style="35" bestFit="1" customWidth="1"/>
    <col min="15881" max="15881" width="7" style="35" bestFit="1" customWidth="1"/>
    <col min="15882" max="15882" width="16.08984375" style="35" customWidth="1"/>
    <col min="15883" max="15883" width="7" style="35" bestFit="1" customWidth="1"/>
    <col min="15884" max="16128" width="9" style="35"/>
    <col min="16129" max="16129" width="3.26953125" style="35" customWidth="1"/>
    <col min="16130" max="16130" width="5.08984375" style="35" customWidth="1"/>
    <col min="16131" max="16131" width="10" style="35" customWidth="1"/>
    <col min="16132" max="16132" width="12.36328125" style="35" customWidth="1"/>
    <col min="16133" max="16133" width="14.90625" style="35" customWidth="1"/>
    <col min="16134" max="16134" width="16.36328125" style="35" bestFit="1" customWidth="1"/>
    <col min="16135" max="16135" width="7" style="35" bestFit="1" customWidth="1"/>
    <col min="16136" max="16136" width="16.36328125" style="35" bestFit="1" customWidth="1"/>
    <col min="16137" max="16137" width="7" style="35" bestFit="1" customWidth="1"/>
    <col min="16138" max="16138" width="16.08984375" style="35" customWidth="1"/>
    <col min="16139" max="16139" width="7" style="35" bestFit="1" customWidth="1"/>
    <col min="16140" max="16384" width="9" style="35"/>
  </cols>
  <sheetData>
    <row r="1" spans="1:12">
      <c r="A1" s="36" t="s">
        <v>85</v>
      </c>
    </row>
    <row r="2" spans="1:12" s="84" customFormat="1" ht="24" customHeight="1" thickBot="1">
      <c r="A2" s="110"/>
      <c r="B2" s="418" t="s">
        <v>327</v>
      </c>
      <c r="C2" s="418"/>
      <c r="D2" s="418"/>
      <c r="E2" s="418"/>
      <c r="F2" s="418"/>
      <c r="G2" s="418"/>
      <c r="H2" s="418"/>
      <c r="I2" s="418"/>
      <c r="J2" s="418"/>
    </row>
    <row r="3" spans="1:12" ht="14.25" customHeight="1" thickTop="1" thickBot="1">
      <c r="B3" s="41" t="s">
        <v>87</v>
      </c>
      <c r="C3" s="41" t="s">
        <v>88</v>
      </c>
      <c r="D3" s="41"/>
      <c r="E3" s="42"/>
      <c r="K3" s="35"/>
    </row>
    <row r="4" spans="1:12" ht="14.25" customHeight="1">
      <c r="B4" s="419" t="s">
        <v>328</v>
      </c>
      <c r="C4" s="111" t="s">
        <v>329</v>
      </c>
      <c r="D4" s="111"/>
      <c r="E4" s="111"/>
      <c r="F4" s="111"/>
      <c r="G4" s="111"/>
      <c r="H4" s="111"/>
      <c r="I4" s="111"/>
      <c r="J4" s="112"/>
      <c r="K4" s="35"/>
    </row>
    <row r="5" spans="1:12" ht="14.25" customHeight="1" thickBot="1">
      <c r="B5" s="420"/>
      <c r="C5" s="421"/>
      <c r="D5" s="422"/>
      <c r="E5" s="423"/>
      <c r="F5" s="423"/>
      <c r="G5" s="423"/>
      <c r="H5" s="423"/>
      <c r="I5" s="423"/>
      <c r="J5" s="424"/>
      <c r="K5" s="35"/>
    </row>
    <row r="6" spans="1:12">
      <c r="B6" s="116"/>
      <c r="C6" s="179"/>
      <c r="D6" s="179"/>
      <c r="E6" s="179"/>
      <c r="F6" s="179"/>
      <c r="G6" s="179"/>
      <c r="H6" s="179"/>
      <c r="I6" s="179"/>
      <c r="J6" s="159"/>
      <c r="K6" s="179"/>
      <c r="L6" s="167"/>
    </row>
    <row r="7" spans="1:12" ht="17.25" customHeight="1">
      <c r="B7" s="116"/>
      <c r="C7" s="270" t="s">
        <v>208</v>
      </c>
      <c r="D7" s="430" t="s">
        <v>209</v>
      </c>
      <c r="E7" s="432"/>
      <c r="F7" s="432"/>
      <c r="G7" s="432"/>
      <c r="H7" s="432"/>
      <c r="I7" s="433"/>
      <c r="J7" s="271"/>
      <c r="K7" s="272"/>
      <c r="L7" s="139"/>
    </row>
    <row r="8" spans="1:12" ht="15" customHeight="1">
      <c r="B8" s="140"/>
      <c r="C8" s="273" t="s">
        <v>210</v>
      </c>
      <c r="D8" s="274" t="s">
        <v>211</v>
      </c>
      <c r="E8" s="274" t="s">
        <v>212</v>
      </c>
      <c r="F8" s="275" t="s">
        <v>213</v>
      </c>
      <c r="G8" s="275" t="s">
        <v>214</v>
      </c>
      <c r="H8" s="275" t="s">
        <v>215</v>
      </c>
      <c r="I8" s="276" t="s">
        <v>216</v>
      </c>
      <c r="J8" s="145"/>
      <c r="K8" s="277"/>
      <c r="L8" s="146"/>
    </row>
    <row r="9" spans="1:12" ht="12" customHeight="1">
      <c r="B9" s="147"/>
      <c r="C9" s="278" t="s">
        <v>217</v>
      </c>
      <c r="D9" s="279" t="s">
        <v>218</v>
      </c>
      <c r="E9" s="279" t="s">
        <v>219</v>
      </c>
      <c r="F9" s="280" t="s">
        <v>220</v>
      </c>
      <c r="G9" s="280" t="s">
        <v>221</v>
      </c>
      <c r="H9" s="280" t="s">
        <v>222</v>
      </c>
      <c r="I9" s="281" t="s">
        <v>223</v>
      </c>
      <c r="J9" s="152"/>
      <c r="K9" s="282"/>
      <c r="L9" s="153"/>
    </row>
    <row r="10" spans="1:12" ht="12" customHeight="1">
      <c r="B10" s="147"/>
      <c r="C10" s="283" t="s">
        <v>224</v>
      </c>
      <c r="D10" s="284" t="s">
        <v>225</v>
      </c>
      <c r="E10" s="285">
        <v>66666</v>
      </c>
      <c r="F10" s="286" t="s">
        <v>226</v>
      </c>
      <c r="G10" s="286" t="s">
        <v>234</v>
      </c>
      <c r="H10" s="286" t="s">
        <v>226</v>
      </c>
      <c r="I10" s="287" t="s">
        <v>234</v>
      </c>
      <c r="J10" s="288"/>
      <c r="K10" s="179"/>
      <c r="L10" s="160"/>
    </row>
    <row r="11" spans="1:12" ht="12" customHeight="1">
      <c r="B11" s="147"/>
      <c r="C11" s="283" t="s">
        <v>224</v>
      </c>
      <c r="D11" s="284" t="s">
        <v>228</v>
      </c>
      <c r="E11" s="285">
        <v>3500</v>
      </c>
      <c r="F11" s="286" t="s">
        <v>226</v>
      </c>
      <c r="G11" s="286" t="s">
        <v>234</v>
      </c>
      <c r="H11" s="286" t="s">
        <v>226</v>
      </c>
      <c r="I11" s="287" t="s">
        <v>234</v>
      </c>
      <c r="J11" s="288"/>
      <c r="K11" s="179"/>
      <c r="L11" s="160"/>
    </row>
    <row r="12" spans="1:12" ht="12" customHeight="1">
      <c r="B12" s="147"/>
      <c r="C12" s="289" t="s">
        <v>229</v>
      </c>
      <c r="D12" s="290" t="s">
        <v>230</v>
      </c>
      <c r="E12" s="291">
        <v>12000</v>
      </c>
      <c r="F12" s="292" t="s">
        <v>226</v>
      </c>
      <c r="G12" s="292" t="s">
        <v>234</v>
      </c>
      <c r="H12" s="292" t="s">
        <v>226</v>
      </c>
      <c r="I12" s="293" t="s">
        <v>234</v>
      </c>
      <c r="J12" s="288"/>
      <c r="K12" s="179"/>
      <c r="L12" s="160"/>
    </row>
    <row r="13" spans="1:12" ht="12" customHeight="1">
      <c r="B13" s="147"/>
      <c r="C13" s="289" t="s">
        <v>229</v>
      </c>
      <c r="D13" s="290" t="s">
        <v>231</v>
      </c>
      <c r="E13" s="291">
        <v>300</v>
      </c>
      <c r="F13" s="292" t="s">
        <v>226</v>
      </c>
      <c r="G13" s="292" t="s">
        <v>234</v>
      </c>
      <c r="H13" s="292" t="s">
        <v>226</v>
      </c>
      <c r="I13" s="293" t="s">
        <v>234</v>
      </c>
      <c r="J13" s="288"/>
      <c r="K13" s="179"/>
      <c r="L13" s="160"/>
    </row>
    <row r="14" spans="1:12" ht="12" customHeight="1">
      <c r="B14" s="147"/>
      <c r="C14" s="201" t="s">
        <v>229</v>
      </c>
      <c r="D14" s="202" t="s">
        <v>228</v>
      </c>
      <c r="E14" s="203">
        <v>100</v>
      </c>
      <c r="F14" s="204" t="s">
        <v>226</v>
      </c>
      <c r="G14" s="204" t="s">
        <v>234</v>
      </c>
      <c r="H14" s="204" t="s">
        <v>226</v>
      </c>
      <c r="I14" s="211" t="s">
        <v>234</v>
      </c>
      <c r="J14" s="159"/>
      <c r="K14" s="179"/>
      <c r="L14" s="160"/>
    </row>
    <row r="15" spans="1:12" ht="12" customHeight="1">
      <c r="B15" s="147"/>
      <c r="C15" s="201" t="s">
        <v>229</v>
      </c>
      <c r="D15" s="202" t="s">
        <v>232</v>
      </c>
      <c r="E15" s="203">
        <v>50</v>
      </c>
      <c r="F15" s="204" t="s">
        <v>226</v>
      </c>
      <c r="G15" s="204" t="s">
        <v>234</v>
      </c>
      <c r="H15" s="204" t="s">
        <v>226</v>
      </c>
      <c r="I15" s="211" t="s">
        <v>234</v>
      </c>
      <c r="J15" s="159"/>
      <c r="K15" s="179"/>
      <c r="L15" s="160"/>
    </row>
    <row r="16" spans="1:12" ht="12" customHeight="1">
      <c r="B16" s="147"/>
      <c r="C16" s="201" t="s">
        <v>233</v>
      </c>
      <c r="D16" s="202" t="s">
        <v>232</v>
      </c>
      <c r="E16" s="203">
        <v>3000</v>
      </c>
      <c r="F16" s="204" t="s">
        <v>226</v>
      </c>
      <c r="G16" s="204" t="s">
        <v>234</v>
      </c>
      <c r="H16" s="204" t="s">
        <v>226</v>
      </c>
      <c r="I16" s="211" t="s">
        <v>234</v>
      </c>
      <c r="J16" s="159"/>
      <c r="K16" s="179"/>
      <c r="L16" s="166"/>
    </row>
    <row r="17" spans="2:12" ht="12" customHeight="1">
      <c r="B17" s="147"/>
      <c r="C17" s="201" t="s">
        <v>235</v>
      </c>
      <c r="D17" s="202" t="s">
        <v>232</v>
      </c>
      <c r="E17" s="203">
        <v>200</v>
      </c>
      <c r="F17" s="204" t="s">
        <v>226</v>
      </c>
      <c r="G17" s="204" t="s">
        <v>234</v>
      </c>
      <c r="H17" s="204" t="s">
        <v>226</v>
      </c>
      <c r="I17" s="211" t="s">
        <v>234</v>
      </c>
      <c r="J17" s="159"/>
      <c r="K17" s="179"/>
      <c r="L17" s="166"/>
    </row>
    <row r="18" spans="2:12" ht="12" customHeight="1">
      <c r="B18" s="147"/>
      <c r="C18" s="201" t="s">
        <v>236</v>
      </c>
      <c r="D18" s="202" t="s">
        <v>237</v>
      </c>
      <c r="E18" s="203">
        <v>999999999999999</v>
      </c>
      <c r="F18" s="204" t="s">
        <v>226</v>
      </c>
      <c r="G18" s="204" t="s">
        <v>234</v>
      </c>
      <c r="H18" s="204" t="s">
        <v>226</v>
      </c>
      <c r="I18" s="211" t="s">
        <v>234</v>
      </c>
      <c r="J18" s="159"/>
      <c r="K18" s="179"/>
      <c r="L18" s="167"/>
    </row>
    <row r="19" spans="2:12" ht="12" customHeight="1">
      <c r="B19" s="147"/>
      <c r="C19" s="201" t="s">
        <v>236</v>
      </c>
      <c r="D19" s="202" t="s">
        <v>232</v>
      </c>
      <c r="E19" s="203">
        <v>200000</v>
      </c>
      <c r="F19" s="204" t="s">
        <v>226</v>
      </c>
      <c r="G19" s="204" t="s">
        <v>234</v>
      </c>
      <c r="H19" s="204" t="s">
        <v>226</v>
      </c>
      <c r="I19" s="211" t="s">
        <v>234</v>
      </c>
      <c r="J19" s="159"/>
      <c r="K19" s="179"/>
      <c r="L19" s="167"/>
    </row>
    <row r="20" spans="2:12" ht="12" customHeight="1">
      <c r="B20" s="147"/>
      <c r="C20" s="201" t="s">
        <v>236</v>
      </c>
      <c r="D20" s="202" t="s">
        <v>238</v>
      </c>
      <c r="E20" s="203">
        <v>0</v>
      </c>
      <c r="F20" s="204" t="s">
        <v>226</v>
      </c>
      <c r="G20" s="204" t="s">
        <v>234</v>
      </c>
      <c r="H20" s="204" t="s">
        <v>226</v>
      </c>
      <c r="I20" s="211" t="s">
        <v>234</v>
      </c>
      <c r="J20" s="159"/>
      <c r="K20" s="179"/>
      <c r="L20" s="167"/>
    </row>
    <row r="21" spans="2:12" ht="12" customHeight="1">
      <c r="B21" s="147"/>
      <c r="C21" s="212" t="s">
        <v>236</v>
      </c>
      <c r="D21" s="213" t="s">
        <v>239</v>
      </c>
      <c r="E21" s="294">
        <v>333333333</v>
      </c>
      <c r="F21" s="215" t="s">
        <v>226</v>
      </c>
      <c r="G21" s="215" t="s">
        <v>234</v>
      </c>
      <c r="H21" s="215" t="s">
        <v>226</v>
      </c>
      <c r="I21" s="216" t="s">
        <v>234</v>
      </c>
      <c r="J21" s="159"/>
      <c r="K21" s="179"/>
      <c r="L21" s="167"/>
    </row>
    <row r="22" spans="2:12" ht="12" customHeight="1">
      <c r="B22" s="147"/>
      <c r="C22" s="173" t="s">
        <v>236</v>
      </c>
      <c r="D22" s="173" t="s">
        <v>240</v>
      </c>
      <c r="E22" s="174">
        <v>999999999999999</v>
      </c>
      <c r="F22" s="175"/>
      <c r="G22" s="175"/>
      <c r="H22" s="175"/>
      <c r="I22" s="175"/>
      <c r="J22" s="295"/>
      <c r="K22" s="179"/>
      <c r="L22" s="167"/>
    </row>
    <row r="23" spans="2:12" ht="12" customHeight="1">
      <c r="B23" s="147"/>
      <c r="C23" s="173" t="s">
        <v>236</v>
      </c>
      <c r="D23" s="173" t="s">
        <v>241</v>
      </c>
      <c r="E23" s="176">
        <v>300</v>
      </c>
      <c r="F23" s="175"/>
      <c r="G23" s="175"/>
      <c r="H23" s="175"/>
      <c r="I23" s="175"/>
      <c r="J23" s="295"/>
      <c r="K23" s="179"/>
      <c r="L23" s="167"/>
    </row>
    <row r="24" spans="2:12" ht="11.25" customHeight="1">
      <c r="B24" s="147"/>
      <c r="C24" s="173" t="s">
        <v>236</v>
      </c>
      <c r="D24" s="173" t="s">
        <v>242</v>
      </c>
      <c r="E24" s="176">
        <v>20</v>
      </c>
      <c r="F24" s="175"/>
      <c r="G24" s="175"/>
      <c r="H24" s="175"/>
      <c r="I24" s="175"/>
      <c r="J24" s="295"/>
      <c r="K24" s="179"/>
      <c r="L24" s="177"/>
    </row>
    <row r="25" spans="2:12">
      <c r="B25" s="147"/>
      <c r="C25" s="173" t="s">
        <v>243</v>
      </c>
      <c r="D25" s="173" t="s">
        <v>244</v>
      </c>
      <c r="E25" s="176">
        <v>6000</v>
      </c>
      <c r="F25" s="175"/>
      <c r="G25" s="175"/>
      <c r="H25" s="175"/>
      <c r="I25" s="175"/>
      <c r="J25" s="295"/>
      <c r="K25" s="179"/>
      <c r="L25" s="178"/>
    </row>
    <row r="26" spans="2:12">
      <c r="B26" s="116"/>
      <c r="C26" s="175"/>
      <c r="D26" s="175"/>
      <c r="E26" s="175"/>
      <c r="F26" s="175"/>
      <c r="G26" s="175"/>
      <c r="H26" s="175"/>
      <c r="I26" s="175"/>
      <c r="J26" s="295"/>
      <c r="K26" s="179"/>
      <c r="L26" s="167"/>
    </row>
    <row r="27" spans="2:12">
      <c r="B27" s="116"/>
      <c r="C27" s="179"/>
      <c r="D27" s="179"/>
      <c r="E27" s="179"/>
      <c r="F27" s="179"/>
      <c r="G27" s="179"/>
      <c r="H27" s="179"/>
      <c r="I27" s="179"/>
      <c r="J27" s="159"/>
      <c r="K27" s="179"/>
      <c r="L27" s="167"/>
    </row>
    <row r="28" spans="2:12">
      <c r="B28" s="116"/>
      <c r="C28" s="179"/>
      <c r="D28" s="179"/>
      <c r="E28" s="179"/>
      <c r="F28" s="179"/>
      <c r="G28" s="179"/>
      <c r="H28" s="179"/>
      <c r="I28" s="179"/>
      <c r="J28" s="159"/>
      <c r="K28" s="179"/>
      <c r="L28" s="180"/>
    </row>
    <row r="29" spans="2:12">
      <c r="B29" s="116"/>
      <c r="C29" s="160"/>
      <c r="D29" s="160"/>
      <c r="E29" s="160"/>
      <c r="F29" s="160"/>
      <c r="G29" s="160"/>
      <c r="H29" s="160"/>
      <c r="I29" s="160"/>
      <c r="J29" s="181"/>
      <c r="K29" s="160"/>
      <c r="L29" s="160"/>
    </row>
    <row r="30" spans="2:12" ht="17.25" customHeight="1">
      <c r="B30" s="116"/>
      <c r="C30" s="270" t="s">
        <v>245</v>
      </c>
      <c r="D30" s="430" t="s">
        <v>209</v>
      </c>
      <c r="E30" s="431"/>
      <c r="F30" s="431"/>
      <c r="G30" s="431"/>
      <c r="H30" s="431"/>
      <c r="I30" s="431"/>
      <c r="J30" s="296"/>
      <c r="K30" s="272"/>
      <c r="L30" s="139"/>
    </row>
    <row r="31" spans="2:12" ht="15" customHeight="1">
      <c r="B31" s="140"/>
      <c r="C31" s="273" t="s">
        <v>210</v>
      </c>
      <c r="D31" s="274" t="s">
        <v>211</v>
      </c>
      <c r="E31" s="274" t="s">
        <v>212</v>
      </c>
      <c r="F31" s="275" t="s">
        <v>213</v>
      </c>
      <c r="G31" s="275" t="s">
        <v>214</v>
      </c>
      <c r="H31" s="275" t="s">
        <v>215</v>
      </c>
      <c r="I31" s="297" t="s">
        <v>216</v>
      </c>
      <c r="J31" s="298"/>
      <c r="K31" s="277"/>
      <c r="L31" s="146"/>
    </row>
    <row r="32" spans="2:12" ht="12" customHeight="1">
      <c r="B32" s="147"/>
      <c r="C32" s="278" t="s">
        <v>217</v>
      </c>
      <c r="D32" s="279" t="s">
        <v>218</v>
      </c>
      <c r="E32" s="279" t="s">
        <v>219</v>
      </c>
      <c r="F32" s="280" t="s">
        <v>220</v>
      </c>
      <c r="G32" s="280" t="s">
        <v>221</v>
      </c>
      <c r="H32" s="280" t="s">
        <v>222</v>
      </c>
      <c r="I32" s="299" t="s">
        <v>223</v>
      </c>
      <c r="J32" s="300"/>
      <c r="K32" s="282"/>
      <c r="L32" s="153"/>
    </row>
    <row r="33" spans="2:12" ht="12" customHeight="1">
      <c r="B33" s="147"/>
      <c r="C33" s="201"/>
      <c r="D33" s="202"/>
      <c r="E33" s="203"/>
      <c r="F33" s="204"/>
      <c r="G33" s="204"/>
      <c r="H33" s="204"/>
      <c r="I33" s="301"/>
      <c r="J33" s="302"/>
      <c r="K33" s="179"/>
      <c r="L33" s="160"/>
    </row>
    <row r="34" spans="2:12" ht="12" customHeight="1">
      <c r="B34" s="147"/>
      <c r="C34" s="201"/>
      <c r="D34" s="202"/>
      <c r="E34" s="203"/>
      <c r="F34" s="204"/>
      <c r="G34" s="204"/>
      <c r="H34" s="204"/>
      <c r="I34" s="301"/>
      <c r="J34" s="302"/>
      <c r="K34" s="179"/>
      <c r="L34" s="160"/>
    </row>
    <row r="35" spans="2:12" ht="12" customHeight="1">
      <c r="B35" s="147"/>
      <c r="C35" s="201" t="s">
        <v>229</v>
      </c>
      <c r="D35" s="202" t="s">
        <v>228</v>
      </c>
      <c r="E35" s="203">
        <v>100</v>
      </c>
      <c r="F35" s="204" t="s">
        <v>226</v>
      </c>
      <c r="G35" s="204" t="s">
        <v>234</v>
      </c>
      <c r="H35" s="204" t="s">
        <v>226</v>
      </c>
      <c r="I35" s="301" t="s">
        <v>234</v>
      </c>
      <c r="J35" s="302"/>
      <c r="K35" s="179"/>
      <c r="L35" s="160"/>
    </row>
    <row r="36" spans="2:12" ht="12" customHeight="1">
      <c r="B36" s="147"/>
      <c r="C36" s="201" t="s">
        <v>229</v>
      </c>
      <c r="D36" s="202" t="s">
        <v>232</v>
      </c>
      <c r="E36" s="203">
        <v>50</v>
      </c>
      <c r="F36" s="204" t="s">
        <v>226</v>
      </c>
      <c r="G36" s="204" t="s">
        <v>234</v>
      </c>
      <c r="H36" s="204" t="s">
        <v>226</v>
      </c>
      <c r="I36" s="301" t="s">
        <v>234</v>
      </c>
      <c r="J36" s="302"/>
      <c r="K36" s="179"/>
      <c r="L36" s="160"/>
    </row>
    <row r="37" spans="2:12" ht="12" customHeight="1">
      <c r="B37" s="147"/>
      <c r="C37" s="201" t="s">
        <v>233</v>
      </c>
      <c r="D37" s="202" t="s">
        <v>232</v>
      </c>
      <c r="E37" s="203">
        <v>3000</v>
      </c>
      <c r="F37" s="204" t="s">
        <v>226</v>
      </c>
      <c r="G37" s="204" t="s">
        <v>234</v>
      </c>
      <c r="H37" s="204" t="s">
        <v>248</v>
      </c>
      <c r="I37" s="301" t="s">
        <v>247</v>
      </c>
      <c r="J37" s="302"/>
      <c r="K37" s="179"/>
      <c r="L37" s="166"/>
    </row>
    <row r="38" spans="2:12" ht="12" customHeight="1">
      <c r="B38" s="147"/>
      <c r="C38" s="201" t="s">
        <v>235</v>
      </c>
      <c r="D38" s="202" t="s">
        <v>232</v>
      </c>
      <c r="E38" s="203">
        <v>200</v>
      </c>
      <c r="F38" s="204" t="s">
        <v>226</v>
      </c>
      <c r="G38" s="204" t="s">
        <v>234</v>
      </c>
      <c r="H38" s="204" t="s">
        <v>248</v>
      </c>
      <c r="I38" s="301" t="s">
        <v>247</v>
      </c>
      <c r="J38" s="302"/>
      <c r="K38" s="179"/>
      <c r="L38" s="166"/>
    </row>
    <row r="39" spans="2:12" ht="12" customHeight="1">
      <c r="B39" s="147"/>
      <c r="C39" s="201" t="s">
        <v>236</v>
      </c>
      <c r="D39" s="202" t="s">
        <v>237</v>
      </c>
      <c r="E39" s="203">
        <v>999999999999999</v>
      </c>
      <c r="F39" s="204" t="s">
        <v>226</v>
      </c>
      <c r="G39" s="204" t="s">
        <v>234</v>
      </c>
      <c r="H39" s="204" t="s">
        <v>248</v>
      </c>
      <c r="I39" s="301" t="s">
        <v>247</v>
      </c>
      <c r="J39" s="302"/>
      <c r="K39" s="179"/>
      <c r="L39" s="167"/>
    </row>
    <row r="40" spans="2:12" ht="12" customHeight="1">
      <c r="B40" s="147"/>
      <c r="C40" s="201" t="s">
        <v>236</v>
      </c>
      <c r="D40" s="202" t="s">
        <v>232</v>
      </c>
      <c r="E40" s="203">
        <v>200000</v>
      </c>
      <c r="F40" s="204" t="s">
        <v>226</v>
      </c>
      <c r="G40" s="204" t="s">
        <v>234</v>
      </c>
      <c r="H40" s="204" t="s">
        <v>226</v>
      </c>
      <c r="I40" s="301" t="s">
        <v>234</v>
      </c>
      <c r="J40" s="302"/>
      <c r="K40" s="179"/>
      <c r="L40" s="167"/>
    </row>
    <row r="41" spans="2:12" ht="12" customHeight="1">
      <c r="B41" s="147"/>
      <c r="C41" s="201" t="s">
        <v>236</v>
      </c>
      <c r="D41" s="202" t="s">
        <v>238</v>
      </c>
      <c r="E41" s="203">
        <v>0</v>
      </c>
      <c r="F41" s="204" t="s">
        <v>226</v>
      </c>
      <c r="G41" s="204" t="s">
        <v>234</v>
      </c>
      <c r="H41" s="204" t="s">
        <v>226</v>
      </c>
      <c r="I41" s="301" t="s">
        <v>234</v>
      </c>
      <c r="J41" s="302"/>
      <c r="K41" s="179"/>
      <c r="L41" s="167"/>
    </row>
    <row r="42" spans="2:12" ht="12" customHeight="1">
      <c r="B42" s="147"/>
      <c r="C42" s="201" t="s">
        <v>236</v>
      </c>
      <c r="D42" s="202" t="s">
        <v>239</v>
      </c>
      <c r="E42" s="210">
        <v>333333333</v>
      </c>
      <c r="F42" s="204" t="s">
        <v>226</v>
      </c>
      <c r="G42" s="204" t="s">
        <v>234</v>
      </c>
      <c r="H42" s="204" t="s">
        <v>226</v>
      </c>
      <c r="I42" s="301" t="s">
        <v>234</v>
      </c>
      <c r="J42" s="302"/>
      <c r="K42" s="179"/>
      <c r="L42" s="167"/>
    </row>
    <row r="43" spans="2:12" ht="12" customHeight="1">
      <c r="B43" s="147"/>
      <c r="C43" s="201" t="s">
        <v>236</v>
      </c>
      <c r="D43" s="202" t="s">
        <v>240</v>
      </c>
      <c r="E43" s="210">
        <v>999999999999999</v>
      </c>
      <c r="F43" s="204" t="s">
        <v>248</v>
      </c>
      <c r="G43" s="204" t="s">
        <v>247</v>
      </c>
      <c r="H43" s="204" t="s">
        <v>248</v>
      </c>
      <c r="I43" s="301" t="s">
        <v>247</v>
      </c>
      <c r="J43" s="302"/>
      <c r="K43" s="179"/>
      <c r="L43" s="167"/>
    </row>
    <row r="44" spans="2:12" ht="12" customHeight="1">
      <c r="B44" s="147"/>
      <c r="C44" s="201" t="s">
        <v>236</v>
      </c>
      <c r="D44" s="202" t="s">
        <v>241</v>
      </c>
      <c r="E44" s="203">
        <v>300</v>
      </c>
      <c r="F44" s="204" t="s">
        <v>248</v>
      </c>
      <c r="G44" s="204" t="s">
        <v>247</v>
      </c>
      <c r="H44" s="204" t="s">
        <v>248</v>
      </c>
      <c r="I44" s="301" t="s">
        <v>247</v>
      </c>
      <c r="J44" s="302"/>
      <c r="K44" s="179"/>
      <c r="L44" s="167"/>
    </row>
    <row r="45" spans="2:12" ht="11.25" customHeight="1">
      <c r="B45" s="147"/>
      <c r="C45" s="201" t="s">
        <v>236</v>
      </c>
      <c r="D45" s="202" t="s">
        <v>242</v>
      </c>
      <c r="E45" s="203">
        <v>20</v>
      </c>
      <c r="F45" s="204" t="s">
        <v>248</v>
      </c>
      <c r="G45" s="204" t="s">
        <v>247</v>
      </c>
      <c r="H45" s="204" t="s">
        <v>248</v>
      </c>
      <c r="I45" s="301" t="s">
        <v>247</v>
      </c>
      <c r="J45" s="302"/>
      <c r="K45" s="179"/>
      <c r="L45" s="177"/>
    </row>
    <row r="46" spans="2:12">
      <c r="B46" s="147"/>
      <c r="C46" s="212" t="s">
        <v>243</v>
      </c>
      <c r="D46" s="213" t="s">
        <v>244</v>
      </c>
      <c r="E46" s="214">
        <v>6000</v>
      </c>
      <c r="F46" s="215" t="s">
        <v>248</v>
      </c>
      <c r="G46" s="215" t="s">
        <v>247</v>
      </c>
      <c r="H46" s="215" t="s">
        <v>248</v>
      </c>
      <c r="I46" s="303" t="s">
        <v>247</v>
      </c>
      <c r="J46" s="302"/>
      <c r="K46" s="179"/>
      <c r="L46" s="178"/>
    </row>
    <row r="47" spans="2:12">
      <c r="B47" s="219"/>
      <c r="C47" s="135"/>
      <c r="D47" s="67"/>
      <c r="E47" s="67"/>
      <c r="F47" s="67"/>
      <c r="G47" s="35"/>
      <c r="H47" s="35"/>
      <c r="I47" s="35"/>
      <c r="J47" s="136"/>
      <c r="K47" s="35"/>
    </row>
    <row r="48" spans="2:12" ht="15.5" thickBot="1">
      <c r="B48" s="220"/>
      <c r="C48" s="221"/>
      <c r="D48" s="125"/>
      <c r="E48" s="125"/>
      <c r="F48" s="125"/>
      <c r="G48" s="124"/>
      <c r="H48" s="124"/>
      <c r="I48" s="124"/>
      <c r="J48" s="222"/>
      <c r="K48" s="35"/>
    </row>
    <row r="49" spans="2:10" s="35" customFormat="1" ht="14.25" customHeight="1">
      <c r="B49" s="419" t="s">
        <v>330</v>
      </c>
      <c r="C49" s="111" t="s">
        <v>250</v>
      </c>
      <c r="D49" s="111"/>
      <c r="E49" s="111"/>
      <c r="F49" s="111"/>
      <c r="G49" s="111"/>
      <c r="H49" s="111"/>
      <c r="I49" s="111"/>
      <c r="J49" s="112"/>
    </row>
    <row r="50" spans="2:10" s="35" customFormat="1" ht="14.25" customHeight="1" thickBot="1">
      <c r="B50" s="420"/>
      <c r="C50" s="421"/>
      <c r="D50" s="422"/>
      <c r="E50" s="423"/>
      <c r="F50" s="423"/>
      <c r="G50" s="423"/>
      <c r="H50" s="423"/>
      <c r="I50" s="423"/>
      <c r="J50" s="424"/>
    </row>
    <row r="51" spans="2:10" s="35" customFormat="1">
      <c r="B51" s="127" t="s">
        <v>251</v>
      </c>
      <c r="D51" s="67"/>
      <c r="E51" s="67"/>
      <c r="F51" s="67"/>
      <c r="J51" s="136"/>
    </row>
    <row r="52" spans="2:10" s="35" customFormat="1">
      <c r="B52" s="223"/>
      <c r="C52" s="118"/>
      <c r="D52" s="67"/>
      <c r="E52" s="67"/>
      <c r="F52" s="67"/>
      <c r="J52" s="136"/>
    </row>
    <row r="53" spans="2:10" s="35" customFormat="1">
      <c r="B53" s="116"/>
      <c r="D53" s="67"/>
      <c r="E53" s="67"/>
      <c r="F53" s="67"/>
      <c r="J53" s="136"/>
    </row>
    <row r="54" spans="2:10" s="35" customFormat="1">
      <c r="B54" s="116"/>
      <c r="D54" s="67"/>
      <c r="E54" s="67"/>
      <c r="F54" s="67"/>
      <c r="J54" s="136"/>
    </row>
    <row r="55" spans="2:10" s="35" customFormat="1">
      <c r="B55" s="116"/>
      <c r="D55" s="67"/>
      <c r="E55" s="67"/>
      <c r="F55" s="67"/>
      <c r="J55" s="136"/>
    </row>
    <row r="56" spans="2:10" s="35" customFormat="1">
      <c r="B56" s="116"/>
      <c r="D56" s="67"/>
      <c r="E56" s="67"/>
      <c r="F56" s="67"/>
      <c r="J56" s="136"/>
    </row>
    <row r="57" spans="2:10" s="35" customFormat="1">
      <c r="B57" s="116"/>
      <c r="D57" s="67"/>
      <c r="E57" s="67"/>
      <c r="F57" s="67"/>
      <c r="J57" s="136"/>
    </row>
    <row r="58" spans="2:10" s="35" customFormat="1">
      <c r="B58" s="116"/>
      <c r="C58" s="178"/>
      <c r="D58" s="67"/>
      <c r="E58" s="67"/>
      <c r="F58" s="67"/>
      <c r="H58" s="178" t="s">
        <v>196</v>
      </c>
      <c r="J58" s="136"/>
    </row>
    <row r="59" spans="2:10" s="35" customFormat="1" ht="15.5" thickBot="1">
      <c r="B59" s="116"/>
      <c r="D59" s="67"/>
      <c r="E59" s="67"/>
      <c r="F59" s="67"/>
      <c r="J59" s="136"/>
    </row>
    <row r="60" spans="2:10" s="35" customFormat="1" ht="14.25" customHeight="1">
      <c r="B60" s="419" t="s">
        <v>331</v>
      </c>
      <c r="C60" s="111" t="s">
        <v>332</v>
      </c>
      <c r="D60" s="111"/>
      <c r="E60" s="111"/>
      <c r="F60" s="111"/>
      <c r="G60" s="111"/>
      <c r="H60" s="111"/>
      <c r="I60" s="111"/>
      <c r="J60" s="112"/>
    </row>
    <row r="61" spans="2:10" s="35" customFormat="1" ht="14.25" customHeight="1" thickBot="1">
      <c r="B61" s="420"/>
      <c r="C61" s="421"/>
      <c r="D61" s="422"/>
      <c r="E61" s="423"/>
      <c r="F61" s="423"/>
      <c r="G61" s="423"/>
      <c r="H61" s="423"/>
      <c r="I61" s="423"/>
      <c r="J61" s="424"/>
    </row>
    <row r="62" spans="2:10" s="35" customFormat="1">
      <c r="B62" s="127" t="s">
        <v>333</v>
      </c>
      <c r="D62" s="67"/>
      <c r="E62" s="67"/>
      <c r="F62" s="67"/>
      <c r="J62" s="136"/>
    </row>
    <row r="63" spans="2:10" s="35" customFormat="1">
      <c r="B63" s="223"/>
      <c r="C63" s="118"/>
      <c r="D63" s="67"/>
      <c r="E63" s="67"/>
      <c r="F63" s="67"/>
      <c r="J63" s="136"/>
    </row>
    <row r="64" spans="2:10" s="35" customFormat="1">
      <c r="B64" s="116"/>
      <c r="D64" s="67"/>
      <c r="E64" s="67"/>
      <c r="F64" s="67"/>
      <c r="J64" s="136"/>
    </row>
    <row r="65" spans="2:11">
      <c r="B65" s="116"/>
      <c r="D65" s="67"/>
      <c r="E65" s="67"/>
      <c r="F65" s="67"/>
      <c r="G65" s="35"/>
      <c r="H65" s="35"/>
      <c r="I65" s="35"/>
      <c r="J65" s="136"/>
      <c r="K65" s="35"/>
    </row>
    <row r="66" spans="2:11">
      <c r="B66" s="116"/>
      <c r="D66" s="67"/>
      <c r="E66" s="67"/>
      <c r="F66" s="67"/>
      <c r="G66" s="35"/>
      <c r="H66" s="35"/>
      <c r="I66" s="35"/>
      <c r="J66" s="136"/>
      <c r="K66" s="35"/>
    </row>
    <row r="67" spans="2:11">
      <c r="B67" s="116"/>
      <c r="D67" s="67"/>
      <c r="E67" s="67"/>
      <c r="F67" s="67"/>
      <c r="G67" s="35"/>
      <c r="H67" s="35"/>
      <c r="I67" s="35"/>
      <c r="J67" s="136"/>
      <c r="K67" s="35"/>
    </row>
    <row r="68" spans="2:11">
      <c r="B68" s="116"/>
      <c r="D68" s="67"/>
      <c r="E68" s="67"/>
      <c r="F68" s="67"/>
      <c r="G68" s="35"/>
      <c r="H68" s="35"/>
      <c r="I68" s="35"/>
      <c r="J68" s="136"/>
      <c r="K68" s="35"/>
    </row>
    <row r="69" spans="2:11">
      <c r="B69" s="116"/>
      <c r="C69" s="178"/>
      <c r="D69" s="67"/>
      <c r="E69" s="67"/>
      <c r="F69" s="67"/>
      <c r="G69" s="35"/>
      <c r="H69" s="178" t="s">
        <v>196</v>
      </c>
      <c r="I69" s="35"/>
      <c r="J69" s="136"/>
      <c r="K69" s="35"/>
    </row>
    <row r="70" spans="2:11" ht="15.5" thickBot="1">
      <c r="B70" s="123"/>
      <c r="C70" s="124"/>
      <c r="D70" s="125"/>
      <c r="E70" s="125"/>
      <c r="F70" s="125"/>
      <c r="G70" s="124"/>
      <c r="H70" s="124"/>
      <c r="I70" s="124"/>
      <c r="J70" s="222"/>
      <c r="K70" s="35"/>
    </row>
    <row r="71" spans="2:11" ht="14.25" customHeight="1">
      <c r="B71" s="419" t="s">
        <v>334</v>
      </c>
      <c r="C71" s="111" t="s">
        <v>335</v>
      </c>
      <c r="D71" s="111"/>
      <c r="E71" s="111"/>
      <c r="F71" s="111"/>
      <c r="G71" s="111"/>
      <c r="H71" s="111"/>
      <c r="I71" s="111"/>
      <c r="J71" s="112"/>
      <c r="K71" s="35"/>
    </row>
    <row r="72" spans="2:11" ht="14.25" customHeight="1" thickBot="1">
      <c r="B72" s="420"/>
      <c r="C72" s="421"/>
      <c r="D72" s="422"/>
      <c r="E72" s="423"/>
      <c r="F72" s="423"/>
      <c r="G72" s="423"/>
      <c r="H72" s="423"/>
      <c r="I72" s="423"/>
      <c r="J72" s="424"/>
      <c r="K72" s="35"/>
    </row>
    <row r="73" spans="2:11">
      <c r="B73" s="116"/>
      <c r="D73" s="67"/>
      <c r="E73" s="67"/>
      <c r="F73" s="67"/>
      <c r="G73" s="67"/>
      <c r="H73" s="67"/>
      <c r="I73" s="67"/>
      <c r="J73" s="58"/>
      <c r="K73" s="67"/>
    </row>
    <row r="74" spans="2:11">
      <c r="B74" s="223"/>
      <c r="C74" s="118"/>
      <c r="D74" s="67"/>
      <c r="E74" s="67"/>
      <c r="F74" s="67"/>
      <c r="G74" s="67"/>
      <c r="H74" s="67"/>
      <c r="I74" s="67"/>
      <c r="J74" s="58"/>
      <c r="K74" s="67"/>
    </row>
    <row r="75" spans="2:11">
      <c r="B75" s="116"/>
      <c r="D75" s="67"/>
      <c r="E75" s="67"/>
      <c r="F75" s="67"/>
      <c r="G75" s="67"/>
      <c r="H75" s="67"/>
      <c r="I75" s="67"/>
      <c r="J75" s="58"/>
      <c r="K75" s="67"/>
    </row>
    <row r="76" spans="2:11">
      <c r="B76" s="116"/>
      <c r="D76" s="67"/>
      <c r="E76" s="67"/>
      <c r="F76" s="67"/>
      <c r="G76" s="67"/>
      <c r="H76" s="67"/>
      <c r="I76" s="67"/>
      <c r="J76" s="58"/>
      <c r="K76" s="67"/>
    </row>
    <row r="77" spans="2:11">
      <c r="B77" s="116"/>
      <c r="D77" s="67"/>
      <c r="E77" s="67"/>
      <c r="F77" s="67"/>
      <c r="G77" s="67"/>
      <c r="H77" s="67"/>
      <c r="I77" s="67"/>
      <c r="J77" s="58"/>
      <c r="K77" s="67"/>
    </row>
    <row r="78" spans="2:11">
      <c r="B78" s="116"/>
      <c r="D78" s="67"/>
      <c r="E78" s="67"/>
      <c r="F78" s="67"/>
      <c r="G78" s="67"/>
      <c r="H78" s="67"/>
      <c r="I78" s="67"/>
      <c r="J78" s="58"/>
      <c r="K78" s="67"/>
    </row>
    <row r="79" spans="2:11">
      <c r="B79" s="116"/>
      <c r="C79" s="178"/>
      <c r="D79" s="67"/>
      <c r="E79" s="67"/>
      <c r="F79" s="67"/>
      <c r="G79" s="67"/>
      <c r="H79" s="178" t="s">
        <v>199</v>
      </c>
      <c r="I79" s="67"/>
      <c r="J79" s="58"/>
      <c r="K79" s="67"/>
    </row>
    <row r="80" spans="2:11">
      <c r="B80" s="123"/>
      <c r="C80" s="124"/>
      <c r="D80" s="125"/>
      <c r="E80" s="125"/>
      <c r="F80" s="125"/>
      <c r="G80" s="125"/>
      <c r="H80" s="125"/>
      <c r="I80" s="125"/>
      <c r="J80" s="126"/>
      <c r="K80" s="67"/>
    </row>
    <row r="81" spans="2:11" ht="15.5" thickBot="1">
      <c r="B81" s="116"/>
      <c r="J81" s="304"/>
    </row>
    <row r="82" spans="2:11" ht="14.25" customHeight="1">
      <c r="B82" s="419" t="s">
        <v>336</v>
      </c>
      <c r="C82" s="111" t="s">
        <v>337</v>
      </c>
      <c r="D82" s="111"/>
      <c r="E82" s="111"/>
      <c r="F82" s="111"/>
      <c r="G82" s="111"/>
      <c r="H82" s="111"/>
      <c r="I82" s="111"/>
      <c r="J82" s="112"/>
      <c r="K82" s="35"/>
    </row>
    <row r="83" spans="2:11" ht="14.25" customHeight="1" thickBot="1">
      <c r="B83" s="420"/>
      <c r="C83" s="421"/>
      <c r="D83" s="422"/>
      <c r="E83" s="423"/>
      <c r="F83" s="423"/>
      <c r="G83" s="423"/>
      <c r="H83" s="423"/>
      <c r="I83" s="423"/>
      <c r="J83" s="424"/>
      <c r="K83" s="35"/>
    </row>
    <row r="84" spans="2:11">
      <c r="B84" s="116"/>
      <c r="D84" s="67"/>
      <c r="E84" s="67"/>
      <c r="F84" s="67"/>
      <c r="G84" s="67"/>
      <c r="H84" s="67"/>
      <c r="I84" s="67"/>
      <c r="J84" s="58"/>
      <c r="K84" s="67"/>
    </row>
    <row r="85" spans="2:11">
      <c r="B85" s="223"/>
      <c r="C85" s="118"/>
      <c r="D85" s="67"/>
      <c r="E85" s="67"/>
      <c r="F85" s="67"/>
      <c r="G85" s="67"/>
      <c r="H85" s="67"/>
      <c r="I85" s="67"/>
      <c r="J85" s="58"/>
      <c r="K85" s="67"/>
    </row>
    <row r="86" spans="2:11">
      <c r="B86" s="116"/>
      <c r="D86" s="67"/>
      <c r="E86" s="67"/>
      <c r="F86" s="67"/>
      <c r="G86" s="67"/>
      <c r="H86" s="67"/>
      <c r="I86" s="67"/>
      <c r="J86" s="58"/>
      <c r="K86" s="67"/>
    </row>
    <row r="87" spans="2:11">
      <c r="B87" s="116"/>
      <c r="D87" s="67"/>
      <c r="E87" s="67"/>
      <c r="F87" s="67"/>
      <c r="G87" s="67"/>
      <c r="H87" s="67"/>
      <c r="I87" s="67"/>
      <c r="J87" s="58"/>
      <c r="K87" s="67"/>
    </row>
    <row r="88" spans="2:11">
      <c r="B88" s="116"/>
      <c r="D88" s="67"/>
      <c r="E88" s="67"/>
      <c r="F88" s="67"/>
      <c r="G88" s="67"/>
      <c r="H88" s="67"/>
      <c r="I88" s="67"/>
      <c r="J88" s="58"/>
      <c r="K88" s="67"/>
    </row>
    <row r="89" spans="2:11">
      <c r="B89" s="116"/>
      <c r="D89" s="67"/>
      <c r="E89" s="67"/>
      <c r="F89" s="67"/>
      <c r="G89" s="67"/>
      <c r="H89" s="67"/>
      <c r="I89" s="67"/>
      <c r="J89" s="58"/>
      <c r="K89" s="67"/>
    </row>
    <row r="90" spans="2:11">
      <c r="B90" s="116"/>
      <c r="C90" s="178"/>
      <c r="D90" s="67"/>
      <c r="E90" s="67"/>
      <c r="F90" s="67"/>
      <c r="G90" s="67"/>
      <c r="H90" s="178" t="s">
        <v>199</v>
      </c>
      <c r="I90" s="67"/>
      <c r="J90" s="58"/>
      <c r="K90" s="67"/>
    </row>
    <row r="91" spans="2:11" ht="15.5" thickBot="1">
      <c r="B91" s="131"/>
      <c r="C91" s="132"/>
      <c r="D91" s="81"/>
      <c r="E91" s="81"/>
      <c r="F91" s="81"/>
      <c r="G91" s="81"/>
      <c r="H91" s="81"/>
      <c r="I91" s="81"/>
      <c r="J91" s="82"/>
      <c r="K91" s="67"/>
    </row>
  </sheetData>
  <mergeCells count="18">
    <mergeCell ref="B71:B72"/>
    <mergeCell ref="C72:D72"/>
    <mergeCell ref="E72:J72"/>
    <mergeCell ref="B82:B83"/>
    <mergeCell ref="C83:D83"/>
    <mergeCell ref="E83:J83"/>
    <mergeCell ref="B49:B50"/>
    <mergeCell ref="C50:D50"/>
    <mergeCell ref="E50:J50"/>
    <mergeCell ref="B60:B61"/>
    <mergeCell ref="C61:D61"/>
    <mergeCell ref="E61:J61"/>
    <mergeCell ref="D30:I30"/>
    <mergeCell ref="B2:J2"/>
    <mergeCell ref="B4:B5"/>
    <mergeCell ref="C5:D5"/>
    <mergeCell ref="E5:J5"/>
    <mergeCell ref="D7:I7"/>
  </mergeCells>
  <phoneticPr fontId="27" type="noConversion"/>
  <hyperlinks>
    <hyperlink ref="A1" location="【TCS】!A1" display="戻る" xr:uid="{3FA25F88-9165-4B84-9E20-6FAF9313489A}"/>
  </hyperlinks>
  <pageMargins left="0.75" right="0.75" top="1" bottom="1" header="0.51200000000000001" footer="0.51200000000000001"/>
  <pageSetup paperSize="9" orientation="portrait" verticalDpi="0"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66A0C-94B5-4DBE-B653-D4EEA25D934A}">
  <dimension ref="A1:J31"/>
  <sheetViews>
    <sheetView showGridLines="0" workbookViewId="0">
      <pane ySplit="3" topLeftCell="A4" activePane="bottomLeft" state="frozen"/>
      <selection pane="bottomLeft"/>
    </sheetView>
  </sheetViews>
  <sheetFormatPr defaultRowHeight="15"/>
  <cols>
    <col min="1" max="1" width="3.26953125" style="35" customWidth="1"/>
    <col min="2" max="2" width="4.6328125" style="35" customWidth="1"/>
    <col min="3" max="3" width="3.08984375" style="35" customWidth="1"/>
    <col min="4" max="7" width="9" style="37"/>
    <col min="8" max="8" width="8" style="37" customWidth="1"/>
    <col min="9" max="9" width="7.08984375" style="37" customWidth="1"/>
    <col min="10" max="10" width="27.7265625" style="37" customWidth="1"/>
    <col min="11" max="256" width="9" style="35"/>
    <col min="257" max="257" width="3.26953125" style="35" customWidth="1"/>
    <col min="258" max="258" width="4.6328125" style="35" customWidth="1"/>
    <col min="259" max="259" width="3.08984375" style="35" customWidth="1"/>
    <col min="260" max="263" width="9" style="35"/>
    <col min="264" max="264" width="8" style="35" customWidth="1"/>
    <col min="265" max="265" width="7.08984375" style="35" customWidth="1"/>
    <col min="266" max="266" width="27.7265625" style="35" customWidth="1"/>
    <col min="267" max="512" width="9" style="35"/>
    <col min="513" max="513" width="3.26953125" style="35" customWidth="1"/>
    <col min="514" max="514" width="4.6328125" style="35" customWidth="1"/>
    <col min="515" max="515" width="3.08984375" style="35" customWidth="1"/>
    <col min="516" max="519" width="9" style="35"/>
    <col min="520" max="520" width="8" style="35" customWidth="1"/>
    <col min="521" max="521" width="7.08984375" style="35" customWidth="1"/>
    <col min="522" max="522" width="27.7265625" style="35" customWidth="1"/>
    <col min="523" max="768" width="9" style="35"/>
    <col min="769" max="769" width="3.26953125" style="35" customWidth="1"/>
    <col min="770" max="770" width="4.6328125" style="35" customWidth="1"/>
    <col min="771" max="771" width="3.08984375" style="35" customWidth="1"/>
    <col min="772" max="775" width="9" style="35"/>
    <col min="776" max="776" width="8" style="35" customWidth="1"/>
    <col min="777" max="777" width="7.08984375" style="35" customWidth="1"/>
    <col min="778" max="778" width="27.7265625" style="35" customWidth="1"/>
    <col min="779" max="1024" width="9" style="35"/>
    <col min="1025" max="1025" width="3.26953125" style="35" customWidth="1"/>
    <col min="1026" max="1026" width="4.6328125" style="35" customWidth="1"/>
    <col min="1027" max="1027" width="3.08984375" style="35" customWidth="1"/>
    <col min="1028" max="1031" width="9" style="35"/>
    <col min="1032" max="1032" width="8" style="35" customWidth="1"/>
    <col min="1033" max="1033" width="7.08984375" style="35" customWidth="1"/>
    <col min="1034" max="1034" width="27.7265625" style="35" customWidth="1"/>
    <col min="1035" max="1280" width="9" style="35"/>
    <col min="1281" max="1281" width="3.26953125" style="35" customWidth="1"/>
    <col min="1282" max="1282" width="4.6328125" style="35" customWidth="1"/>
    <col min="1283" max="1283" width="3.08984375" style="35" customWidth="1"/>
    <col min="1284" max="1287" width="9" style="35"/>
    <col min="1288" max="1288" width="8" style="35" customWidth="1"/>
    <col min="1289" max="1289" width="7.08984375" style="35" customWidth="1"/>
    <col min="1290" max="1290" width="27.7265625" style="35" customWidth="1"/>
    <col min="1291" max="1536" width="9" style="35"/>
    <col min="1537" max="1537" width="3.26953125" style="35" customWidth="1"/>
    <col min="1538" max="1538" width="4.6328125" style="35" customWidth="1"/>
    <col min="1539" max="1539" width="3.08984375" style="35" customWidth="1"/>
    <col min="1540" max="1543" width="9" style="35"/>
    <col min="1544" max="1544" width="8" style="35" customWidth="1"/>
    <col min="1545" max="1545" width="7.08984375" style="35" customWidth="1"/>
    <col min="1546" max="1546" width="27.7265625" style="35" customWidth="1"/>
    <col min="1547" max="1792" width="9" style="35"/>
    <col min="1793" max="1793" width="3.26953125" style="35" customWidth="1"/>
    <col min="1794" max="1794" width="4.6328125" style="35" customWidth="1"/>
    <col min="1795" max="1795" width="3.08984375" style="35" customWidth="1"/>
    <col min="1796" max="1799" width="9" style="35"/>
    <col min="1800" max="1800" width="8" style="35" customWidth="1"/>
    <col min="1801" max="1801" width="7.08984375" style="35" customWidth="1"/>
    <col min="1802" max="1802" width="27.7265625" style="35" customWidth="1"/>
    <col min="1803" max="2048" width="9" style="35"/>
    <col min="2049" max="2049" width="3.26953125" style="35" customWidth="1"/>
    <col min="2050" max="2050" width="4.6328125" style="35" customWidth="1"/>
    <col min="2051" max="2051" width="3.08984375" style="35" customWidth="1"/>
    <col min="2052" max="2055" width="9" style="35"/>
    <col min="2056" max="2056" width="8" style="35" customWidth="1"/>
    <col min="2057" max="2057" width="7.08984375" style="35" customWidth="1"/>
    <col min="2058" max="2058" width="27.7265625" style="35" customWidth="1"/>
    <col min="2059" max="2304" width="9" style="35"/>
    <col min="2305" max="2305" width="3.26953125" style="35" customWidth="1"/>
    <col min="2306" max="2306" width="4.6328125" style="35" customWidth="1"/>
    <col min="2307" max="2307" width="3.08984375" style="35" customWidth="1"/>
    <col min="2308" max="2311" width="9" style="35"/>
    <col min="2312" max="2312" width="8" style="35" customWidth="1"/>
    <col min="2313" max="2313" width="7.08984375" style="35" customWidth="1"/>
    <col min="2314" max="2314" width="27.7265625" style="35" customWidth="1"/>
    <col min="2315" max="2560" width="9" style="35"/>
    <col min="2561" max="2561" width="3.26953125" style="35" customWidth="1"/>
    <col min="2562" max="2562" width="4.6328125" style="35" customWidth="1"/>
    <col min="2563" max="2563" width="3.08984375" style="35" customWidth="1"/>
    <col min="2564" max="2567" width="9" style="35"/>
    <col min="2568" max="2568" width="8" style="35" customWidth="1"/>
    <col min="2569" max="2569" width="7.08984375" style="35" customWidth="1"/>
    <col min="2570" max="2570" width="27.7265625" style="35" customWidth="1"/>
    <col min="2571" max="2816" width="9" style="35"/>
    <col min="2817" max="2817" width="3.26953125" style="35" customWidth="1"/>
    <col min="2818" max="2818" width="4.6328125" style="35" customWidth="1"/>
    <col min="2819" max="2819" width="3.08984375" style="35" customWidth="1"/>
    <col min="2820" max="2823" width="9" style="35"/>
    <col min="2824" max="2824" width="8" style="35" customWidth="1"/>
    <col min="2825" max="2825" width="7.08984375" style="35" customWidth="1"/>
    <col min="2826" max="2826" width="27.7265625" style="35" customWidth="1"/>
    <col min="2827" max="3072" width="9" style="35"/>
    <col min="3073" max="3073" width="3.26953125" style="35" customWidth="1"/>
    <col min="3074" max="3074" width="4.6328125" style="35" customWidth="1"/>
    <col min="3075" max="3075" width="3.08984375" style="35" customWidth="1"/>
    <col min="3076" max="3079" width="9" style="35"/>
    <col min="3080" max="3080" width="8" style="35" customWidth="1"/>
    <col min="3081" max="3081" width="7.08984375" style="35" customWidth="1"/>
    <col min="3082" max="3082" width="27.7265625" style="35" customWidth="1"/>
    <col min="3083" max="3328" width="9" style="35"/>
    <col min="3329" max="3329" width="3.26953125" style="35" customWidth="1"/>
    <col min="3330" max="3330" width="4.6328125" style="35" customWidth="1"/>
    <col min="3331" max="3331" width="3.08984375" style="35" customWidth="1"/>
    <col min="3332" max="3335" width="9" style="35"/>
    <col min="3336" max="3336" width="8" style="35" customWidth="1"/>
    <col min="3337" max="3337" width="7.08984375" style="35" customWidth="1"/>
    <col min="3338" max="3338" width="27.7265625" style="35" customWidth="1"/>
    <col min="3339" max="3584" width="9" style="35"/>
    <col min="3585" max="3585" width="3.26953125" style="35" customWidth="1"/>
    <col min="3586" max="3586" width="4.6328125" style="35" customWidth="1"/>
    <col min="3587" max="3587" width="3.08984375" style="35" customWidth="1"/>
    <col min="3588" max="3591" width="9" style="35"/>
    <col min="3592" max="3592" width="8" style="35" customWidth="1"/>
    <col min="3593" max="3593" width="7.08984375" style="35" customWidth="1"/>
    <col min="3594" max="3594" width="27.7265625" style="35" customWidth="1"/>
    <col min="3595" max="3840" width="9" style="35"/>
    <col min="3841" max="3841" width="3.26953125" style="35" customWidth="1"/>
    <col min="3842" max="3842" width="4.6328125" style="35" customWidth="1"/>
    <col min="3843" max="3843" width="3.08984375" style="35" customWidth="1"/>
    <col min="3844" max="3847" width="9" style="35"/>
    <col min="3848" max="3848" width="8" style="35" customWidth="1"/>
    <col min="3849" max="3849" width="7.08984375" style="35" customWidth="1"/>
    <col min="3850" max="3850" width="27.7265625" style="35" customWidth="1"/>
    <col min="3851" max="4096" width="9" style="35"/>
    <col min="4097" max="4097" width="3.26953125" style="35" customWidth="1"/>
    <col min="4098" max="4098" width="4.6328125" style="35" customWidth="1"/>
    <col min="4099" max="4099" width="3.08984375" style="35" customWidth="1"/>
    <col min="4100" max="4103" width="9" style="35"/>
    <col min="4104" max="4104" width="8" style="35" customWidth="1"/>
    <col min="4105" max="4105" width="7.08984375" style="35" customWidth="1"/>
    <col min="4106" max="4106" width="27.7265625" style="35" customWidth="1"/>
    <col min="4107" max="4352" width="9" style="35"/>
    <col min="4353" max="4353" width="3.26953125" style="35" customWidth="1"/>
    <col min="4354" max="4354" width="4.6328125" style="35" customWidth="1"/>
    <col min="4355" max="4355" width="3.08984375" style="35" customWidth="1"/>
    <col min="4356" max="4359" width="9" style="35"/>
    <col min="4360" max="4360" width="8" style="35" customWidth="1"/>
    <col min="4361" max="4361" width="7.08984375" style="35" customWidth="1"/>
    <col min="4362" max="4362" width="27.7265625" style="35" customWidth="1"/>
    <col min="4363" max="4608" width="9" style="35"/>
    <col min="4609" max="4609" width="3.26953125" style="35" customWidth="1"/>
    <col min="4610" max="4610" width="4.6328125" style="35" customWidth="1"/>
    <col min="4611" max="4611" width="3.08984375" style="35" customWidth="1"/>
    <col min="4612" max="4615" width="9" style="35"/>
    <col min="4616" max="4616" width="8" style="35" customWidth="1"/>
    <col min="4617" max="4617" width="7.08984375" style="35" customWidth="1"/>
    <col min="4618" max="4618" width="27.7265625" style="35" customWidth="1"/>
    <col min="4619" max="4864" width="9" style="35"/>
    <col min="4865" max="4865" width="3.26953125" style="35" customWidth="1"/>
    <col min="4866" max="4866" width="4.6328125" style="35" customWidth="1"/>
    <col min="4867" max="4867" width="3.08984375" style="35" customWidth="1"/>
    <col min="4868" max="4871" width="9" style="35"/>
    <col min="4872" max="4872" width="8" style="35" customWidth="1"/>
    <col min="4873" max="4873" width="7.08984375" style="35" customWidth="1"/>
    <col min="4874" max="4874" width="27.7265625" style="35" customWidth="1"/>
    <col min="4875" max="5120" width="9" style="35"/>
    <col min="5121" max="5121" width="3.26953125" style="35" customWidth="1"/>
    <col min="5122" max="5122" width="4.6328125" style="35" customWidth="1"/>
    <col min="5123" max="5123" width="3.08984375" style="35" customWidth="1"/>
    <col min="5124" max="5127" width="9" style="35"/>
    <col min="5128" max="5128" width="8" style="35" customWidth="1"/>
    <col min="5129" max="5129" width="7.08984375" style="35" customWidth="1"/>
    <col min="5130" max="5130" width="27.7265625" style="35" customWidth="1"/>
    <col min="5131" max="5376" width="9" style="35"/>
    <col min="5377" max="5377" width="3.26953125" style="35" customWidth="1"/>
    <col min="5378" max="5378" width="4.6328125" style="35" customWidth="1"/>
    <col min="5379" max="5379" width="3.08984375" style="35" customWidth="1"/>
    <col min="5380" max="5383" width="9" style="35"/>
    <col min="5384" max="5384" width="8" style="35" customWidth="1"/>
    <col min="5385" max="5385" width="7.08984375" style="35" customWidth="1"/>
    <col min="5386" max="5386" width="27.7265625" style="35" customWidth="1"/>
    <col min="5387" max="5632" width="9" style="35"/>
    <col min="5633" max="5633" width="3.26953125" style="35" customWidth="1"/>
    <col min="5634" max="5634" width="4.6328125" style="35" customWidth="1"/>
    <col min="5635" max="5635" width="3.08984375" style="35" customWidth="1"/>
    <col min="5636" max="5639" width="9" style="35"/>
    <col min="5640" max="5640" width="8" style="35" customWidth="1"/>
    <col min="5641" max="5641" width="7.08984375" style="35" customWidth="1"/>
    <col min="5642" max="5642" width="27.7265625" style="35" customWidth="1"/>
    <col min="5643" max="5888" width="9" style="35"/>
    <col min="5889" max="5889" width="3.26953125" style="35" customWidth="1"/>
    <col min="5890" max="5890" width="4.6328125" style="35" customWidth="1"/>
    <col min="5891" max="5891" width="3.08984375" style="35" customWidth="1"/>
    <col min="5892" max="5895" width="9" style="35"/>
    <col min="5896" max="5896" width="8" style="35" customWidth="1"/>
    <col min="5897" max="5897" width="7.08984375" style="35" customWidth="1"/>
    <col min="5898" max="5898" width="27.7265625" style="35" customWidth="1"/>
    <col min="5899" max="6144" width="9" style="35"/>
    <col min="6145" max="6145" width="3.26953125" style="35" customWidth="1"/>
    <col min="6146" max="6146" width="4.6328125" style="35" customWidth="1"/>
    <col min="6147" max="6147" width="3.08984375" style="35" customWidth="1"/>
    <col min="6148" max="6151" width="9" style="35"/>
    <col min="6152" max="6152" width="8" style="35" customWidth="1"/>
    <col min="6153" max="6153" width="7.08984375" style="35" customWidth="1"/>
    <col min="6154" max="6154" width="27.7265625" style="35" customWidth="1"/>
    <col min="6155" max="6400" width="9" style="35"/>
    <col min="6401" max="6401" width="3.26953125" style="35" customWidth="1"/>
    <col min="6402" max="6402" width="4.6328125" style="35" customWidth="1"/>
    <col min="6403" max="6403" width="3.08984375" style="35" customWidth="1"/>
    <col min="6404" max="6407" width="9" style="35"/>
    <col min="6408" max="6408" width="8" style="35" customWidth="1"/>
    <col min="6409" max="6409" width="7.08984375" style="35" customWidth="1"/>
    <col min="6410" max="6410" width="27.7265625" style="35" customWidth="1"/>
    <col min="6411" max="6656" width="9" style="35"/>
    <col min="6657" max="6657" width="3.26953125" style="35" customWidth="1"/>
    <col min="6658" max="6658" width="4.6328125" style="35" customWidth="1"/>
    <col min="6659" max="6659" width="3.08984375" style="35" customWidth="1"/>
    <col min="6660" max="6663" width="9" style="35"/>
    <col min="6664" max="6664" width="8" style="35" customWidth="1"/>
    <col min="6665" max="6665" width="7.08984375" style="35" customWidth="1"/>
    <col min="6666" max="6666" width="27.7265625" style="35" customWidth="1"/>
    <col min="6667" max="6912" width="9" style="35"/>
    <col min="6913" max="6913" width="3.26953125" style="35" customWidth="1"/>
    <col min="6914" max="6914" width="4.6328125" style="35" customWidth="1"/>
    <col min="6915" max="6915" width="3.08984375" style="35" customWidth="1"/>
    <col min="6916" max="6919" width="9" style="35"/>
    <col min="6920" max="6920" width="8" style="35" customWidth="1"/>
    <col min="6921" max="6921" width="7.08984375" style="35" customWidth="1"/>
    <col min="6922" max="6922" width="27.7265625" style="35" customWidth="1"/>
    <col min="6923" max="7168" width="9" style="35"/>
    <col min="7169" max="7169" width="3.26953125" style="35" customWidth="1"/>
    <col min="7170" max="7170" width="4.6328125" style="35" customWidth="1"/>
    <col min="7171" max="7171" width="3.08984375" style="35" customWidth="1"/>
    <col min="7172" max="7175" width="9" style="35"/>
    <col min="7176" max="7176" width="8" style="35" customWidth="1"/>
    <col min="7177" max="7177" width="7.08984375" style="35" customWidth="1"/>
    <col min="7178" max="7178" width="27.7265625" style="35" customWidth="1"/>
    <col min="7179" max="7424" width="9" style="35"/>
    <col min="7425" max="7425" width="3.26953125" style="35" customWidth="1"/>
    <col min="7426" max="7426" width="4.6328125" style="35" customWidth="1"/>
    <col min="7427" max="7427" width="3.08984375" style="35" customWidth="1"/>
    <col min="7428" max="7431" width="9" style="35"/>
    <col min="7432" max="7432" width="8" style="35" customWidth="1"/>
    <col min="7433" max="7433" width="7.08984375" style="35" customWidth="1"/>
    <col min="7434" max="7434" width="27.7265625" style="35" customWidth="1"/>
    <col min="7435" max="7680" width="9" style="35"/>
    <col min="7681" max="7681" width="3.26953125" style="35" customWidth="1"/>
    <col min="7682" max="7682" width="4.6328125" style="35" customWidth="1"/>
    <col min="7683" max="7683" width="3.08984375" style="35" customWidth="1"/>
    <col min="7684" max="7687" width="9" style="35"/>
    <col min="7688" max="7688" width="8" style="35" customWidth="1"/>
    <col min="7689" max="7689" width="7.08984375" style="35" customWidth="1"/>
    <col min="7690" max="7690" width="27.7265625" style="35" customWidth="1"/>
    <col min="7691" max="7936" width="9" style="35"/>
    <col min="7937" max="7937" width="3.26953125" style="35" customWidth="1"/>
    <col min="7938" max="7938" width="4.6328125" style="35" customWidth="1"/>
    <col min="7939" max="7939" width="3.08984375" style="35" customWidth="1"/>
    <col min="7940" max="7943" width="9" style="35"/>
    <col min="7944" max="7944" width="8" style="35" customWidth="1"/>
    <col min="7945" max="7945" width="7.08984375" style="35" customWidth="1"/>
    <col min="7946" max="7946" width="27.7265625" style="35" customWidth="1"/>
    <col min="7947" max="8192" width="9" style="35"/>
    <col min="8193" max="8193" width="3.26953125" style="35" customWidth="1"/>
    <col min="8194" max="8194" width="4.6328125" style="35" customWidth="1"/>
    <col min="8195" max="8195" width="3.08984375" style="35" customWidth="1"/>
    <col min="8196" max="8199" width="9" style="35"/>
    <col min="8200" max="8200" width="8" style="35" customWidth="1"/>
    <col min="8201" max="8201" width="7.08984375" style="35" customWidth="1"/>
    <col min="8202" max="8202" width="27.7265625" style="35" customWidth="1"/>
    <col min="8203" max="8448" width="9" style="35"/>
    <col min="8449" max="8449" width="3.26953125" style="35" customWidth="1"/>
    <col min="8450" max="8450" width="4.6328125" style="35" customWidth="1"/>
    <col min="8451" max="8451" width="3.08984375" style="35" customWidth="1"/>
    <col min="8452" max="8455" width="9" style="35"/>
    <col min="8456" max="8456" width="8" style="35" customWidth="1"/>
    <col min="8457" max="8457" width="7.08984375" style="35" customWidth="1"/>
    <col min="8458" max="8458" width="27.7265625" style="35" customWidth="1"/>
    <col min="8459" max="8704" width="9" style="35"/>
    <col min="8705" max="8705" width="3.26953125" style="35" customWidth="1"/>
    <col min="8706" max="8706" width="4.6328125" style="35" customWidth="1"/>
    <col min="8707" max="8707" width="3.08984375" style="35" customWidth="1"/>
    <col min="8708" max="8711" width="9" style="35"/>
    <col min="8712" max="8712" width="8" style="35" customWidth="1"/>
    <col min="8713" max="8713" width="7.08984375" style="35" customWidth="1"/>
    <col min="8714" max="8714" width="27.7265625" style="35" customWidth="1"/>
    <col min="8715" max="8960" width="9" style="35"/>
    <col min="8961" max="8961" width="3.26953125" style="35" customWidth="1"/>
    <col min="8962" max="8962" width="4.6328125" style="35" customWidth="1"/>
    <col min="8963" max="8963" width="3.08984375" style="35" customWidth="1"/>
    <col min="8964" max="8967" width="9" style="35"/>
    <col min="8968" max="8968" width="8" style="35" customWidth="1"/>
    <col min="8969" max="8969" width="7.08984375" style="35" customWidth="1"/>
    <col min="8970" max="8970" width="27.7265625" style="35" customWidth="1"/>
    <col min="8971" max="9216" width="9" style="35"/>
    <col min="9217" max="9217" width="3.26953125" style="35" customWidth="1"/>
    <col min="9218" max="9218" width="4.6328125" style="35" customWidth="1"/>
    <col min="9219" max="9219" width="3.08984375" style="35" customWidth="1"/>
    <col min="9220" max="9223" width="9" style="35"/>
    <col min="9224" max="9224" width="8" style="35" customWidth="1"/>
    <col min="9225" max="9225" width="7.08984375" style="35" customWidth="1"/>
    <col min="9226" max="9226" width="27.7265625" style="35" customWidth="1"/>
    <col min="9227" max="9472" width="9" style="35"/>
    <col min="9473" max="9473" width="3.26953125" style="35" customWidth="1"/>
    <col min="9474" max="9474" width="4.6328125" style="35" customWidth="1"/>
    <col min="9475" max="9475" width="3.08984375" style="35" customWidth="1"/>
    <col min="9476" max="9479" width="9" style="35"/>
    <col min="9480" max="9480" width="8" style="35" customWidth="1"/>
    <col min="9481" max="9481" width="7.08984375" style="35" customWidth="1"/>
    <col min="9482" max="9482" width="27.7265625" style="35" customWidth="1"/>
    <col min="9483" max="9728" width="9" style="35"/>
    <col min="9729" max="9729" width="3.26953125" style="35" customWidth="1"/>
    <col min="9730" max="9730" width="4.6328125" style="35" customWidth="1"/>
    <col min="9731" max="9731" width="3.08984375" style="35" customWidth="1"/>
    <col min="9732" max="9735" width="9" style="35"/>
    <col min="9736" max="9736" width="8" style="35" customWidth="1"/>
    <col min="9737" max="9737" width="7.08984375" style="35" customWidth="1"/>
    <col min="9738" max="9738" width="27.7265625" style="35" customWidth="1"/>
    <col min="9739" max="9984" width="9" style="35"/>
    <col min="9985" max="9985" width="3.26953125" style="35" customWidth="1"/>
    <col min="9986" max="9986" width="4.6328125" style="35" customWidth="1"/>
    <col min="9987" max="9987" width="3.08984375" style="35" customWidth="1"/>
    <col min="9988" max="9991" width="9" style="35"/>
    <col min="9992" max="9992" width="8" style="35" customWidth="1"/>
    <col min="9993" max="9993" width="7.08984375" style="35" customWidth="1"/>
    <col min="9994" max="9994" width="27.7265625" style="35" customWidth="1"/>
    <col min="9995" max="10240" width="9" style="35"/>
    <col min="10241" max="10241" width="3.26953125" style="35" customWidth="1"/>
    <col min="10242" max="10242" width="4.6328125" style="35" customWidth="1"/>
    <col min="10243" max="10243" width="3.08984375" style="35" customWidth="1"/>
    <col min="10244" max="10247" width="9" style="35"/>
    <col min="10248" max="10248" width="8" style="35" customWidth="1"/>
    <col min="10249" max="10249" width="7.08984375" style="35" customWidth="1"/>
    <col min="10250" max="10250" width="27.7265625" style="35" customWidth="1"/>
    <col min="10251" max="10496" width="9" style="35"/>
    <col min="10497" max="10497" width="3.26953125" style="35" customWidth="1"/>
    <col min="10498" max="10498" width="4.6328125" style="35" customWidth="1"/>
    <col min="10499" max="10499" width="3.08984375" style="35" customWidth="1"/>
    <col min="10500" max="10503" width="9" style="35"/>
    <col min="10504" max="10504" width="8" style="35" customWidth="1"/>
    <col min="10505" max="10505" width="7.08984375" style="35" customWidth="1"/>
    <col min="10506" max="10506" width="27.7265625" style="35" customWidth="1"/>
    <col min="10507" max="10752" width="9" style="35"/>
    <col min="10753" max="10753" width="3.26953125" style="35" customWidth="1"/>
    <col min="10754" max="10754" width="4.6328125" style="35" customWidth="1"/>
    <col min="10755" max="10755" width="3.08984375" style="35" customWidth="1"/>
    <col min="10756" max="10759" width="9" style="35"/>
    <col min="10760" max="10760" width="8" style="35" customWidth="1"/>
    <col min="10761" max="10761" width="7.08984375" style="35" customWidth="1"/>
    <col min="10762" max="10762" width="27.7265625" style="35" customWidth="1"/>
    <col min="10763" max="11008" width="9" style="35"/>
    <col min="11009" max="11009" width="3.26953125" style="35" customWidth="1"/>
    <col min="11010" max="11010" width="4.6328125" style="35" customWidth="1"/>
    <col min="11011" max="11011" width="3.08984375" style="35" customWidth="1"/>
    <col min="11012" max="11015" width="9" style="35"/>
    <col min="11016" max="11016" width="8" style="35" customWidth="1"/>
    <col min="11017" max="11017" width="7.08984375" style="35" customWidth="1"/>
    <col min="11018" max="11018" width="27.7265625" style="35" customWidth="1"/>
    <col min="11019" max="11264" width="9" style="35"/>
    <col min="11265" max="11265" width="3.26953125" style="35" customWidth="1"/>
    <col min="11266" max="11266" width="4.6328125" style="35" customWidth="1"/>
    <col min="11267" max="11267" width="3.08984375" style="35" customWidth="1"/>
    <col min="11268" max="11271" width="9" style="35"/>
    <col min="11272" max="11272" width="8" style="35" customWidth="1"/>
    <col min="11273" max="11273" width="7.08984375" style="35" customWidth="1"/>
    <col min="11274" max="11274" width="27.7265625" style="35" customWidth="1"/>
    <col min="11275" max="11520" width="9" style="35"/>
    <col min="11521" max="11521" width="3.26953125" style="35" customWidth="1"/>
    <col min="11522" max="11522" width="4.6328125" style="35" customWidth="1"/>
    <col min="11523" max="11523" width="3.08984375" style="35" customWidth="1"/>
    <col min="11524" max="11527" width="9" style="35"/>
    <col min="11528" max="11528" width="8" style="35" customWidth="1"/>
    <col min="11529" max="11529" width="7.08984375" style="35" customWidth="1"/>
    <col min="11530" max="11530" width="27.7265625" style="35" customWidth="1"/>
    <col min="11531" max="11776" width="9" style="35"/>
    <col min="11777" max="11777" width="3.26953125" style="35" customWidth="1"/>
    <col min="11778" max="11778" width="4.6328125" style="35" customWidth="1"/>
    <col min="11779" max="11779" width="3.08984375" style="35" customWidth="1"/>
    <col min="11780" max="11783" width="9" style="35"/>
    <col min="11784" max="11784" width="8" style="35" customWidth="1"/>
    <col min="11785" max="11785" width="7.08984375" style="35" customWidth="1"/>
    <col min="11786" max="11786" width="27.7265625" style="35" customWidth="1"/>
    <col min="11787" max="12032" width="9" style="35"/>
    <col min="12033" max="12033" width="3.26953125" style="35" customWidth="1"/>
    <col min="12034" max="12034" width="4.6328125" style="35" customWidth="1"/>
    <col min="12035" max="12035" width="3.08984375" style="35" customWidth="1"/>
    <col min="12036" max="12039" width="9" style="35"/>
    <col min="12040" max="12040" width="8" style="35" customWidth="1"/>
    <col min="12041" max="12041" width="7.08984375" style="35" customWidth="1"/>
    <col min="12042" max="12042" width="27.7265625" style="35" customWidth="1"/>
    <col min="12043" max="12288" width="9" style="35"/>
    <col min="12289" max="12289" width="3.26953125" style="35" customWidth="1"/>
    <col min="12290" max="12290" width="4.6328125" style="35" customWidth="1"/>
    <col min="12291" max="12291" width="3.08984375" style="35" customWidth="1"/>
    <col min="12292" max="12295" width="9" style="35"/>
    <col min="12296" max="12296" width="8" style="35" customWidth="1"/>
    <col min="12297" max="12297" width="7.08984375" style="35" customWidth="1"/>
    <col min="12298" max="12298" width="27.7265625" style="35" customWidth="1"/>
    <col min="12299" max="12544" width="9" style="35"/>
    <col min="12545" max="12545" width="3.26953125" style="35" customWidth="1"/>
    <col min="12546" max="12546" width="4.6328125" style="35" customWidth="1"/>
    <col min="12547" max="12547" width="3.08984375" style="35" customWidth="1"/>
    <col min="12548" max="12551" width="9" style="35"/>
    <col min="12552" max="12552" width="8" style="35" customWidth="1"/>
    <col min="12553" max="12553" width="7.08984375" style="35" customWidth="1"/>
    <col min="12554" max="12554" width="27.7265625" style="35" customWidth="1"/>
    <col min="12555" max="12800" width="9" style="35"/>
    <col min="12801" max="12801" width="3.26953125" style="35" customWidth="1"/>
    <col min="12802" max="12802" width="4.6328125" style="35" customWidth="1"/>
    <col min="12803" max="12803" width="3.08984375" style="35" customWidth="1"/>
    <col min="12804" max="12807" width="9" style="35"/>
    <col min="12808" max="12808" width="8" style="35" customWidth="1"/>
    <col min="12809" max="12809" width="7.08984375" style="35" customWidth="1"/>
    <col min="12810" max="12810" width="27.7265625" style="35" customWidth="1"/>
    <col min="12811" max="13056" width="9" style="35"/>
    <col min="13057" max="13057" width="3.26953125" style="35" customWidth="1"/>
    <col min="13058" max="13058" width="4.6328125" style="35" customWidth="1"/>
    <col min="13059" max="13059" width="3.08984375" style="35" customWidth="1"/>
    <col min="13060" max="13063" width="9" style="35"/>
    <col min="13064" max="13064" width="8" style="35" customWidth="1"/>
    <col min="13065" max="13065" width="7.08984375" style="35" customWidth="1"/>
    <col min="13066" max="13066" width="27.7265625" style="35" customWidth="1"/>
    <col min="13067" max="13312" width="9" style="35"/>
    <col min="13313" max="13313" width="3.26953125" style="35" customWidth="1"/>
    <col min="13314" max="13314" width="4.6328125" style="35" customWidth="1"/>
    <col min="13315" max="13315" width="3.08984375" style="35" customWidth="1"/>
    <col min="13316" max="13319" width="9" style="35"/>
    <col min="13320" max="13320" width="8" style="35" customWidth="1"/>
    <col min="13321" max="13321" width="7.08984375" style="35" customWidth="1"/>
    <col min="13322" max="13322" width="27.7265625" style="35" customWidth="1"/>
    <col min="13323" max="13568" width="9" style="35"/>
    <col min="13569" max="13569" width="3.26953125" style="35" customWidth="1"/>
    <col min="13570" max="13570" width="4.6328125" style="35" customWidth="1"/>
    <col min="13571" max="13571" width="3.08984375" style="35" customWidth="1"/>
    <col min="13572" max="13575" width="9" style="35"/>
    <col min="13576" max="13576" width="8" style="35" customWidth="1"/>
    <col min="13577" max="13577" width="7.08984375" style="35" customWidth="1"/>
    <col min="13578" max="13578" width="27.7265625" style="35" customWidth="1"/>
    <col min="13579" max="13824" width="9" style="35"/>
    <col min="13825" max="13825" width="3.26953125" style="35" customWidth="1"/>
    <col min="13826" max="13826" width="4.6328125" style="35" customWidth="1"/>
    <col min="13827" max="13827" width="3.08984375" style="35" customWidth="1"/>
    <col min="13828" max="13831" width="9" style="35"/>
    <col min="13832" max="13832" width="8" style="35" customWidth="1"/>
    <col min="13833" max="13833" width="7.08984375" style="35" customWidth="1"/>
    <col min="13834" max="13834" width="27.7265625" style="35" customWidth="1"/>
    <col min="13835" max="14080" width="9" style="35"/>
    <col min="14081" max="14081" width="3.26953125" style="35" customWidth="1"/>
    <col min="14082" max="14082" width="4.6328125" style="35" customWidth="1"/>
    <col min="14083" max="14083" width="3.08984375" style="35" customWidth="1"/>
    <col min="14084" max="14087" width="9" style="35"/>
    <col min="14088" max="14088" width="8" style="35" customWidth="1"/>
    <col min="14089" max="14089" width="7.08984375" style="35" customWidth="1"/>
    <col min="14090" max="14090" width="27.7265625" style="35" customWidth="1"/>
    <col min="14091" max="14336" width="9" style="35"/>
    <col min="14337" max="14337" width="3.26953125" style="35" customWidth="1"/>
    <col min="14338" max="14338" width="4.6328125" style="35" customWidth="1"/>
    <col min="14339" max="14339" width="3.08984375" style="35" customWidth="1"/>
    <col min="14340" max="14343" width="9" style="35"/>
    <col min="14344" max="14344" width="8" style="35" customWidth="1"/>
    <col min="14345" max="14345" width="7.08984375" style="35" customWidth="1"/>
    <col min="14346" max="14346" width="27.7265625" style="35" customWidth="1"/>
    <col min="14347" max="14592" width="9" style="35"/>
    <col min="14593" max="14593" width="3.26953125" style="35" customWidth="1"/>
    <col min="14594" max="14594" width="4.6328125" style="35" customWidth="1"/>
    <col min="14595" max="14595" width="3.08984375" style="35" customWidth="1"/>
    <col min="14596" max="14599" width="9" style="35"/>
    <col min="14600" max="14600" width="8" style="35" customWidth="1"/>
    <col min="14601" max="14601" width="7.08984375" style="35" customWidth="1"/>
    <col min="14602" max="14602" width="27.7265625" style="35" customWidth="1"/>
    <col min="14603" max="14848" width="9" style="35"/>
    <col min="14849" max="14849" width="3.26953125" style="35" customWidth="1"/>
    <col min="14850" max="14850" width="4.6328125" style="35" customWidth="1"/>
    <col min="14851" max="14851" width="3.08984375" style="35" customWidth="1"/>
    <col min="14852" max="14855" width="9" style="35"/>
    <col min="14856" max="14856" width="8" style="35" customWidth="1"/>
    <col min="14857" max="14857" width="7.08984375" style="35" customWidth="1"/>
    <col min="14858" max="14858" width="27.7265625" style="35" customWidth="1"/>
    <col min="14859" max="15104" width="9" style="35"/>
    <col min="15105" max="15105" width="3.26953125" style="35" customWidth="1"/>
    <col min="15106" max="15106" width="4.6328125" style="35" customWidth="1"/>
    <col min="15107" max="15107" width="3.08984375" style="35" customWidth="1"/>
    <col min="15108" max="15111" width="9" style="35"/>
    <col min="15112" max="15112" width="8" style="35" customWidth="1"/>
    <col min="15113" max="15113" width="7.08984375" style="35" customWidth="1"/>
    <col min="15114" max="15114" width="27.7265625" style="35" customWidth="1"/>
    <col min="15115" max="15360" width="9" style="35"/>
    <col min="15361" max="15361" width="3.26953125" style="35" customWidth="1"/>
    <col min="15362" max="15362" width="4.6328125" style="35" customWidth="1"/>
    <col min="15363" max="15363" width="3.08984375" style="35" customWidth="1"/>
    <col min="15364" max="15367" width="9" style="35"/>
    <col min="15368" max="15368" width="8" style="35" customWidth="1"/>
    <col min="15369" max="15369" width="7.08984375" style="35" customWidth="1"/>
    <col min="15370" max="15370" width="27.7265625" style="35" customWidth="1"/>
    <col min="15371" max="15616" width="9" style="35"/>
    <col min="15617" max="15617" width="3.26953125" style="35" customWidth="1"/>
    <col min="15618" max="15618" width="4.6328125" style="35" customWidth="1"/>
    <col min="15619" max="15619" width="3.08984375" style="35" customWidth="1"/>
    <col min="15620" max="15623" width="9" style="35"/>
    <col min="15624" max="15624" width="8" style="35" customWidth="1"/>
    <col min="15625" max="15625" width="7.08984375" style="35" customWidth="1"/>
    <col min="15626" max="15626" width="27.7265625" style="35" customWidth="1"/>
    <col min="15627" max="15872" width="9" style="35"/>
    <col min="15873" max="15873" width="3.26953125" style="35" customWidth="1"/>
    <col min="15874" max="15874" width="4.6328125" style="35" customWidth="1"/>
    <col min="15875" max="15875" width="3.08984375" style="35" customWidth="1"/>
    <col min="15876" max="15879" width="9" style="35"/>
    <col min="15880" max="15880" width="8" style="35" customWidth="1"/>
    <col min="15881" max="15881" width="7.08984375" style="35" customWidth="1"/>
    <col min="15882" max="15882" width="27.7265625" style="35" customWidth="1"/>
    <col min="15883" max="16128" width="9" style="35"/>
    <col min="16129" max="16129" width="3.26953125" style="35" customWidth="1"/>
    <col min="16130" max="16130" width="4.6328125" style="35" customWidth="1"/>
    <col min="16131" max="16131" width="3.08984375" style="35" customWidth="1"/>
    <col min="16132" max="16135" width="9" style="35"/>
    <col min="16136" max="16136" width="8" style="35" customWidth="1"/>
    <col min="16137" max="16137" width="7.08984375" style="35" customWidth="1"/>
    <col min="16138" max="16138" width="27.7265625" style="35" customWidth="1"/>
    <col min="16139" max="16384" width="9" style="35"/>
  </cols>
  <sheetData>
    <row r="1" spans="1:10">
      <c r="A1" s="36" t="s">
        <v>85</v>
      </c>
    </row>
    <row r="2" spans="1:10" s="84" customFormat="1" ht="24" customHeight="1" thickBot="1">
      <c r="A2" s="110"/>
      <c r="B2" s="418" t="s">
        <v>338</v>
      </c>
      <c r="C2" s="418"/>
      <c r="D2" s="418"/>
      <c r="E2" s="418"/>
      <c r="F2" s="418"/>
      <c r="G2" s="418"/>
      <c r="H2" s="418"/>
      <c r="I2" s="418"/>
      <c r="J2" s="418"/>
    </row>
    <row r="3" spans="1:10" ht="14.25" customHeight="1" thickTop="1" thickBot="1">
      <c r="B3" s="41" t="s">
        <v>87</v>
      </c>
      <c r="C3" s="41" t="s">
        <v>88</v>
      </c>
      <c r="D3" s="41"/>
      <c r="E3" s="42"/>
    </row>
    <row r="4" spans="1:10" ht="14.25" customHeight="1">
      <c r="B4" s="419" t="s">
        <v>339</v>
      </c>
      <c r="C4" s="111" t="s">
        <v>340</v>
      </c>
      <c r="D4" s="111"/>
      <c r="E4" s="111"/>
      <c r="F4" s="111"/>
      <c r="G4" s="111"/>
      <c r="H4" s="111"/>
      <c r="I4" s="111"/>
      <c r="J4" s="112"/>
    </row>
    <row r="5" spans="1:10" ht="14.25" customHeight="1" thickBot="1">
      <c r="B5" s="420"/>
      <c r="C5" s="421"/>
      <c r="D5" s="422"/>
      <c r="E5" s="423"/>
      <c r="F5" s="423"/>
      <c r="G5" s="423"/>
      <c r="H5" s="423"/>
      <c r="I5" s="423"/>
      <c r="J5" s="424"/>
    </row>
    <row r="6" spans="1:10">
      <c r="B6" s="116"/>
      <c r="D6" s="67"/>
      <c r="E6" s="67"/>
      <c r="F6" s="67"/>
      <c r="G6" s="67"/>
      <c r="H6" s="67"/>
      <c r="I6" s="67"/>
      <c r="J6" s="58"/>
    </row>
    <row r="7" spans="1:10">
      <c r="B7" s="117"/>
      <c r="C7" s="118"/>
      <c r="D7" s="247"/>
      <c r="E7" s="67"/>
      <c r="F7" s="67"/>
      <c r="G7" s="67"/>
      <c r="H7" s="67"/>
      <c r="I7" s="67"/>
      <c r="J7" s="58"/>
    </row>
    <row r="8" spans="1:10">
      <c r="B8" s="116"/>
      <c r="D8" s="67"/>
      <c r="E8" s="67"/>
      <c r="F8" s="67"/>
      <c r="G8" s="67"/>
      <c r="H8" s="67"/>
      <c r="I8" s="67"/>
      <c r="J8" s="58"/>
    </row>
    <row r="9" spans="1:10">
      <c r="B9" s="116"/>
      <c r="D9" s="67"/>
      <c r="E9" s="67"/>
      <c r="F9" s="67"/>
      <c r="G9" s="67"/>
      <c r="H9" s="67"/>
      <c r="I9" s="67"/>
      <c r="J9" s="58"/>
    </row>
    <row r="10" spans="1:10">
      <c r="B10" s="116"/>
      <c r="D10" s="67"/>
      <c r="E10" s="67"/>
      <c r="F10" s="67"/>
      <c r="G10" s="67"/>
      <c r="H10" s="67"/>
      <c r="I10" s="67"/>
      <c r="J10" s="58"/>
    </row>
    <row r="11" spans="1:10">
      <c r="B11" s="116"/>
      <c r="D11" s="67"/>
      <c r="E11" s="67"/>
      <c r="F11" s="67"/>
      <c r="G11" s="67"/>
      <c r="H11" s="67"/>
      <c r="I11" s="67"/>
      <c r="J11" s="58"/>
    </row>
    <row r="12" spans="1:10">
      <c r="B12" s="116"/>
      <c r="C12" s="178"/>
      <c r="D12" s="67"/>
      <c r="E12" s="67"/>
      <c r="F12" s="67"/>
      <c r="G12" s="67"/>
      <c r="H12" s="67"/>
      <c r="I12" s="178" t="s">
        <v>199</v>
      </c>
      <c r="J12" s="58"/>
    </row>
    <row r="13" spans="1:10" ht="15.5" thickBot="1">
      <c r="B13" s="123"/>
      <c r="C13" s="124"/>
      <c r="D13" s="125"/>
      <c r="E13" s="125"/>
      <c r="F13" s="125"/>
      <c r="G13" s="125"/>
      <c r="H13" s="125"/>
      <c r="I13" s="125"/>
      <c r="J13" s="126"/>
    </row>
    <row r="14" spans="1:10" ht="14.25" customHeight="1">
      <c r="B14" s="419" t="s">
        <v>341</v>
      </c>
      <c r="C14" s="111" t="s">
        <v>342</v>
      </c>
      <c r="D14" s="111"/>
      <c r="E14" s="111"/>
      <c r="F14" s="111"/>
      <c r="G14" s="111"/>
      <c r="H14" s="111"/>
      <c r="I14" s="111"/>
      <c r="J14" s="112"/>
    </row>
    <row r="15" spans="1:10" ht="14.25" customHeight="1" thickBot="1">
      <c r="B15" s="420"/>
      <c r="C15" s="421"/>
      <c r="D15" s="422"/>
      <c r="E15" s="423"/>
      <c r="F15" s="423"/>
      <c r="G15" s="423"/>
      <c r="H15" s="423"/>
      <c r="I15" s="423"/>
      <c r="J15" s="424"/>
    </row>
    <row r="16" spans="1:10">
      <c r="B16" s="116"/>
      <c r="D16" s="67"/>
      <c r="E16" s="67"/>
      <c r="F16" s="67"/>
      <c r="G16" s="67"/>
      <c r="H16" s="67"/>
      <c r="I16" s="67"/>
      <c r="J16" s="58"/>
    </row>
    <row r="17" spans="2:10">
      <c r="B17" s="117"/>
      <c r="C17" s="118"/>
      <c r="D17" s="67"/>
      <c r="E17" s="67"/>
      <c r="F17" s="67"/>
      <c r="G17" s="67"/>
      <c r="H17" s="67"/>
      <c r="I17" s="67"/>
      <c r="J17" s="58"/>
    </row>
    <row r="18" spans="2:10">
      <c r="B18" s="117"/>
      <c r="C18" s="118"/>
      <c r="D18" s="67"/>
      <c r="E18" s="67"/>
      <c r="F18" s="67"/>
      <c r="G18" s="67"/>
      <c r="H18" s="67"/>
      <c r="I18" s="67"/>
      <c r="J18" s="58"/>
    </row>
    <row r="19" spans="2:10">
      <c r="B19" s="117"/>
      <c r="C19" s="118"/>
      <c r="D19" s="67"/>
      <c r="E19" s="67"/>
      <c r="F19" s="67"/>
      <c r="G19" s="67"/>
      <c r="H19" s="67"/>
      <c r="I19" s="67"/>
      <c r="J19" s="58"/>
    </row>
    <row r="20" spans="2:10">
      <c r="B20" s="117"/>
      <c r="C20" s="118"/>
      <c r="D20" s="67"/>
      <c r="E20" s="67"/>
      <c r="F20" s="67"/>
      <c r="G20" s="67"/>
      <c r="H20" s="67"/>
      <c r="I20" s="67"/>
      <c r="J20" s="58"/>
    </row>
    <row r="21" spans="2:10">
      <c r="B21" s="117"/>
      <c r="C21" s="118"/>
      <c r="D21" s="67"/>
      <c r="E21" s="67"/>
      <c r="F21" s="67"/>
      <c r="G21" s="67"/>
      <c r="H21" s="67"/>
      <c r="I21" s="67"/>
      <c r="J21" s="58"/>
    </row>
    <row r="22" spans="2:10">
      <c r="B22" s="116"/>
      <c r="C22" s="178"/>
      <c r="D22" s="67"/>
      <c r="E22" s="67"/>
      <c r="F22" s="67"/>
      <c r="G22" s="67"/>
      <c r="H22" s="67"/>
      <c r="I22" s="178" t="s">
        <v>199</v>
      </c>
      <c r="J22" s="58"/>
    </row>
    <row r="23" spans="2:10" ht="15.5" thickBot="1">
      <c r="B23" s="123"/>
      <c r="C23" s="124"/>
      <c r="D23" s="125"/>
      <c r="E23" s="125"/>
      <c r="F23" s="125"/>
      <c r="G23" s="125"/>
      <c r="H23" s="125"/>
      <c r="I23" s="125"/>
      <c r="J23" s="126"/>
    </row>
    <row r="24" spans="2:10" ht="14.25" customHeight="1">
      <c r="B24" s="419" t="s">
        <v>343</v>
      </c>
      <c r="C24" s="111" t="s">
        <v>344</v>
      </c>
      <c r="D24" s="111"/>
      <c r="E24" s="111"/>
      <c r="F24" s="111"/>
      <c r="G24" s="111"/>
      <c r="H24" s="111"/>
      <c r="I24" s="111"/>
      <c r="J24" s="112"/>
    </row>
    <row r="25" spans="2:10" ht="14.25" customHeight="1" thickBot="1">
      <c r="B25" s="420"/>
      <c r="C25" s="421"/>
      <c r="D25" s="422"/>
      <c r="E25" s="423"/>
      <c r="F25" s="423"/>
      <c r="G25" s="423"/>
      <c r="H25" s="423"/>
      <c r="I25" s="423"/>
      <c r="J25" s="424"/>
    </row>
    <row r="26" spans="2:10">
      <c r="B26" s="116"/>
      <c r="D26" s="67"/>
      <c r="E26" s="67"/>
      <c r="F26" s="67"/>
      <c r="G26" s="67"/>
      <c r="H26" s="67"/>
      <c r="I26" s="67"/>
      <c r="J26" s="58"/>
    </row>
    <row r="27" spans="2:10">
      <c r="B27" s="117"/>
      <c r="C27" s="118"/>
      <c r="D27" s="67"/>
      <c r="E27" s="67"/>
      <c r="F27" s="67"/>
      <c r="G27" s="67"/>
      <c r="H27" s="67"/>
      <c r="I27" s="67"/>
      <c r="J27" s="58"/>
    </row>
    <row r="28" spans="2:10">
      <c r="B28" s="117"/>
      <c r="C28" s="118"/>
      <c r="D28" s="67"/>
      <c r="E28" s="67"/>
      <c r="F28" s="67"/>
      <c r="G28" s="67"/>
      <c r="H28" s="67"/>
      <c r="I28" s="67"/>
      <c r="J28" s="58"/>
    </row>
    <row r="29" spans="2:10">
      <c r="B29" s="117"/>
      <c r="C29" s="118"/>
      <c r="D29" s="67"/>
      <c r="E29" s="67"/>
      <c r="F29" s="67"/>
      <c r="G29" s="67"/>
      <c r="H29" s="67"/>
      <c r="I29" s="67"/>
      <c r="J29" s="58"/>
    </row>
    <row r="30" spans="2:10">
      <c r="B30" s="117"/>
      <c r="C30" s="118"/>
      <c r="D30" s="67"/>
      <c r="E30" s="67"/>
      <c r="F30" s="178" t="s">
        <v>345</v>
      </c>
      <c r="G30" s="67"/>
      <c r="H30" s="67"/>
      <c r="I30" s="67"/>
      <c r="J30" s="58"/>
    </row>
    <row r="31" spans="2:10" ht="15.5" thickBot="1">
      <c r="B31" s="131"/>
      <c r="C31" s="132"/>
      <c r="D31" s="81"/>
      <c r="E31" s="81"/>
      <c r="F31" s="81"/>
      <c r="G31" s="81"/>
      <c r="H31" s="81"/>
      <c r="I31" s="81"/>
      <c r="J31" s="82"/>
    </row>
  </sheetData>
  <mergeCells count="10">
    <mergeCell ref="B24:B25"/>
    <mergeCell ref="C25:D25"/>
    <mergeCell ref="E25:J25"/>
    <mergeCell ref="B2:J2"/>
    <mergeCell ref="B4:B5"/>
    <mergeCell ref="C5:D5"/>
    <mergeCell ref="E5:J5"/>
    <mergeCell ref="B14:B15"/>
    <mergeCell ref="C15:D15"/>
    <mergeCell ref="E15:J15"/>
  </mergeCells>
  <phoneticPr fontId="27" type="noConversion"/>
  <hyperlinks>
    <hyperlink ref="A1" location="【TCS】!A1" display="戻る" xr:uid="{ADF42690-B092-4F1D-9741-063257A54BCE}"/>
  </hyperlinks>
  <pageMargins left="0.75" right="0.75" top="1" bottom="1" header="0.51200000000000001" footer="0.51200000000000001"/>
  <pageSetup paperSize="9" orientation="portrait" verticalDpi="0"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47b21de-6aa2-4397-bc9c-dfadd9f0c5dc" xsi:nil="true"/>
    <_x72b6__x614b__x7ba1__x7406_ xmlns="4d5f495e-8872-4613-b41e-44adb53a887e" xsi:nil="true"/>
    <_x7d0d__x671f_ xmlns="4d5f495e-8872-4613-b41e-44adb53a887e" xsi:nil="true"/>
    <lcf76f155ced4ddcb4097134ff3c332f xmlns="4d5f495e-8872-4613-b41e-44adb53a887e">
      <Terms xmlns="http://schemas.microsoft.com/office/infopath/2007/PartnerControls"/>
    </lcf76f155ced4ddcb4097134ff3c332f>
    <_Flow_SignoffStatus xmlns="4d5f495e-8872-4613-b41e-44adb53a887e" xsi:nil="true"/>
  </documentManagement>
</p:properties>
</file>

<file path=customXml/item3.xml><?xml version="1.0" encoding="utf-8"?>
<LongProperties xmlns="http://schemas.microsoft.com/office/2006/metadata/longProperties"/>
</file>

<file path=customXml/item4.xml><?xml version="1.0" encoding="utf-8"?>
<ct:contentTypeSchema xmlns:ct="http://schemas.microsoft.com/office/2006/metadata/contentType" xmlns:ma="http://schemas.microsoft.com/office/2006/metadata/properties/metaAttributes" ct:_="" ma:_="" ma:contentTypeName="ドキュメント" ma:contentTypeID="0x010100CE4925CEB4767D4088405B3A37F02A88" ma:contentTypeVersion="17" ma:contentTypeDescription="新しいドキュメントを作成します。" ma:contentTypeScope="" ma:versionID="074d3528a928c679d67d1ad12dfa4912">
  <xsd:schema xmlns:xsd="http://www.w3.org/2001/XMLSchema" xmlns:xs="http://www.w3.org/2001/XMLSchema" xmlns:p="http://schemas.microsoft.com/office/2006/metadata/properties" xmlns:ns2="4d5f495e-8872-4613-b41e-44adb53a887e" xmlns:ns3="e47b21de-6aa2-4397-bc9c-dfadd9f0c5dc" targetNamespace="http://schemas.microsoft.com/office/2006/metadata/properties" ma:root="true" ma:fieldsID="1deb7a9c2e5ecc746ac0194f551b1971" ns2:_="" ns3:_="">
    <xsd:import namespace="4d5f495e-8872-4613-b41e-44adb53a887e"/>
    <xsd:import namespace="e47b21de-6aa2-4397-bc9c-dfadd9f0c5dc"/>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DateTaken" minOccurs="0"/>
                <xsd:element ref="ns2:MediaLengthInSeconds" minOccurs="0"/>
                <xsd:element ref="ns2:MediaServiceSearchProperties" minOccurs="0"/>
                <xsd:element ref="ns2:_x72b6__x614b__x7ba1__x7406_" minOccurs="0"/>
                <xsd:element ref="ns2:_Flow_SignoffStatus" minOccurs="0"/>
                <xsd:element ref="ns2:_x7d0d__x671f_"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5f495e-8872-4613-b41e-44adb53a887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5d8d8cb3-13e6-4a9b-b8ca-c05e8e4559a2"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_x72b6__x614b__x7ba1__x7406_" ma:index="22" nillable="true" ma:displayName="状態管理" ma:description="作成状況の見える化" ma:format="Dropdown" ma:internalName="_x72b6__x614b__x7ba1__x7406_">
      <xsd:simpleType>
        <xsd:restriction base="dms:Choice">
          <xsd:enumeration value="編集中"/>
          <xsd:enumeration value="レイアウト待ち"/>
          <xsd:enumeration value="レイアウト完成"/>
          <xsd:enumeration value="生管レビュー中"/>
          <xsd:enumeration value="レイアウト承認済"/>
          <xsd:enumeration value="仕様書完成"/>
          <xsd:enumeration value="仕様書承認済"/>
        </xsd:restriction>
      </xsd:simpleType>
    </xsd:element>
    <xsd:element name="_Flow_SignoffStatus" ma:index="23" nillable="true" ma:displayName="承認の状態" ma:internalName="_x0024_Resources_x003a_core_x002c_Signoff_Status">
      <xsd:simpleType>
        <xsd:restriction base="dms:Text"/>
      </xsd:simpleType>
    </xsd:element>
    <xsd:element name="_x7d0d__x671f_" ma:index="24" nillable="true" ma:displayName="納期" ma:format="DateOnly" ma:internalName="_x7d0d__x671f_">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e47b21de-6aa2-4397-bc9c-dfadd9f0c5dc"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47c6d6af-6b20-4698-97a9-af3e7ec4475a}" ma:internalName="TaxCatchAll" ma:showField="CatchAllData" ma:web="e47b21de-6aa2-4397-bc9c-dfadd9f0c5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B6BF48-E3F6-4B13-9192-4EFFE42803ED}">
  <ds:schemaRefs>
    <ds:schemaRef ds:uri="http://schemas.microsoft.com/sharepoint/v3/contenttype/forms"/>
  </ds:schemaRefs>
</ds:datastoreItem>
</file>

<file path=customXml/itemProps2.xml><?xml version="1.0" encoding="utf-8"?>
<ds:datastoreItem xmlns:ds="http://schemas.openxmlformats.org/officeDocument/2006/customXml" ds:itemID="{B2FADD67-DD7C-4D45-8940-C6EB8B5BA1F7}">
  <ds:schemaRefs>
    <ds:schemaRef ds:uri="http://schemas.openxmlformats.org/package/2006/metadata/core-properties"/>
    <ds:schemaRef ds:uri="http://purl.org/dc/elements/1.1/"/>
    <ds:schemaRef ds:uri="http://schemas.microsoft.com/office/2006/metadata/properties"/>
    <ds:schemaRef ds:uri="http://schemas.microsoft.com/office/infopath/2007/PartnerControls"/>
    <ds:schemaRef ds:uri="4d5f495e-8872-4613-b41e-44adb53a887e"/>
    <ds:schemaRef ds:uri="http://purl.org/dc/terms/"/>
    <ds:schemaRef ds:uri="http://schemas.microsoft.com/office/2006/documentManagement/types"/>
    <ds:schemaRef ds:uri="e47b21de-6aa2-4397-bc9c-dfadd9f0c5dc"/>
    <ds:schemaRef ds:uri="http://www.w3.org/XML/1998/namespace"/>
    <ds:schemaRef ds:uri="http://purl.org/dc/dcmitype/"/>
  </ds:schemaRefs>
</ds:datastoreItem>
</file>

<file path=customXml/itemProps3.xml><?xml version="1.0" encoding="utf-8"?>
<ds:datastoreItem xmlns:ds="http://schemas.openxmlformats.org/officeDocument/2006/customXml" ds:itemID="{4F2B1990-BD69-40EB-A43C-6C4C780A6DE4}">
  <ds:schemaRefs>
    <ds:schemaRef ds:uri="http://schemas.microsoft.com/office/2006/metadata/longProperties"/>
  </ds:schemaRefs>
</ds:datastoreItem>
</file>

<file path=customXml/itemProps4.xml><?xml version="1.0" encoding="utf-8"?>
<ds:datastoreItem xmlns:ds="http://schemas.openxmlformats.org/officeDocument/2006/customXml" ds:itemID="{A7EEBDC7-076F-4ACD-8DBF-C49B4CC77BA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5f495e-8872-4613-b41e-44adb53a887e"/>
    <ds:schemaRef ds:uri="e47b21de-6aa2-4397-bc9c-dfadd9f0c5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Cover</vt:lpstr>
      <vt:lpstr>更新履歴</vt:lpstr>
      <vt:lpstr>TCS</vt:lpstr>
      <vt:lpstr>テストデータ</vt:lpstr>
      <vt:lpstr>引数チェック</vt:lpstr>
      <vt:lpstr>主処理</vt:lpstr>
      <vt:lpstr>⇒参考資料用雛形</vt:lpstr>
      <vt:lpstr>確認資料1</vt:lpstr>
      <vt:lpstr>検索</vt:lpstr>
      <vt:lpstr>更新</vt:lpstr>
      <vt:lpstr>処理ﾊﾟﾀｰﾝ</vt:lpstr>
      <vt:lpstr>追加</vt:lpstr>
      <vt:lpstr>削除</vt:lpstr>
      <vt:lpstr>その他</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Suzuki Yusuke</dc:creator>
  <cp:lastModifiedBy>Sun Sheng</cp:lastModifiedBy>
  <cp:lastPrinted>2012-11-07T00:24:04Z</cp:lastPrinted>
  <dcterms:created xsi:type="dcterms:W3CDTF">2006-06-14T00:06:44Z</dcterms:created>
  <dcterms:modified xsi:type="dcterms:W3CDTF">2025-10-31T06:42:09Z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0x010100CE4925CEB4767D4088405B3A37F02A88</vt:lpwstr>
  </property>
  <property fmtid="{D5CDD505-2E9C-101B-9397-08002B2CF9AE}" pid="3" name="MediaServiceImageTags">
    <vt:lpwstr/>
  </property>
</Properties>
</file>