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tcs\"/>
    </mc:Choice>
  </mc:AlternateContent>
  <xr:revisionPtr revIDLastSave="0" documentId="13_ncr:1_{45637560-384C-4DC6-9FD6-6D151F165A33}" xr6:coauthVersionLast="47" xr6:coauthVersionMax="47" xr10:uidLastSave="{00000000-0000-0000-0000-000000000000}"/>
  <bookViews>
    <workbookView xWindow="28680" yWindow="-120" windowWidth="38640" windowHeight="21120" tabRatio="815" xr2:uid="{00000000-000D-0000-FFFF-FFFF00000000}"/>
  </bookViews>
  <sheets>
    <sheet name="Cover" sheetId="115" r:id="rId1"/>
    <sheet name="更新履歴" sheetId="116" r:id="rId2"/>
    <sheet name="TCS" sheetId="117" r:id="rId3"/>
    <sheet name="テストデータ" sheetId="120" r:id="rId4"/>
    <sheet name="引数チェック" sheetId="121" r:id="rId5"/>
    <sheet name="主処理" sheetId="128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2" hidden="1">#REF!</definedName>
    <definedName name="_xlnm._FilterDatabase" hidden="1">#REF!</definedName>
    <definedName name="_Key1" localSheetId="2" hidden="1">#REF!</definedName>
    <definedName name="_Key1" hidden="1">#REF!</definedName>
    <definedName name="_Order1" hidden="1">255</definedName>
    <definedName name="_Regression_X" localSheetId="2" hidden="1">#REF!</definedName>
    <definedName name="_Regression_X" hidden="1">#REF!</definedName>
    <definedName name="_Sort" localSheetId="2" hidden="1">#REF!</definedName>
    <definedName name="_Sort" hidden="1">#REF!</definedName>
    <definedName name="Access_Button" hidden="1">"名簿_ｱｸｾｽ_List1"</definedName>
    <definedName name="AccessDatabase" hidden="1">"G:\_資金部\1総括\総括庶務\ｱｸｾｽ\ｱﾅｱｸｾｽ.MDB"</definedName>
    <definedName name="AS2DocOpenMode" hidden="1">"AS2DocumentEdit"</definedName>
    <definedName name="BS入力">[1]!BS入力</definedName>
    <definedName name="EditBack" localSheetId="2">#REF!</definedName>
    <definedName name="EditBack">#REF!</definedName>
    <definedName name="EditBar" localSheetId="2">#REF!</definedName>
    <definedName name="EditBar">#REF!</definedName>
    <definedName name="EditCommon" localSheetId="2">#REF!</definedName>
    <definedName name="EditCommon">#REF!</definedName>
    <definedName name="EditConf" localSheetId="2">#REF!</definedName>
    <definedName name="EditConf">#REF!</definedName>
    <definedName name="EditConfirm" localSheetId="2">#REF!</definedName>
    <definedName name="EditConfirm">#REF!</definedName>
    <definedName name="EditCopyUpdate" localSheetId="2">#REF!</definedName>
    <definedName name="EditCopyUpdate">#REF!</definedName>
    <definedName name="EditDelete" localSheetId="2">#REF!</definedName>
    <definedName name="EditDelete">#REF!</definedName>
    <definedName name="EditDeleteS" localSheetId="2">#REF!</definedName>
    <definedName name="EditDeleteS">#REF!</definedName>
    <definedName name="EditDeleteUpdate" localSheetId="2">#REF!</definedName>
    <definedName name="EditDeleteUpdate">#REF!</definedName>
    <definedName name="EditDetail" localSheetId="2">#REF!</definedName>
    <definedName name="EditDetail">#REF!</definedName>
    <definedName name="EditDetailTran" localSheetId="2">#REF!</definedName>
    <definedName name="EditDetailTran">#REF!</definedName>
    <definedName name="EditDetailTransaction" localSheetId="2">#REF!</definedName>
    <definedName name="EditDetailTransaction">#REF!</definedName>
    <definedName name="EditDownload" localSheetId="2">#REF!</definedName>
    <definedName name="EditDownload">#REF!</definedName>
    <definedName name="EditEdit" localSheetId="2">#REF!</definedName>
    <definedName name="EditEdit">#REF!</definedName>
    <definedName name="EditEditTran" localSheetId="2">#REF!</definedName>
    <definedName name="EditEditTran">#REF!</definedName>
    <definedName name="EditEditUpdate" localSheetId="2">#REF!</definedName>
    <definedName name="EditEditUpdate">#REF!</definedName>
    <definedName name="EditInitial" localSheetId="2">#REF!</definedName>
    <definedName name="EditInitial">#REF!</definedName>
    <definedName name="EditInsert" localSheetId="2">#REF!</definedName>
    <definedName name="EditInsert">#REF!</definedName>
    <definedName name="EditItemChange" localSheetId="2">#REF!</definedName>
    <definedName name="EditItemChange">#REF!</definedName>
    <definedName name="EditLoseFocus" localSheetId="2">#REF!</definedName>
    <definedName name="EditLoseFocus">#REF!</definedName>
    <definedName name="EditLoseFocus1" localSheetId="2">#REF!</definedName>
    <definedName name="EditLoseFocus1">#REF!</definedName>
    <definedName name="EditLoseFocus2" localSheetId="2">#REF!</definedName>
    <definedName name="EditLoseFocus2">#REF!</definedName>
    <definedName name="EditLoseFocus3" localSheetId="2">#REF!</definedName>
    <definedName name="EditLoseFocus3">#REF!</definedName>
    <definedName name="EditLoseFocus4" localSheetId="2">#REF!</definedName>
    <definedName name="EditLoseFocus4">#REF!</definedName>
    <definedName name="EditLoseFocus5" localSheetId="2">#REF!</definedName>
    <definedName name="EditLoseFocus5">#REF!</definedName>
    <definedName name="EditNew" localSheetId="2">#REF!</definedName>
    <definedName name="EditNew">#REF!</definedName>
    <definedName name="EditNewS" localSheetId="2">#REF!</definedName>
    <definedName name="EditNewS">#REF!</definedName>
    <definedName name="EditNewTran" localSheetId="2">#REF!</definedName>
    <definedName name="EditNewTran">#REF!</definedName>
    <definedName name="EditPrev" localSheetId="2">#REF!</definedName>
    <definedName name="EditPrev">#REF!</definedName>
    <definedName name="EditPrint" localSheetId="2">#REF!</definedName>
    <definedName name="EditPrint">#REF!</definedName>
    <definedName name="EditReset" localSheetId="2">#REF!</definedName>
    <definedName name="EditReset">#REF!</definedName>
    <definedName name="EditRetrieve" localSheetId="2">#REF!</definedName>
    <definedName name="EditRetrieve">#REF!</definedName>
    <definedName name="EditUpdateS" localSheetId="2">#REF!</definedName>
    <definedName name="EditUpdateS">#REF!</definedName>
    <definedName name="EditUpload" localSheetId="2">#REF!</definedName>
    <definedName name="EditUpload">#REF!</definedName>
    <definedName name="EditValuesList" localSheetId="2">#REF!</definedName>
    <definedName name="EditValuesList">#REF!</definedName>
    <definedName name="Event" localSheetId="2">#REF!</definedName>
    <definedName name="Event">#REF!</definedName>
    <definedName name="fl01AS1" localSheetId="2" hidden="1">[2]分录!#REF!</definedName>
    <definedName name="fl01AS1" hidden="1">[2]分录!#REF!</definedName>
    <definedName name="fl04AF1" localSheetId="2" hidden="1">[3]分录!#REF!</definedName>
    <definedName name="fl04AF1" hidden="1">[3]分录!#REF!</definedName>
    <definedName name="HeaderItemChanged" localSheetId="2">#REF!</definedName>
    <definedName name="HeaderItemChanged">#REF!</definedName>
    <definedName name="PL入力">[1]!PL入力</definedName>
    <definedName name="test" localSheetId="2">#REF!</definedName>
    <definedName name="tes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dateConfirm" localSheetId="2">#REF!</definedName>
    <definedName name="UpdateConfirm">#REF!</definedName>
    <definedName name="UpdatePrint" localSheetId="2">#REF!</definedName>
    <definedName name="UpdatePrint">#REF!</definedName>
    <definedName name="ValidationCommon" localSheetId="2">#REF!</definedName>
    <definedName name="ValidationCommon">#REF!</definedName>
    <definedName name="ValidationConfirm" localSheetId="2">#REF!</definedName>
    <definedName name="ValidationConfirm">#REF!</definedName>
    <definedName name="ValidationDelete" localSheetId="2">#REF!</definedName>
    <definedName name="ValidationDelete">#REF!</definedName>
    <definedName name="ValidationDetail" localSheetId="2">#REF!</definedName>
    <definedName name="ValidationDetail">#REF!</definedName>
    <definedName name="ValidationEdit" localSheetId="2">#REF!</definedName>
    <definedName name="ValidationEdit">#REF!</definedName>
    <definedName name="ValidationLoseFocus" localSheetId="2">#REF!</definedName>
    <definedName name="ValidationLoseFocus">#REF!</definedName>
    <definedName name="ValidationPrint" localSheetId="2">#REF!</definedName>
    <definedName name="ValidationPrint">#REF!</definedName>
    <definedName name="ValidationRetrieve" localSheetId="2">#REF!</definedName>
    <definedName name="ValidationRetrieve">#REF!</definedName>
    <definedName name="ValidRet" localSheetId="2">#REF!</definedName>
    <definedName name="ValidRet">#REF!</definedName>
    <definedName name="xxjj36" localSheetId="2">[4]已审CF!#REF!</definedName>
    <definedName name="xxjj36">[4]已审CF!#REF!</definedName>
    <definedName name="xxjj44" localSheetId="2">[4]已审CF!#REF!</definedName>
    <definedName name="xxjj44">[4]已审CF!#REF!</definedName>
    <definedName name="xxjj48" localSheetId="2">[4]已审CF!#REF!</definedName>
    <definedName name="xxjj48">[4]已审CF!#REF!</definedName>
    <definedName name="コメント入力">[1]!コメント入力</definedName>
    <definedName name="データ形式">[5]!テーブル56[ファイルデータ形式]</definedName>
    <definedName name="データ型">[5]!テーブル5[データ型]</definedName>
    <definedName name="データ型2">[5]!テーブル69[データ型]</definedName>
    <definedName name="デリミタ">[5]!テーブル3[デリミタ]</definedName>
    <definedName name="改行コード">[5]!テーブル6[改行コード]</definedName>
    <definedName name="固定可変">[5]!テーブル43[固定長/可変長]</definedName>
    <definedName name="関連表" localSheetId="2" hidden="1">#REF!</definedName>
    <definedName name="関連表" hidden="1">#REF!</definedName>
    <definedName name="稼働日" localSheetId="2">#REF!</definedName>
    <definedName name="稼働日">#REF!</definedName>
    <definedName name="客户">[6]索引!$C$4</definedName>
    <definedName name="栏目设置">[6]索引!$C$8</definedName>
    <definedName name="売上入力">[1]!売上入力</definedName>
    <definedName name="末尾デリミタ">[5]!テーブル7[末尾デリミタ文字]</definedName>
    <definedName name="期间">[6]索引!$C$6</definedName>
    <definedName name="人員入力">[1]!人員入力</definedName>
    <definedName name="入出力対象">[5]!テーブル4[入出力対象]</definedName>
    <definedName name="深夜開始">[7]初期値!$G$3</definedName>
    <definedName name="始業時間">[7]初期値!$C$3</definedName>
    <definedName name="文字コード">[5]!テーブル1[文字コード]</definedName>
    <definedName name="曜日" localSheetId="2">#REF!</definedName>
    <definedName name="曜日">#REF!</definedName>
    <definedName name="应付票据mxb" localSheetId="2" hidden="1">#REF!</definedName>
    <definedName name="应付票据mxb" hidden="1">#REF!</definedName>
    <definedName name="終業時間">[7]初期値!$F$3</definedName>
    <definedName name="総表印刷">[1]!総表印刷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" i="117" l="1"/>
  <c r="J2" i="117"/>
  <c r="G2" i="117"/>
  <c r="L2" i="117" l="1"/>
  <c r="G3" i="117"/>
  <c r="J3" i="1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Suzuki Yusuke</author>
  </authors>
  <commentList>
    <comment ref="F5" authorId="0" shapeId="0" xr:uid="{5C1326A4-549E-413B-BE9E-ED5283DCD2F7}">
      <text>
        <r>
          <rPr>
            <sz val="9"/>
            <color indexed="81"/>
            <rFont val="MS P ゴシック"/>
            <family val="3"/>
            <charset val="128"/>
          </rPr>
          <t>結果が保存されているシート名を記載する。
ファイルがない場合は「なし」と記載してください</t>
        </r>
      </text>
    </comment>
  </commentList>
</comments>
</file>

<file path=xl/sharedStrings.xml><?xml version="1.0" encoding="utf-8"?>
<sst xmlns="http://schemas.openxmlformats.org/spreadsheetml/2006/main" count="1345" uniqueCount="341">
  <si>
    <t>確認者</t>
    <rPh sb="0" eb="2">
      <t>カクニン</t>
    </rPh>
    <rPh sb="2" eb="3">
      <t>シャ</t>
    </rPh>
    <phoneticPr fontId="3"/>
  </si>
  <si>
    <t>作成者</t>
    <rPh sb="0" eb="3">
      <t>サクセイシャ</t>
    </rPh>
    <phoneticPr fontId="3"/>
  </si>
  <si>
    <t>日付</t>
    <rPh sb="0" eb="2">
      <t>ヒヅケ</t>
    </rPh>
    <phoneticPr fontId="3"/>
  </si>
  <si>
    <t>IC</t>
    <phoneticPr fontId="3"/>
  </si>
  <si>
    <t>更新者</t>
    <rPh sb="0" eb="3">
      <t>コウシンシャ</t>
    </rPh>
    <phoneticPr fontId="3"/>
  </si>
  <si>
    <t>モジュール名</t>
    <rPh sb="5" eb="6">
      <t>メイ</t>
    </rPh>
    <phoneticPr fontId="12"/>
  </si>
  <si>
    <t>プログラムID</t>
    <phoneticPr fontId="12"/>
  </si>
  <si>
    <t>プログラム名</t>
    <phoneticPr fontId="12"/>
  </si>
  <si>
    <t>Project Name</t>
    <phoneticPr fontId="12"/>
  </si>
  <si>
    <t>Yamaha-motor Next Stage</t>
    <phoneticPr fontId="12"/>
  </si>
  <si>
    <t>Workstream</t>
    <phoneticPr fontId="12"/>
  </si>
  <si>
    <t>Document Scope</t>
    <phoneticPr fontId="12"/>
  </si>
  <si>
    <t>TCS作成</t>
    <rPh sb="3" eb="5">
      <t>サクセイ</t>
    </rPh>
    <phoneticPr fontId="12"/>
  </si>
  <si>
    <t>承認者</t>
    <rPh sb="0" eb="3">
      <t>ショウニンシャ</t>
    </rPh>
    <phoneticPr fontId="3"/>
  </si>
  <si>
    <t>名前</t>
    <rPh sb="0" eb="2">
      <t>ナマエ</t>
    </rPh>
    <phoneticPr fontId="3"/>
  </si>
  <si>
    <t>テスト実施</t>
    <rPh sb="3" eb="5">
      <t>ジッシ</t>
    </rPh>
    <phoneticPr fontId="12"/>
  </si>
  <si>
    <t>テスト担当者</t>
    <rPh sb="3" eb="6">
      <t>タントウシャ</t>
    </rPh>
    <phoneticPr fontId="3"/>
  </si>
  <si>
    <t>Ver</t>
    <phoneticPr fontId="3"/>
  </si>
  <si>
    <t>更新日</t>
    <rPh sb="0" eb="2">
      <t>コウシン</t>
    </rPh>
    <rPh sb="2" eb="3">
      <t>ビ</t>
    </rPh>
    <phoneticPr fontId="3"/>
  </si>
  <si>
    <t>更新シート</t>
    <rPh sb="0" eb="2">
      <t>コウシン</t>
    </rPh>
    <phoneticPr fontId="3"/>
  </si>
  <si>
    <t>更新内容</t>
    <rPh sb="0" eb="2">
      <t>コウシン</t>
    </rPh>
    <rPh sb="2" eb="4">
      <t>ナイヨウ</t>
    </rPh>
    <phoneticPr fontId="3"/>
  </si>
  <si>
    <t>確認日</t>
    <rPh sb="0" eb="2">
      <t>カクニン</t>
    </rPh>
    <rPh sb="2" eb="3">
      <t>ビ</t>
    </rPh>
    <phoneticPr fontId="12"/>
  </si>
  <si>
    <t>確認者</t>
    <rPh sb="0" eb="2">
      <t>カクニン</t>
    </rPh>
    <rPh sb="2" eb="3">
      <t>シャ</t>
    </rPh>
    <phoneticPr fontId="12"/>
  </si>
  <si>
    <t>承認日</t>
    <rPh sb="0" eb="2">
      <t>ショウニン</t>
    </rPh>
    <rPh sb="2" eb="3">
      <t>ビ</t>
    </rPh>
    <phoneticPr fontId="12"/>
  </si>
  <si>
    <t>承認者</t>
    <rPh sb="0" eb="2">
      <t>ショウニン</t>
    </rPh>
    <rPh sb="2" eb="3">
      <t>シャ</t>
    </rPh>
    <phoneticPr fontId="12"/>
  </si>
  <si>
    <t>備考</t>
    <rPh sb="0" eb="2">
      <t>ビコウ</t>
    </rPh>
    <phoneticPr fontId="3"/>
  </si>
  <si>
    <t>*</t>
    <phoneticPr fontId="12"/>
  </si>
  <si>
    <t>テスト概要</t>
    <rPh sb="3" eb="5">
      <t>ｶﾞｲﾖｳ</t>
    </rPh>
    <phoneticPr fontId="19" type="noConversion"/>
  </si>
  <si>
    <t>テストケース数</t>
    <rPh sb="6" eb="7">
      <t>ｽｳ</t>
    </rPh>
    <phoneticPr fontId="19" type="noConversion"/>
  </si>
  <si>
    <t>テスト実施数</t>
    <rPh sb="3" eb="5">
      <t>ｼﾞｯｼ</t>
    </rPh>
    <rPh sb="5" eb="6">
      <t>ｽｳ</t>
    </rPh>
    <phoneticPr fontId="19" type="noConversion"/>
  </si>
  <si>
    <t>テスト未実施数</t>
    <rPh sb="3" eb="6">
      <t>ﾐｼﾞｯｼ</t>
    </rPh>
    <rPh sb="6" eb="7">
      <t>ｽｳ</t>
    </rPh>
    <phoneticPr fontId="19" type="noConversion"/>
  </si>
  <si>
    <t>合格ケース数</t>
    <rPh sb="0" eb="2">
      <t>ｺﾞｳｶｸ</t>
    </rPh>
    <rPh sb="5" eb="6">
      <t>ｽｳ</t>
    </rPh>
    <phoneticPr fontId="19" type="noConversion"/>
  </si>
  <si>
    <t>進捗率</t>
    <rPh sb="0" eb="2">
      <t>ｼﾝﾁｮｸ</t>
    </rPh>
    <rPh sb="2" eb="3">
      <t>ﾘﾂ</t>
    </rPh>
    <phoneticPr fontId="19" type="noConversion"/>
  </si>
  <si>
    <t>ケース合格率</t>
    <rPh sb="3" eb="5">
      <t>ｺﾞｳｶｸ</t>
    </rPh>
    <rPh sb="5" eb="6">
      <t>ﾘﾂ</t>
    </rPh>
    <phoneticPr fontId="19" type="noConversion"/>
  </si>
  <si>
    <t>開発者</t>
    <rPh sb="0" eb="3">
      <t>ｶｲﾊﾂｼｬ</t>
    </rPh>
    <phoneticPr fontId="19" type="noConversion"/>
  </si>
  <si>
    <t>検収者</t>
    <rPh sb="0" eb="2">
      <t>ｹﾝｼｭｳ</t>
    </rPh>
    <rPh sb="2" eb="3">
      <t>ｼｬ</t>
    </rPh>
    <phoneticPr fontId="19" type="noConversion"/>
  </si>
  <si>
    <t>No</t>
    <phoneticPr fontId="19" type="noConversion"/>
  </si>
  <si>
    <t>項目名</t>
    <rPh sb="0" eb="2">
      <t>ｺｳﾓｸ</t>
    </rPh>
    <rPh sb="2" eb="3">
      <t>ﾒｲ</t>
    </rPh>
    <phoneticPr fontId="19" type="noConversion"/>
  </si>
  <si>
    <t>テストケース</t>
    <phoneticPr fontId="19" type="noConversion"/>
  </si>
  <si>
    <t>チェックポイント</t>
    <phoneticPr fontId="19" type="noConversion"/>
  </si>
  <si>
    <t>確認資料</t>
    <rPh sb="0" eb="4">
      <t>ｶｸﾆﾝｼﾘｮｳ</t>
    </rPh>
    <phoneticPr fontId="19" type="noConversion"/>
  </si>
  <si>
    <t>生成AI/手動</t>
    <rPh sb="0" eb="2">
      <t>ｾｲｾｲ</t>
    </rPh>
    <rPh sb="5" eb="7">
      <t>ｼｭﾄﾞｳ</t>
    </rPh>
    <phoneticPr fontId="19" type="noConversion"/>
  </si>
  <si>
    <t>テスト方法</t>
    <rPh sb="3" eb="5">
      <t>ﾎｳﾎｳ</t>
    </rPh>
    <phoneticPr fontId="19" type="noConversion"/>
  </si>
  <si>
    <t>エビデンス
要否</t>
    <rPh sb="6" eb="8">
      <t>ﾖｳﾋ</t>
    </rPh>
    <phoneticPr fontId="19" type="noConversion"/>
  </si>
  <si>
    <t>ケース
レビュー</t>
    <phoneticPr fontId="19" type="noConversion"/>
  </si>
  <si>
    <t>テスト担当者</t>
    <rPh sb="3" eb="6">
      <t>ﾀﾝﾄｳｼｬ</t>
    </rPh>
    <phoneticPr fontId="19" type="noConversion"/>
  </si>
  <si>
    <t>テスト
結果</t>
    <rPh sb="4" eb="6">
      <t>ｹｯｶ</t>
    </rPh>
    <phoneticPr fontId="19" type="noConversion"/>
  </si>
  <si>
    <t>テスト実施
レビュー</t>
    <rPh sb="3" eb="5">
      <t>ｼﾞｯｼ</t>
    </rPh>
    <phoneticPr fontId="19" type="noConversion"/>
  </si>
  <si>
    <t>コメント</t>
    <phoneticPr fontId="19" type="noConversion"/>
  </si>
  <si>
    <t>生成AI</t>
  </si>
  <si>
    <t>正常終了</t>
  </si>
  <si>
    <t>処理ステータス</t>
  </si>
  <si>
    <t>正常終了時の処理ステータス</t>
  </si>
  <si>
    <t>処理ステータスが0で設定されている</t>
  </si>
  <si>
    <t>SQLコード</t>
  </si>
  <si>
    <t>正常終了時のSQLコード</t>
  </si>
  <si>
    <t>エラーコード</t>
  </si>
  <si>
    <t>正常終了時のエラーコード</t>
  </si>
  <si>
    <t>エラーメッセージ</t>
  </si>
  <si>
    <t>正常終了時のエラーメッセージ</t>
  </si>
  <si>
    <t>エラーメッセージがスペースで設定されている</t>
  </si>
  <si>
    <t>エラー位置</t>
  </si>
  <si>
    <t>正常終了時のエラー位置</t>
  </si>
  <si>
    <t>エラー位置がスペースで設定されている</t>
  </si>
  <si>
    <t>SQLエラー発生時の処理ステータス</t>
  </si>
  <si>
    <t>処理ステータスが-1で設定されている</t>
  </si>
  <si>
    <t>PGMエラー発生時の処理ステータス</t>
  </si>
  <si>
    <t>処理ステータスが-2で設定されている</t>
  </si>
  <si>
    <t>エラー発生時のエラー位置</t>
  </si>
  <si>
    <t>正常に処理されている</t>
  </si>
  <si>
    <t>SQLコードがスペースで設定されている</t>
  </si>
  <si>
    <t>エラーコードがスペースで設定されている</t>
  </si>
  <si>
    <t>使用者がブランクの場合</t>
  </si>
  <si>
    <t>オーダー番号の先頭が'W'以外の場合</t>
  </si>
  <si>
    <t>警告終了</t>
  </si>
  <si>
    <t>警告発生時の処理ステータス</t>
  </si>
  <si>
    <t>処理ステータスが1で設定されている</t>
  </si>
  <si>
    <t>2. 検索(select)</t>
  </si>
  <si>
    <t>3. 処理パターン</t>
    <phoneticPr fontId="3"/>
  </si>
  <si>
    <t>LDAS0328</t>
    <phoneticPr fontId="3"/>
  </si>
  <si>
    <t>Valid／Ｗビンオーダー登録</t>
    <phoneticPr fontId="3"/>
  </si>
  <si>
    <t>1. 引数チェック</t>
    <phoneticPr fontId="3"/>
  </si>
  <si>
    <t>引数</t>
    <phoneticPr fontId="3"/>
  </si>
  <si>
    <t>戻る</t>
    <rPh sb="0" eb="1">
      <t>モド</t>
    </rPh>
    <phoneticPr fontId="3"/>
  </si>
  <si>
    <t>引数チェック</t>
    <phoneticPr fontId="3"/>
  </si>
  <si>
    <t>No.</t>
    <phoneticPr fontId="3"/>
  </si>
  <si>
    <t>テスト項目</t>
    <rPh sb="3" eb="5">
      <t>コウモク</t>
    </rPh>
    <phoneticPr fontId="3"/>
  </si>
  <si>
    <t>● 仕様：</t>
    <rPh sb="2" eb="4">
      <t>シヨウ</t>
    </rPh>
    <phoneticPr fontId="3"/>
  </si>
  <si>
    <t>【実行形式】</t>
    <rPh sb="1" eb="3">
      <t>ジッコウ</t>
    </rPh>
    <rPh sb="3" eb="5">
      <t>ケイシキ</t>
    </rPh>
    <phoneticPr fontId="3"/>
  </si>
  <si>
    <t>【戻り値】</t>
    <rPh sb="1" eb="2">
      <t>モド</t>
    </rPh>
    <rPh sb="3" eb="4">
      <t>チ</t>
    </rPh>
    <phoneticPr fontId="3"/>
  </si>
  <si>
    <t>rn_status</t>
  </si>
  <si>
    <t>rs_sql_code</t>
  </si>
  <si>
    <t xml:space="preserve"> </t>
  </si>
  <si>
    <t>rs_err_code</t>
  </si>
  <si>
    <t>rs_err_msg</t>
  </si>
  <si>
    <t>rs_err_code</t>
    <phoneticPr fontId="3"/>
  </si>
  <si>
    <t>テストデータ</t>
    <phoneticPr fontId="3"/>
  </si>
  <si>
    <t>色説明 ：</t>
    <rPh sb="0" eb="1">
      <t>イロ</t>
    </rPh>
    <rPh sb="1" eb="3">
      <t>セツメイ</t>
    </rPh>
    <phoneticPr fontId="3"/>
  </si>
  <si>
    <t>条件項目</t>
    <rPh sb="0" eb="2">
      <t>ジョウケン</t>
    </rPh>
    <rPh sb="2" eb="4">
      <t>コウモク</t>
    </rPh>
    <phoneticPr fontId="3"/>
  </si>
  <si>
    <t>使用しない項目</t>
    <rPh sb="0" eb="2">
      <t>シヨウ</t>
    </rPh>
    <rPh sb="5" eb="7">
      <t>コウモク</t>
    </rPh>
    <phoneticPr fontId="3"/>
  </si>
  <si>
    <t>対象外の値</t>
    <rPh sb="0" eb="3">
      <t>タイショウガイ</t>
    </rPh>
    <rPh sb="4" eb="5">
      <t>アタイ</t>
    </rPh>
    <phoneticPr fontId="3"/>
  </si>
  <si>
    <t>更新項目</t>
    <rPh sb="0" eb="2">
      <t>コウシン</t>
    </rPh>
    <rPh sb="2" eb="4">
      <t>コウモク</t>
    </rPh>
    <phoneticPr fontId="3"/>
  </si>
  <si>
    <t>追加項目</t>
    <rPh sb="0" eb="2">
      <t>ツイカ</t>
    </rPh>
    <rPh sb="2" eb="4">
      <t>コウモク</t>
    </rPh>
    <phoneticPr fontId="3"/>
  </si>
  <si>
    <t>削除項目</t>
    <rPh sb="0" eb="2">
      <t>サクジョ</t>
    </rPh>
    <rPh sb="2" eb="4">
      <t>コウモク</t>
    </rPh>
    <phoneticPr fontId="3"/>
  </si>
  <si>
    <t>エラー位置が'LDAS0328'で設定されている</t>
    <phoneticPr fontId="3"/>
  </si>
  <si>
    <t>1~2</t>
  </si>
  <si>
    <t>ユーザーID</t>
    <phoneticPr fontId="3"/>
  </si>
  <si>
    <t>确定ユーザーID</t>
    <phoneticPr fontId="26" type="noConversion"/>
  </si>
  <si>
    <t>ユーザーIDが正常に入力されている場合</t>
    <phoneticPr fontId="3"/>
  </si>
  <si>
    <t>ユーザーIDが正常に入力されている場合</t>
    <phoneticPr fontId="26" type="noConversion"/>
  </si>
  <si>
    <t>ユーザーIDがNULLの場合</t>
    <phoneticPr fontId="3"/>
  </si>
  <si>
    <t>ユーザーIDがNULLの場合</t>
    <phoneticPr fontId="26" type="noConversion"/>
  </si>
  <si>
    <t>SELECT * from LDAS0328('1224','1','12','12','10225137000080','2000','1234','W','1','20250109','20250630','20250630');</t>
  </si>
  <si>
    <t>SELECT * from LDAS0328('1224','1','12','12','10225137000080','2000','1234','W','1','20250109','20250630','20250630');</t>
    <phoneticPr fontId="3"/>
  </si>
  <si>
    <t>rs_err_focus</t>
  </si>
  <si>
    <t>Specify the User ID.</t>
  </si>
  <si>
    <t>LDAS0328</t>
  </si>
  <si>
    <t>SELECT * from LDAS0328(null,'1','12','12','10225137000080','2000','1234','W','1','20250109','20250630','20250630');</t>
    <phoneticPr fontId="3"/>
  </si>
  <si>
    <t>rn_status</t>
    <phoneticPr fontId="3"/>
  </si>
  <si>
    <t>rs_sql_code</t>
    <phoneticPr fontId="3"/>
  </si>
  <si>
    <t>rs_err_msg</t>
    <phoneticPr fontId="3"/>
  </si>
  <si>
    <t>rs_err_focus</t>
    <phoneticPr fontId="3"/>
  </si>
  <si>
    <t xml:space="preserve"> </t>
    <phoneticPr fontId="3"/>
  </si>
  <si>
    <t>ログ出力サイン</t>
    <phoneticPr fontId="3"/>
  </si>
  <si>
    <t>确定ログ出力サイン</t>
    <phoneticPr fontId="26" type="noConversion"/>
  </si>
  <si>
    <t>ログ出力サインが正常に入力されている場合</t>
    <phoneticPr fontId="3"/>
  </si>
  <si>
    <t>ログ出力サインが正常に入力されている場合</t>
    <phoneticPr fontId="26" type="noConversion"/>
  </si>
  <si>
    <t>ログ出力サインがNULLの場合</t>
    <phoneticPr fontId="3"/>
  </si>
  <si>
    <t>ld.E.LDP10111</t>
  </si>
  <si>
    <t>Specify the Log Sign.</t>
  </si>
  <si>
    <t>SELECT * from LDAS0328('1224',null,'12','12','10225137000080','2000','1234','W','1','20250109','20250630','20250630');</t>
    <phoneticPr fontId="3"/>
  </si>
  <si>
    <t>ld.E.LDP10111</t>
    <phoneticPr fontId="3"/>
  </si>
  <si>
    <t>Specify the Log Sign.</t>
    <phoneticPr fontId="3"/>
  </si>
  <si>
    <t>3~5</t>
    <phoneticPr fontId="3"/>
  </si>
  <si>
    <t>ログ出力サインがブランクの場合</t>
    <phoneticPr fontId="3"/>
  </si>
  <si>
    <t>SELECT * from LDAS0328('1224','','12','12','10225137000080','2000','1234','W','1','20250109','20250630','20250630');</t>
  </si>
  <si>
    <t>6~7</t>
    <phoneticPr fontId="3"/>
  </si>
  <si>
    <t>受信ID</t>
    <phoneticPr fontId="3"/>
  </si>
  <si>
    <t>确定受信ID</t>
    <phoneticPr fontId="26" type="noConversion"/>
  </si>
  <si>
    <t>受信IDが正常に入力されている場合</t>
    <phoneticPr fontId="3"/>
  </si>
  <si>
    <t>受信IDがNULLの場合</t>
    <phoneticPr fontId="3"/>
  </si>
  <si>
    <t>Specify the Receive ID.</t>
  </si>
  <si>
    <t>SELECT * from LDAS0328('1224','1',null,'12','10225137000080','2000','1234','W','1','20250109','20250630','20250630');</t>
  </si>
  <si>
    <t>相手先システム識別</t>
    <phoneticPr fontId="3"/>
  </si>
  <si>
    <t>确定相手先システム識別</t>
    <phoneticPr fontId="26" type="noConversion"/>
  </si>
  <si>
    <t>8~9</t>
    <phoneticPr fontId="3"/>
  </si>
  <si>
    <t>相手先システム識別が正常に入力されている場合</t>
    <phoneticPr fontId="3"/>
  </si>
  <si>
    <t>相手先システム識別がNULLの場合</t>
    <phoneticPr fontId="3"/>
  </si>
  <si>
    <t>Specify the System ID.</t>
  </si>
  <si>
    <t>SELECT * from LDAS0328('1224','1','12',null,'10225137000080','2000','1234','W','1','20250109','20250630','20250630');</t>
  </si>
  <si>
    <t>10~12</t>
    <phoneticPr fontId="3"/>
  </si>
  <si>
    <t>品目番号</t>
    <phoneticPr fontId="3"/>
  </si>
  <si>
    <t>确定品目番号</t>
    <phoneticPr fontId="26" type="noConversion"/>
  </si>
  <si>
    <t>品目番号が正常に入力されている場合</t>
    <phoneticPr fontId="3"/>
  </si>
  <si>
    <t>品目番号がNULLの場合</t>
    <phoneticPr fontId="3"/>
  </si>
  <si>
    <t>品目番号がブランクの場合</t>
    <phoneticPr fontId="3"/>
  </si>
  <si>
    <t>ld.E.LDP10915</t>
  </si>
  <si>
    <t>Specify the Item Number.</t>
  </si>
  <si>
    <t>SELECT * from LDAS0328('1224','1','12','12',null,'2000','1234','W','1','20250109','20250630','20250630');</t>
  </si>
  <si>
    <t>SELECT * from LDAS0328('1224','1','12','12',' ','2000','1234','W','1','20250109','20250630','20250630');</t>
  </si>
  <si>
    <t>13~15</t>
    <phoneticPr fontId="3"/>
  </si>
  <si>
    <t>供給者</t>
    <phoneticPr fontId="3"/>
  </si>
  <si>
    <t>确定供給者</t>
    <phoneticPr fontId="26" type="noConversion"/>
  </si>
  <si>
    <t>供給者が正常に入力されている場合</t>
    <phoneticPr fontId="3"/>
  </si>
  <si>
    <t>供給者がNULLの場合</t>
    <phoneticPr fontId="3"/>
  </si>
  <si>
    <t>供給者がブランクの場合</t>
    <phoneticPr fontId="3"/>
  </si>
  <si>
    <t>ld.E.LDP10055</t>
  </si>
  <si>
    <t>Specify the Supplier.</t>
  </si>
  <si>
    <t>SELECT * from LDAS0328('1224','1','12','12','10225137000080',' ','1234','W','1','20250109','20250630','20250630');</t>
  </si>
  <si>
    <t>SELECT * from LDAS0328('1224','1','12','12','10225137000080',null,'1234','W','1','20250109','20250630','20250630');</t>
  </si>
  <si>
    <t>使用者</t>
    <phoneticPr fontId="3"/>
  </si>
  <si>
    <t>16~18</t>
    <phoneticPr fontId="3"/>
  </si>
  <si>
    <t>确定使用者</t>
    <phoneticPr fontId="26" type="noConversion"/>
  </si>
  <si>
    <t>使用者が正常に入力されている場合</t>
    <phoneticPr fontId="3"/>
  </si>
  <si>
    <t>使用者がNULLの場合</t>
    <phoneticPr fontId="3"/>
  </si>
  <si>
    <t>使用者がブランクの場合</t>
    <phoneticPr fontId="3"/>
  </si>
  <si>
    <t>ld.E.LDP10057</t>
  </si>
  <si>
    <t>Specify the User.</t>
  </si>
  <si>
    <t>SELECT * from LDAS0328('1224','1','12','12','10225137000080','2000',null,'W','1','20250109','20250630','20250630');</t>
    <phoneticPr fontId="3"/>
  </si>
  <si>
    <t>ld.E.LDP10057</t>
    <phoneticPr fontId="3"/>
  </si>
  <si>
    <t>Specify the User.</t>
    <phoneticPr fontId="3"/>
  </si>
  <si>
    <t>SELECT * from LDAS0328('1224','1','12','12','10225137000080','2000','','W','1','20250109','20250630','20250630');</t>
  </si>
  <si>
    <t>オーダー番号</t>
    <phoneticPr fontId="3"/>
  </si>
  <si>
    <t>确定オーダー番号</t>
    <phoneticPr fontId="26" type="noConversion"/>
  </si>
  <si>
    <t>19~23</t>
    <phoneticPr fontId="3"/>
  </si>
  <si>
    <t>オーダー番号が正常に入力されている場合</t>
    <phoneticPr fontId="3"/>
  </si>
  <si>
    <t>オーダー番号がNULLの場合</t>
    <phoneticPr fontId="3"/>
  </si>
  <si>
    <t>オーダー番号がブランクの場合</t>
    <phoneticPr fontId="3"/>
  </si>
  <si>
    <t>オーダー番号の先頭が'W'の場合</t>
    <phoneticPr fontId="3"/>
  </si>
  <si>
    <t>オーダー番号の先頭が'W'以外の場合</t>
    <phoneticPr fontId="3"/>
  </si>
  <si>
    <t>ld.E.LDP10130</t>
  </si>
  <si>
    <t>Specify the Order Number.</t>
  </si>
  <si>
    <t>SELECT * from LDAS0328('1224','1','12','12','10225137000080','2000','1234',null,'1','20250109','20250630','20250630');</t>
    <phoneticPr fontId="3"/>
  </si>
  <si>
    <t>SELECT * from LDAS0328('1224','1','12','12','10225137000080','2000','1234','','1','20250109','20250630','20250630');</t>
  </si>
  <si>
    <t>Specify "W" in the first digit of Order Number.</t>
  </si>
  <si>
    <t>SELECT * from LDAS0328('1224','1','12','12','10225137000080','2000','1234','O','1','20250109','20250630','20250630');</t>
  </si>
  <si>
    <t>24~27</t>
    <phoneticPr fontId="3"/>
  </si>
  <si>
    <t>オーダー数</t>
    <phoneticPr fontId="3"/>
  </si>
  <si>
    <t>确定オーダー数</t>
    <phoneticPr fontId="26" type="noConversion"/>
  </si>
  <si>
    <t>オーダー数が正の値の場合</t>
    <phoneticPr fontId="3"/>
  </si>
  <si>
    <t>オーダー数がNULLの場合</t>
    <phoneticPr fontId="3"/>
  </si>
  <si>
    <t>オーダー数が0の場合</t>
    <phoneticPr fontId="3"/>
  </si>
  <si>
    <t>オーダー数が負の値の場合</t>
    <phoneticPr fontId="3"/>
  </si>
  <si>
    <t>SELECT * from LDAS0328('1224','1','12','12','10225137000080','2000','1234','W',NULL,'20250109','20250630','20250630');</t>
  </si>
  <si>
    <t>Specify the Order Qty.</t>
  </si>
  <si>
    <t>SELECT * from LDAS0328('1224','1','12','12','10225137000080','2000','1234','W','0','20250109','20250630','20250630');</t>
  </si>
  <si>
    <t>ld.E.LDP10075</t>
  </si>
  <si>
    <t>You cannot specify 0 or less than 0.</t>
  </si>
  <si>
    <t>SELECT * from LDAS0328('1224','1','12','12','10225137000080','2000','1234','W','-1','20250109','20250630','20250630');</t>
  </si>
  <si>
    <t>着手日</t>
    <phoneticPr fontId="3"/>
  </si>
  <si>
    <t>确定着手日</t>
    <phoneticPr fontId="26" type="noConversion"/>
  </si>
  <si>
    <t>28~30</t>
    <phoneticPr fontId="3"/>
  </si>
  <si>
    <t>着手日が正常に入力されている場合</t>
    <phoneticPr fontId="3"/>
  </si>
  <si>
    <t>着手日がNULLの場合</t>
    <phoneticPr fontId="3"/>
  </si>
  <si>
    <t>着手日がブランクの場合</t>
    <phoneticPr fontId="3"/>
  </si>
  <si>
    <t>SELECT * from LDAS0328('1224','1','12','12','10225137000080','2000','1234','W','1',NULL,'20250630','20250630');</t>
  </si>
  <si>
    <t>ld.E.LDP10059</t>
  </si>
  <si>
    <t>Specify Start Date.</t>
  </si>
  <si>
    <t>SELECT * from LDAS0328('1224','1','12','12','10225137000080','2000','1234','W','1','','20250630','20250630');</t>
  </si>
  <si>
    <t>31~33</t>
    <phoneticPr fontId="3"/>
  </si>
  <si>
    <t>完了日</t>
    <phoneticPr fontId="3"/>
  </si>
  <si>
    <t>确定完了日</t>
    <phoneticPr fontId="26" type="noConversion"/>
  </si>
  <si>
    <t>完了日が正常に入力されている場合</t>
    <phoneticPr fontId="3"/>
  </si>
  <si>
    <t>完了日がNULLの場合</t>
    <phoneticPr fontId="3"/>
  </si>
  <si>
    <t>完了日がブランクの場合</t>
    <phoneticPr fontId="3"/>
  </si>
  <si>
    <t>SELECT * from LDAS0328('1224','1','12','12','10225137000080','2000','1234','W','1','20250109',' ','20250630');</t>
  </si>
  <si>
    <t>ld.E.LDP10060</t>
  </si>
  <si>
    <t>Specify Due Date.</t>
  </si>
  <si>
    <t>SELECT * from LDAS0328('1224','1','12','12','10225137000080','2000','1234','W','1','20250109',NULL,'20250630');</t>
  </si>
  <si>
    <t>払出日</t>
    <phoneticPr fontId="3"/>
  </si>
  <si>
    <t>确定払出日</t>
    <phoneticPr fontId="26" type="noConversion"/>
  </si>
  <si>
    <t>34~36</t>
    <phoneticPr fontId="3"/>
  </si>
  <si>
    <t>払出日が正常に入力されている場合</t>
    <phoneticPr fontId="3"/>
  </si>
  <si>
    <t>払出日がNULLの場合</t>
    <phoneticPr fontId="3"/>
  </si>
  <si>
    <t>払出日がブランクの場合</t>
    <phoneticPr fontId="3"/>
  </si>
  <si>
    <t>SELECT * from LDAS0328('1224','1','12','12','10225137000080','2000','1234','W','1','20250109','20250630',' ');</t>
  </si>
  <si>
    <t>ld.E.LDP10061</t>
  </si>
  <si>
    <t>Specify Disburse Date.</t>
  </si>
  <si>
    <t>SELECT * from LDAS0328('1224','1','12','12','10225137000080','2000','1234','W','1','20250109','20250630',NULL);</t>
  </si>
  <si>
    <t>ld.E.LDP10110</t>
    <phoneticPr fontId="3"/>
  </si>
  <si>
    <t>エラーコードld.E.LDP10110、エラーメッセージ'Specify the User ID.'が出力され処理終了している</t>
    <phoneticPr fontId="3"/>
  </si>
  <si>
    <t>エラーコードld.E.LDP10111、エラーメッセージ'Specify the Log Sign.'が出力され処理終了している</t>
    <phoneticPr fontId="3"/>
  </si>
  <si>
    <t>ld.E.LDP10112</t>
    <phoneticPr fontId="3"/>
  </si>
  <si>
    <t>ld.E.LDP10113</t>
    <phoneticPr fontId="3"/>
  </si>
  <si>
    <t>エラーコードld.E.LDP10113、エラーメッセージ'Specify the System ID.'が出力され処理終了している</t>
    <phoneticPr fontId="3"/>
  </si>
  <si>
    <t>エラーコードld.E.LDP10112、エラーメッセージ'Specify the Receive ID.'が出力され処理終了している</t>
    <phoneticPr fontId="3"/>
  </si>
  <si>
    <t>ld.E.LDP10915</t>
    <phoneticPr fontId="3"/>
  </si>
  <si>
    <t>エラーコードld.E.LDP10915、エラーメッセージ'Specify the Item Number.'が出力され処理終了している</t>
    <phoneticPr fontId="3"/>
  </si>
  <si>
    <t>ld.E.LDP10055</t>
    <phoneticPr fontId="3"/>
  </si>
  <si>
    <t>エラーコードld.E.LDP10055、エラーメッセージ'Specify the Supplier.'が出力され処理終了している</t>
    <phoneticPr fontId="3"/>
  </si>
  <si>
    <t>エラーコードld.E.LDP10057、エラーメッセージ'Specify the User.'が出力され処理終了している</t>
    <phoneticPr fontId="3"/>
  </si>
  <si>
    <t>ld.E.LDP10130</t>
    <phoneticPr fontId="3"/>
  </si>
  <si>
    <t>エラーコードld.E.LDP10130、エラーメッセージ'Specify the Order Number.'が出力され処理終了している</t>
    <phoneticPr fontId="3"/>
  </si>
  <si>
    <t>ld.E.LDP10132</t>
    <phoneticPr fontId="3"/>
  </si>
  <si>
    <t>エラーコードld.E.LDP10132、エラーメッセージ'Specify the Order Qty.'が出力され処理終了している</t>
    <phoneticPr fontId="3"/>
  </si>
  <si>
    <t>ld.E.LDP10131</t>
    <phoneticPr fontId="3"/>
  </si>
  <si>
    <t>エラーコードld.E.LDP10131、エラーメッセージ'Specify "W" in the first digit of Order Number.'が出力され処理終了している</t>
    <phoneticPr fontId="3"/>
  </si>
  <si>
    <t>ld.E.LDP10075</t>
    <phoneticPr fontId="3"/>
  </si>
  <si>
    <t>エラーコードld.E.LDP10075、エラーメッセージ'You cannot specify 0 or less than 0. 'が出力され処理終了している</t>
    <phoneticPr fontId="3"/>
  </si>
  <si>
    <t>エラーコードld.E.LDP10059、エラーメッセージ'Specify Start Date.'、エラー位置'startDate'が出力され処理終了している</t>
    <phoneticPr fontId="3"/>
  </si>
  <si>
    <t>エラーコードld.E.LDP10060、エラーメッセージ'Specify Due Date.'、エラー位置'dueDate'が出力され処理終了している</t>
    <phoneticPr fontId="3"/>
  </si>
  <si>
    <t>エラーコードld.E.LDP10061、エラーメッセージ'Specify Disburse Date.'、エラー位置'disburseDate'が出力され処理終了している</t>
    <phoneticPr fontId="3"/>
  </si>
  <si>
    <t>ない</t>
    <phoneticPr fontId="3"/>
  </si>
  <si>
    <t>品目</t>
  </si>
  <si>
    <t>日付妥当性チェック</t>
    <phoneticPr fontId="3"/>
  </si>
  <si>
    <t>日付</t>
  </si>
  <si>
    <t>手動</t>
  </si>
  <si>
    <t>要</t>
  </si>
  <si>
    <t>OK</t>
  </si>
  <si>
    <t>LDAS0300（Valid／品目妥当性チェック）をコール。</t>
    <phoneticPr fontId="3"/>
  </si>
  <si>
    <t>LDAS0301（Valid／オーダー登録日付チェック）をコール</t>
    <phoneticPr fontId="3"/>
  </si>
  <si>
    <t>4.共通関数呼び出し</t>
    <phoneticPr fontId="3"/>
  </si>
  <si>
    <t>エラーが返され処理が異常終了している</t>
  </si>
  <si>
    <t>例外が発生している</t>
    <phoneticPr fontId="3"/>
  </si>
  <si>
    <r>
      <rPr>
        <b/>
        <sz val="9"/>
        <color rgb="FF0000FF"/>
        <rFont val="宋体"/>
        <family val="3"/>
        <charset val="134"/>
      </rPr>
      <t>5</t>
    </r>
    <r>
      <rPr>
        <b/>
        <sz val="9"/>
        <color rgb="FF0000FF"/>
        <rFont val="Meiryo UI"/>
        <family val="3"/>
        <charset val="128"/>
      </rPr>
      <t>. 戻り値</t>
    </r>
    <phoneticPr fontId="3"/>
  </si>
  <si>
    <t>LDAS0300</t>
  </si>
  <si>
    <t>LDAS0300</t>
    <phoneticPr fontId="3"/>
  </si>
  <si>
    <t>LDAS0301</t>
  </si>
  <si>
    <t>LDAS0301</t>
    <phoneticPr fontId="3"/>
  </si>
  <si>
    <t>LDAS0301が正常に実行される場合</t>
    <phoneticPr fontId="3"/>
  </si>
  <si>
    <t>LDAS0301がエラー(-1)を返す場合</t>
    <phoneticPr fontId="3"/>
  </si>
  <si>
    <t>LDAS0301がPGMエラー(-2)を返す場合</t>
    <phoneticPr fontId="3"/>
  </si>
  <si>
    <t>LDAS0300が正常に実行される場合</t>
    <phoneticPr fontId="3"/>
  </si>
  <si>
    <t>LDAS0300がエラー(-1)を返す場合</t>
    <phoneticPr fontId="3"/>
  </si>
  <si>
    <t>LDAS0300がPGMエラー(-2)を返す場合</t>
    <phoneticPr fontId="3"/>
  </si>
  <si>
    <t>処理パターン2</t>
    <phoneticPr fontId="3"/>
  </si>
  <si>
    <t>処理</t>
    <phoneticPr fontId="3"/>
  </si>
  <si>
    <r>
      <t>処理パターン</t>
    </r>
    <r>
      <rPr>
        <b/>
        <sz val="10"/>
        <color rgb="FFFFFFFF"/>
        <rFont val="Meiryo UI"/>
        <family val="2"/>
      </rPr>
      <t>1</t>
    </r>
    <phoneticPr fontId="3"/>
  </si>
  <si>
    <r>
      <t>戻り値</t>
    </r>
    <r>
      <rPr>
        <b/>
        <sz val="10"/>
        <color rgb="FFFFFFFF"/>
        <rFont val="Meiryo UI"/>
        <family val="2"/>
      </rPr>
      <t>1~5</t>
    </r>
    <phoneticPr fontId="3"/>
  </si>
  <si>
    <t>正常終了</t>
    <phoneticPr fontId="3"/>
  </si>
  <si>
    <t>【実行形式】</t>
    <phoneticPr fontId="3"/>
  </si>
  <si>
    <r>
      <t>共通関数呼び出し</t>
    </r>
    <r>
      <rPr>
        <b/>
        <sz val="10"/>
        <color rgb="FFFFFFFF"/>
        <rFont val="Meiryo UI"/>
        <family val="2"/>
      </rPr>
      <t>1</t>
    </r>
    <phoneticPr fontId="3"/>
  </si>
  <si>
    <t>品目妥当性チェック</t>
    <phoneticPr fontId="3"/>
  </si>
  <si>
    <r>
      <t>共通関数呼び出し</t>
    </r>
    <r>
      <rPr>
        <b/>
        <sz val="10"/>
        <color rgb="FFFFFFFF"/>
        <rFont val="Meiryo UI"/>
        <family val="2"/>
      </rPr>
      <t>4</t>
    </r>
    <phoneticPr fontId="3"/>
  </si>
  <si>
    <r>
      <t>共通関数呼び出し</t>
    </r>
    <r>
      <rPr>
        <b/>
        <sz val="10"/>
        <color rgb="FFFFFFFF"/>
        <rFont val="Meiryo UI"/>
        <family val="2"/>
      </rPr>
      <t>2</t>
    </r>
    <phoneticPr fontId="3"/>
  </si>
  <si>
    <t>42P01</t>
  </si>
  <si>
    <t>エラーコード</t>
    <phoneticPr fontId="3"/>
  </si>
  <si>
    <t>エラー発生時のエラーコード</t>
    <phoneticPr fontId="3"/>
  </si>
  <si>
    <t>対応するエラーコードをreturnしている</t>
  </si>
  <si>
    <t>エラーメッセージ</t>
    <phoneticPr fontId="3"/>
  </si>
  <si>
    <t>エラー発生時のエラーメッセージ</t>
    <phoneticPr fontId="3"/>
  </si>
  <si>
    <t>対応するエラーメッセージをreturnしている</t>
  </si>
  <si>
    <r>
      <t>戻り値</t>
    </r>
    <r>
      <rPr>
        <b/>
        <sz val="10"/>
        <color rgb="FFFFFFFF"/>
        <rFont val="Meiryo UI"/>
        <family val="2"/>
      </rPr>
      <t>7</t>
    </r>
    <phoneticPr fontId="3"/>
  </si>
  <si>
    <t>異常終了</t>
    <phoneticPr fontId="3"/>
  </si>
  <si>
    <r>
      <t>戻り値</t>
    </r>
    <r>
      <rPr>
        <b/>
        <sz val="10"/>
        <color rgb="FFFFFFFF"/>
        <rFont val="Meiryo UI"/>
        <family val="2"/>
      </rPr>
      <t>10~11</t>
    </r>
    <phoneticPr fontId="3"/>
  </si>
  <si>
    <r>
      <t>戻り値</t>
    </r>
    <r>
      <rPr>
        <b/>
        <sz val="10"/>
        <color rgb="FFFFFFFF"/>
        <rFont val="Meiryo UI"/>
        <family val="2"/>
      </rPr>
      <t>8</t>
    </r>
    <phoneticPr fontId="3"/>
  </si>
  <si>
    <r>
      <t>共通関数呼び出し</t>
    </r>
    <r>
      <rPr>
        <b/>
        <sz val="10"/>
        <color rgb="FFFFFFFF"/>
        <rFont val="Meiryo UI"/>
        <family val="2"/>
      </rPr>
      <t>3</t>
    </r>
    <phoneticPr fontId="3"/>
  </si>
  <si>
    <t>SELECT * from LDAS0328('1224','1','12','12','10225137000080','2000','5678','W','1','20250109','20250630','20250630');</t>
  </si>
  <si>
    <t>ld.E.LDP10019</t>
  </si>
  <si>
    <r>
      <t>共通関数呼び出し</t>
    </r>
    <r>
      <rPr>
        <b/>
        <sz val="10"/>
        <color rgb="FFFFFFFF"/>
        <rFont val="Meiryo UI"/>
        <family val="2"/>
      </rPr>
      <t>5</t>
    </r>
    <phoneticPr fontId="3"/>
  </si>
  <si>
    <r>
      <t>共通関数呼び出し</t>
    </r>
    <r>
      <rPr>
        <b/>
        <sz val="10"/>
        <color rgb="FFFFFFFF"/>
        <rFont val="Meiryo UI"/>
        <family val="2"/>
      </rPr>
      <t>6</t>
    </r>
    <phoneticPr fontId="3"/>
  </si>
  <si>
    <t>SELECT * from LDAS0328('1224','1','12','12','10225137000080','2000','1234','W','1','20250709','20250630','20250630');</t>
  </si>
  <si>
    <t>ld.E.LDP10065</t>
  </si>
  <si>
    <t>For Start Date, specify the date former than the final day of the fixed order period.</t>
  </si>
  <si>
    <t>LDAS0409</t>
    <phoneticPr fontId="3"/>
  </si>
  <si>
    <t>LDAS0409が正常に実行される場合</t>
    <phoneticPr fontId="3"/>
  </si>
  <si>
    <t>LDAS0409がエラー(-1)を返す場合</t>
    <phoneticPr fontId="3"/>
  </si>
  <si>
    <t>LDAS0409がPGMエラー(-2)を返す場合</t>
    <phoneticPr fontId="3"/>
  </si>
  <si>
    <t>Valid／品目妥当性チェック</t>
  </si>
  <si>
    <t>Valid／オーダー登録日付チェック</t>
  </si>
  <si>
    <t>エラーログ登録</t>
  </si>
  <si>
    <t>共通関数呼び出し7</t>
    <phoneticPr fontId="3"/>
  </si>
  <si>
    <t>共通関数呼び出し8</t>
    <phoneticPr fontId="3"/>
  </si>
  <si>
    <t>SELECT * from LDAS0328('1224','1','12','12','10225137000080','2000','1234','1','1','20250109','20250630','20250630');</t>
    <phoneticPr fontId="3"/>
  </si>
  <si>
    <t>共通関数呼び出し9</t>
    <phoneticPr fontId="3"/>
  </si>
  <si>
    <t>pgm_err_code</t>
    <phoneticPr fontId="3"/>
  </si>
  <si>
    <t>pgm_err_msg</t>
    <phoneticPr fontId="3"/>
  </si>
  <si>
    <t>テスト動作</t>
    <phoneticPr fontId="3"/>
  </si>
  <si>
    <t>初期作成</t>
    <phoneticPr fontId="3"/>
  </si>
  <si>
    <t>登録するWビンオーダーの各項目に対するバリデーション。</t>
    <phoneticPr fontId="3"/>
  </si>
  <si>
    <t>主処理</t>
  </si>
  <si>
    <t>孫勝</t>
    <phoneticPr fontId="3"/>
  </si>
  <si>
    <t>引数チェック</t>
  </si>
  <si>
    <t>&lt;&lt;SP:LDAS0300 Error Return&gt;&gt; Return:  -1,42P01, ,relation "la_itemmast" does not exist,LDAS0300</t>
  </si>
  <si>
    <t>Item does not exist in the item master.</t>
  </si>
  <si>
    <t>&lt;&lt;SP:LDAS0301 Error Return&gt;&gt; Return:  -1,42P01,,relation "le_mst_calendar_sum" does not exist,LDAS0301</t>
  </si>
  <si>
    <t>sql_err_msg</t>
    <phoneticPr fontId="3"/>
  </si>
  <si>
    <t>sq_err_code</t>
    <phoneticPr fontId="3"/>
  </si>
  <si>
    <r>
      <t>LDAS</t>
    </r>
    <r>
      <rPr>
        <sz val="10"/>
        <rFont val="宋体"/>
        <family val="3"/>
        <charset val="134"/>
      </rPr>
      <t>0409</t>
    </r>
    <phoneticPr fontId="3"/>
  </si>
  <si>
    <t>ない</t>
    <phoneticPr fontId="26" type="noConversion"/>
  </si>
  <si>
    <t>余暁東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</si>
</sst>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>
    <font>
      <sz val="11"/>
      <name val="ＭＳ Ｐゴシック"/>
      <family val="3"/>
      <charset val="128"/>
    </font>
    <font>
      <sz val="11"/>
      <color theme="1"/>
      <name val="宋体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Meiryo UI"/>
      <family val="3"/>
      <charset val="128"/>
    </font>
    <font>
      <sz val="9"/>
      <name val="Meiryo UI"/>
      <family val="3"/>
      <charset val="128"/>
    </font>
    <font>
      <sz val="10"/>
      <name val="Meiryo UI"/>
      <family val="3"/>
      <charset val="128"/>
    </font>
    <font>
      <b/>
      <sz val="9"/>
      <name val="Meiryo UI"/>
      <family val="3"/>
      <charset val="128"/>
    </font>
    <font>
      <sz val="11"/>
      <name val="ＭＳ ゴシック"/>
      <family val="3"/>
      <charset val="128"/>
    </font>
    <font>
      <sz val="18"/>
      <color theme="3"/>
      <name val="宋体"/>
      <family val="2"/>
      <charset val="128"/>
      <scheme val="major"/>
    </font>
    <font>
      <b/>
      <sz val="15"/>
      <color theme="3"/>
      <name val="宋体"/>
      <family val="2"/>
      <charset val="128"/>
      <scheme val="minor"/>
    </font>
    <font>
      <b/>
      <sz val="9"/>
      <color theme="0"/>
      <name val="Meiryo UI"/>
      <family val="3"/>
      <charset val="128"/>
    </font>
    <font>
      <sz val="6"/>
      <name val="宋体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1"/>
      <color theme="0"/>
      <name val="Meiryo UI"/>
      <family val="2"/>
      <charset val="128"/>
    </font>
    <font>
      <sz val="11"/>
      <name val="Meiryo UI"/>
      <family val="2"/>
      <charset val="128"/>
    </font>
    <font>
      <sz val="8"/>
      <name val="ＭＳ Ｐゴシック"/>
      <family val="3"/>
      <charset val="128"/>
    </font>
    <font>
      <u/>
      <sz val="9"/>
      <color indexed="12"/>
      <name val="Meiryo UI"/>
      <family val="3"/>
      <charset val="128"/>
    </font>
    <font>
      <sz val="9"/>
      <color indexed="81"/>
      <name val="MS P ゴシック"/>
      <family val="3"/>
      <charset val="128"/>
    </font>
    <font>
      <u/>
      <sz val="9"/>
      <name val="Meiryo UI"/>
      <family val="3"/>
      <charset val="128"/>
    </font>
    <font>
      <b/>
      <sz val="9"/>
      <color rgb="FF0000FF"/>
      <name val="Meiryo UI"/>
      <family val="3"/>
      <charset val="128"/>
    </font>
    <font>
      <b/>
      <u/>
      <sz val="9"/>
      <name val="Meiryo UI"/>
      <family val="3"/>
      <charset val="128"/>
    </font>
    <font>
      <b/>
      <sz val="11"/>
      <color theme="1"/>
      <name val="Meiryo UI"/>
      <family val="2"/>
    </font>
    <font>
      <sz val="9"/>
      <name val="宋体"/>
      <family val="3"/>
      <charset val="134"/>
    </font>
    <font>
      <sz val="11"/>
      <name val="Meiryo UI"/>
      <family val="3"/>
      <charset val="128"/>
    </font>
    <font>
      <u/>
      <sz val="11"/>
      <color theme="10"/>
      <name val="ＭＳ Ｐゴシック"/>
      <family val="3"/>
      <charset val="128"/>
    </font>
    <font>
      <b/>
      <sz val="24"/>
      <color indexed="18"/>
      <name val="Meiryo UI"/>
      <family val="3"/>
      <charset val="128"/>
    </font>
    <font>
      <b/>
      <sz val="18"/>
      <color indexed="18"/>
      <name val="Meiryo UI"/>
      <family val="3"/>
      <charset val="128"/>
    </font>
    <font>
      <b/>
      <sz val="11"/>
      <color indexed="18"/>
      <name val="Meiryo UI"/>
      <family val="3"/>
      <charset val="128"/>
    </font>
    <font>
      <b/>
      <sz val="10"/>
      <color indexed="9"/>
      <name val="Meiryo UI"/>
      <family val="3"/>
      <charset val="128"/>
    </font>
    <font>
      <sz val="10"/>
      <color indexed="8"/>
      <name val="Meiryo UI"/>
      <family val="3"/>
      <charset val="128"/>
    </font>
    <font>
      <sz val="10"/>
      <color indexed="59"/>
      <name val="Meiryo UI"/>
      <family val="3"/>
      <charset val="128"/>
    </font>
    <font>
      <sz val="10"/>
      <color indexed="10"/>
      <name val="Meiryo UI"/>
      <family val="3"/>
      <charset val="128"/>
    </font>
    <font>
      <sz val="10"/>
      <color indexed="17"/>
      <name val="Meiryo UI"/>
      <family val="3"/>
      <charset val="128"/>
    </font>
    <font>
      <b/>
      <sz val="10"/>
      <color indexed="59"/>
      <name val="Meiryo UI"/>
      <family val="3"/>
      <charset val="128"/>
    </font>
    <font>
      <sz val="6"/>
      <name val="Meiryo UI"/>
      <family val="3"/>
      <charset val="128"/>
    </font>
    <font>
      <sz val="10"/>
      <color indexed="63"/>
      <name val="Meiryo UI"/>
      <family val="3"/>
      <charset val="128"/>
    </font>
    <font>
      <sz val="9"/>
      <color indexed="8"/>
      <name val="Meiryo UI"/>
      <family val="3"/>
      <charset val="128"/>
    </font>
    <font>
      <b/>
      <sz val="10"/>
      <color indexed="12"/>
      <name val="Meiryo UI"/>
      <family val="3"/>
      <charset val="128"/>
    </font>
    <font>
      <sz val="10"/>
      <color indexed="12"/>
      <name val="Meiryo UI"/>
      <family val="3"/>
      <charset val="128"/>
    </font>
    <font>
      <sz val="11"/>
      <color indexed="60"/>
      <name val="Meiryo UI"/>
      <family val="3"/>
      <charset val="128"/>
    </font>
    <font>
      <b/>
      <sz val="18"/>
      <color indexed="8"/>
      <name val="Meiryo UI"/>
      <family val="3"/>
      <charset val="128"/>
    </font>
    <font>
      <sz val="11"/>
      <color indexed="18"/>
      <name val="Meiryo UI"/>
      <family val="3"/>
      <charset val="128"/>
    </font>
    <font>
      <b/>
      <sz val="8"/>
      <color indexed="61"/>
      <name val="Meiryo UI"/>
      <family val="3"/>
      <charset val="128"/>
    </font>
    <font>
      <sz val="11"/>
      <color indexed="9"/>
      <name val="Meiryo UI"/>
      <family val="3"/>
      <charset val="128"/>
    </font>
    <font>
      <b/>
      <sz val="11"/>
      <name val="Meiryo UI"/>
      <family val="3"/>
      <charset val="128"/>
    </font>
    <font>
      <sz val="9"/>
      <color indexed="53"/>
      <name val="Meiryo UI"/>
      <family val="3"/>
      <charset val="128"/>
    </font>
    <font>
      <sz val="10"/>
      <color indexed="61"/>
      <name val="Meiryo UI"/>
      <family val="3"/>
      <charset val="128"/>
    </font>
    <font>
      <sz val="8"/>
      <color indexed="61"/>
      <name val="Meiryo UI"/>
      <family val="3"/>
      <charset val="128"/>
    </font>
    <font>
      <sz val="11"/>
      <color indexed="53"/>
      <name val="Meiryo UI"/>
      <family val="3"/>
      <charset val="128"/>
    </font>
    <font>
      <sz val="9"/>
      <color indexed="61"/>
      <name val="Meiryo UI"/>
      <family val="3"/>
      <charset val="128"/>
    </font>
    <font>
      <sz val="11"/>
      <color indexed="61"/>
      <name val="Meiryo UI"/>
      <family val="3"/>
      <charset val="128"/>
    </font>
    <font>
      <b/>
      <sz val="11"/>
      <color indexed="61"/>
      <name val="Meiryo UI"/>
      <family val="3"/>
      <charset val="128"/>
    </font>
    <font>
      <sz val="11"/>
      <color indexed="63"/>
      <name val="Meiryo UI"/>
      <family val="3"/>
      <charset val="128"/>
    </font>
    <font>
      <sz val="11"/>
      <color indexed="17"/>
      <name val="Meiryo UI"/>
      <family val="3"/>
      <charset val="128"/>
    </font>
    <font>
      <sz val="9"/>
      <color indexed="10"/>
      <name val="Meiryo UI"/>
      <family val="3"/>
      <charset val="128"/>
    </font>
    <font>
      <sz val="11"/>
      <color indexed="12"/>
      <name val="Meiryo UI"/>
      <family val="3"/>
      <charset val="128"/>
    </font>
    <font>
      <sz val="9"/>
      <color indexed="9"/>
      <name val="Meiryo UI"/>
      <family val="3"/>
      <charset val="128"/>
    </font>
    <font>
      <i/>
      <sz val="8"/>
      <color indexed="61"/>
      <name val="Meiryo UI"/>
      <family val="3"/>
      <charset val="128"/>
    </font>
    <font>
      <sz val="10"/>
      <color indexed="23"/>
      <name val="Meiryo UI"/>
      <family val="3"/>
      <charset val="128"/>
    </font>
    <font>
      <b/>
      <sz val="16"/>
      <color indexed="18"/>
      <name val="Meiryo UI"/>
      <family val="3"/>
      <charset val="128"/>
    </font>
    <font>
      <sz val="16"/>
      <name val="Meiryo UI"/>
      <family val="3"/>
      <charset val="128"/>
    </font>
    <font>
      <b/>
      <sz val="9"/>
      <color rgb="FF0000FF"/>
      <name val="Meiryo UI"/>
      <family val="2"/>
      <charset val="128"/>
    </font>
    <font>
      <b/>
      <sz val="9"/>
      <name val="Meiryo UI"/>
      <family val="2"/>
    </font>
    <font>
      <sz val="9"/>
      <name val="Meiryo UI"/>
      <family val="2"/>
    </font>
    <font>
      <b/>
      <sz val="10"/>
      <color rgb="FFFFFFFF"/>
      <name val="Meiryo UI"/>
      <family val="3"/>
      <charset val="128"/>
    </font>
    <font>
      <b/>
      <sz val="10"/>
      <color rgb="FFFFFFFF"/>
      <name val="Meiryo UI"/>
      <family val="2"/>
    </font>
    <font>
      <b/>
      <sz val="10"/>
      <color rgb="FFFFFFFF"/>
      <name val="Meiryo UI"/>
      <family val="2"/>
      <charset val="128"/>
    </font>
    <font>
      <b/>
      <sz val="9"/>
      <color rgb="FF0000FF"/>
      <name val="宋体"/>
      <family val="3"/>
      <charset val="134"/>
    </font>
    <font>
      <b/>
      <sz val="9"/>
      <color rgb="FF0000FF"/>
      <name val="Meiryo UI"/>
      <family val="3"/>
      <charset val="134"/>
    </font>
    <font>
      <sz val="72"/>
      <name val="Meiryo UI"/>
      <family val="3"/>
      <charset val="128"/>
    </font>
    <font>
      <sz val="9"/>
      <color theme="1"/>
      <name val="微软雅黑"/>
      <family val="3"/>
      <charset val="134"/>
    </font>
    <font>
      <sz val="11"/>
      <name val="等线"/>
      <family val="2"/>
      <charset val="134"/>
    </font>
    <font>
      <sz val="9"/>
      <name val="微软雅黑"/>
      <family val="2"/>
      <charset val="134"/>
    </font>
    <font>
      <sz val="10"/>
      <name val="宋体"/>
      <family val="3"/>
      <charset val="134"/>
    </font>
    <font>
      <sz val="20"/>
      <name val="Meiryo UI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D4D7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5"/>
      </patternFill>
    </fill>
    <fill>
      <patternFill patternType="solid">
        <fgColor theme="0"/>
        <bgColor indexed="4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18"/>
      </bottom>
      <diagonal/>
    </border>
    <border>
      <left/>
      <right/>
      <top style="medium">
        <color indexed="64"/>
      </top>
      <bottom style="thick">
        <color indexed="18"/>
      </bottom>
      <diagonal/>
    </border>
    <border>
      <left/>
      <right style="medium">
        <color indexed="64"/>
      </right>
      <top style="medium">
        <color indexed="64"/>
      </top>
      <bottom style="thick">
        <color indexed="1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0" borderId="0"/>
    <xf numFmtId="0" fontId="1" fillId="0" borderId="0"/>
    <xf numFmtId="0" fontId="1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" fillId="0" borderId="0"/>
  </cellStyleXfs>
  <cellXfs count="213">
    <xf numFmtId="0" fontId="0" fillId="0" borderId="0" xfId="0"/>
    <xf numFmtId="0" fontId="13" fillId="0" borderId="0" xfId="4" applyFont="1" applyAlignment="1">
      <alignment vertical="center"/>
    </xf>
    <xf numFmtId="0" fontId="15" fillId="0" borderId="2" xfId="4" applyFont="1" applyBorder="1" applyAlignment="1">
      <alignment vertical="center"/>
    </xf>
    <xf numFmtId="0" fontId="16" fillId="0" borderId="2" xfId="4" applyFont="1" applyBorder="1" applyAlignment="1">
      <alignment horizontal="center" vertical="center"/>
    </xf>
    <xf numFmtId="0" fontId="17" fillId="4" borderId="6" xfId="5" applyFont="1" applyFill="1" applyBorder="1" applyAlignment="1">
      <alignment horizontal="center" vertical="center" wrapText="1" readingOrder="1"/>
    </xf>
    <xf numFmtId="0" fontId="18" fillId="0" borderId="0" xfId="6" applyFont="1"/>
    <xf numFmtId="2" fontId="18" fillId="0" borderId="2" xfId="6" applyNumberFormat="1" applyFont="1" applyBorder="1"/>
    <xf numFmtId="14" fontId="18" fillId="0" borderId="2" xfId="6" applyNumberFormat="1" applyFont="1" applyBorder="1"/>
    <xf numFmtId="0" fontId="18" fillId="0" borderId="2" xfId="6" applyFont="1" applyBorder="1"/>
    <xf numFmtId="0" fontId="5" fillId="0" borderId="0" xfId="0" applyFont="1" applyAlignment="1">
      <alignment horizontal="right" vertical="center" wrapText="1"/>
    </xf>
    <xf numFmtId="9" fontId="5" fillId="6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9" fontId="5" fillId="0" borderId="7" xfId="7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22" fillId="0" borderId="7" xfId="0" applyFont="1" applyBorder="1" applyAlignment="1">
      <alignment horizontal="center" vertical="center" wrapText="1"/>
    </xf>
    <xf numFmtId="0" fontId="23" fillId="7" borderId="9" xfId="0" applyFont="1" applyFill="1" applyBorder="1" applyAlignment="1">
      <alignment horizontal="left" vertical="center"/>
    </xf>
    <xf numFmtId="0" fontId="7" fillId="7" borderId="10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left" vertical="center" wrapText="1"/>
    </xf>
    <xf numFmtId="0" fontId="23" fillId="7" borderId="7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24" fillId="7" borderId="7" xfId="0" applyFont="1" applyFill="1" applyBorder="1" applyAlignment="1">
      <alignment horizontal="center" vertical="center" wrapText="1"/>
    </xf>
    <xf numFmtId="0" fontId="27" fillId="0" borderId="0" xfId="0" applyFont="1"/>
    <xf numFmtId="0" fontId="6" fillId="0" borderId="0" xfId="0" applyFont="1"/>
    <xf numFmtId="0" fontId="29" fillId="8" borderId="12" xfId="0" applyFont="1" applyFill="1" applyBorder="1" applyAlignment="1">
      <alignment horizontal="left"/>
    </xf>
    <xf numFmtId="0" fontId="30" fillId="8" borderId="12" xfId="0" applyFont="1" applyFill="1" applyBorder="1" applyAlignment="1">
      <alignment horizontal="left"/>
    </xf>
    <xf numFmtId="0" fontId="31" fillId="8" borderId="12" xfId="0" applyFont="1" applyFill="1" applyBorder="1" applyAlignment="1">
      <alignment horizontal="left"/>
    </xf>
    <xf numFmtId="0" fontId="7" fillId="0" borderId="0" xfId="0" applyFont="1"/>
    <xf numFmtId="0" fontId="4" fillId="0" borderId="0" xfId="0" applyFont="1"/>
    <xf numFmtId="0" fontId="33" fillId="10" borderId="13" xfId="0" applyFont="1" applyFill="1" applyBorder="1" applyAlignment="1">
      <alignment vertical="center"/>
    </xf>
    <xf numFmtId="0" fontId="33" fillId="10" borderId="14" xfId="0" applyFont="1" applyFill="1" applyBorder="1" applyAlignment="1">
      <alignment vertical="center"/>
    </xf>
    <xf numFmtId="0" fontId="34" fillId="0" borderId="15" xfId="0" applyFont="1" applyBorder="1"/>
    <xf numFmtId="0" fontId="34" fillId="0" borderId="0" xfId="0" applyFont="1"/>
    <xf numFmtId="0" fontId="34" fillId="0" borderId="16" xfId="0" applyFont="1" applyBorder="1"/>
    <xf numFmtId="0" fontId="35" fillId="0" borderId="15" xfId="0" applyFont="1" applyBorder="1"/>
    <xf numFmtId="0" fontId="36" fillId="2" borderId="0" xfId="0" applyFont="1" applyFill="1" applyAlignment="1">
      <alignment horizontal="right"/>
    </xf>
    <xf numFmtId="0" fontId="36" fillId="2" borderId="0" xfId="0" applyFont="1" applyFill="1"/>
    <xf numFmtId="0" fontId="37" fillId="2" borderId="0" xfId="0" applyFont="1" applyFill="1"/>
    <xf numFmtId="0" fontId="34" fillId="2" borderId="0" xfId="0" applyFont="1" applyFill="1"/>
    <xf numFmtId="0" fontId="33" fillId="0" borderId="16" xfId="0" applyFont="1" applyBorder="1"/>
    <xf numFmtId="0" fontId="38" fillId="0" borderId="0" xfId="0" applyFont="1"/>
    <xf numFmtId="0" fontId="39" fillId="0" borderId="0" xfId="0" applyFont="1" applyAlignment="1">
      <alignment horizontal="right"/>
    </xf>
    <xf numFmtId="0" fontId="6" fillId="0" borderId="15" xfId="0" applyFont="1" applyBorder="1"/>
    <xf numFmtId="0" fontId="41" fillId="0" borderId="0" xfId="0" applyFont="1"/>
    <xf numFmtId="0" fontId="42" fillId="0" borderId="0" xfId="0" applyFont="1"/>
    <xf numFmtId="0" fontId="6" fillId="0" borderId="17" xfId="0" applyFont="1" applyBorder="1"/>
    <xf numFmtId="0" fontId="6" fillId="0" borderId="18" xfId="0" applyFont="1" applyBorder="1"/>
    <xf numFmtId="0" fontId="33" fillId="0" borderId="18" xfId="0" applyFont="1" applyBorder="1"/>
    <xf numFmtId="0" fontId="33" fillId="0" borderId="19" xfId="0" applyFont="1" applyBorder="1"/>
    <xf numFmtId="0" fontId="43" fillId="11" borderId="20" xfId="10" applyFont="1" applyFill="1" applyBorder="1"/>
    <xf numFmtId="0" fontId="27" fillId="0" borderId="0" xfId="10" applyFont="1"/>
    <xf numFmtId="0" fontId="45" fillId="0" borderId="0" xfId="10" applyFont="1"/>
    <xf numFmtId="0" fontId="30" fillId="0" borderId="0" xfId="10" applyFont="1" applyAlignment="1">
      <alignment horizontal="left"/>
    </xf>
    <xf numFmtId="0" fontId="31" fillId="0" borderId="0" xfId="10" applyFont="1" applyAlignment="1">
      <alignment horizontal="left"/>
    </xf>
    <xf numFmtId="0" fontId="4" fillId="0" borderId="0" xfId="10" applyFont="1" applyAlignment="1">
      <alignment horizontal="left"/>
    </xf>
    <xf numFmtId="49" fontId="5" fillId="0" borderId="0" xfId="0" applyNumberFormat="1" applyFont="1"/>
    <xf numFmtId="49" fontId="5" fillId="12" borderId="21" xfId="0" applyNumberFormat="1" applyFont="1" applyFill="1" applyBorder="1" applyAlignment="1">
      <alignment horizontal="center"/>
    </xf>
    <xf numFmtId="49" fontId="5" fillId="13" borderId="21" xfId="0" applyNumberFormat="1" applyFont="1" applyFill="1" applyBorder="1" applyAlignment="1">
      <alignment horizontal="center"/>
    </xf>
    <xf numFmtId="49" fontId="5" fillId="14" borderId="21" xfId="0" applyNumberFormat="1" applyFont="1" applyFill="1" applyBorder="1" applyAlignment="1">
      <alignment horizontal="center"/>
    </xf>
    <xf numFmtId="0" fontId="6" fillId="0" borderId="21" xfId="10" applyFont="1" applyBorder="1" applyAlignment="1">
      <alignment horizontal="center"/>
    </xf>
    <xf numFmtId="49" fontId="5" fillId="3" borderId="0" xfId="0" applyNumberFormat="1" applyFont="1" applyFill="1"/>
    <xf numFmtId="49" fontId="5" fillId="3" borderId="0" xfId="0" applyNumberFormat="1" applyFont="1" applyFill="1" applyAlignment="1">
      <alignment horizontal="center"/>
    </xf>
    <xf numFmtId="0" fontId="6" fillId="3" borderId="0" xfId="10" applyFont="1" applyFill="1" applyAlignment="1">
      <alignment horizontal="center"/>
    </xf>
    <xf numFmtId="0" fontId="6" fillId="0" borderId="0" xfId="10" applyFont="1" applyAlignment="1">
      <alignment horizontal="center"/>
    </xf>
    <xf numFmtId="49" fontId="27" fillId="0" borderId="0" xfId="0" applyNumberFormat="1" applyFont="1"/>
    <xf numFmtId="0" fontId="27" fillId="3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48" fillId="3" borderId="0" xfId="0" applyFont="1" applyFill="1" applyAlignment="1">
      <alignment horizontal="center"/>
    </xf>
    <xf numFmtId="0" fontId="48" fillId="0" borderId="0" xfId="0" applyFont="1" applyAlignment="1">
      <alignment horizontal="center"/>
    </xf>
    <xf numFmtId="0" fontId="5" fillId="3" borderId="0" xfId="0" applyFont="1" applyFill="1" applyAlignment="1">
      <alignment horizontal="center" textRotation="255"/>
    </xf>
    <xf numFmtId="0" fontId="27" fillId="0" borderId="0" xfId="0" applyFont="1" applyAlignment="1">
      <alignment horizontal="center" textRotation="255"/>
    </xf>
    <xf numFmtId="0" fontId="27" fillId="0" borderId="0" xfId="0" applyFont="1" applyAlignment="1">
      <alignment textRotation="255"/>
    </xf>
    <xf numFmtId="0" fontId="54" fillId="0" borderId="0" xfId="0" applyFont="1" applyAlignment="1">
      <alignment horizontal="center"/>
    </xf>
    <xf numFmtId="49" fontId="27" fillId="3" borderId="0" xfId="0" applyNumberFormat="1" applyFont="1" applyFill="1" applyAlignment="1">
      <alignment horizontal="center"/>
    </xf>
    <xf numFmtId="49" fontId="27" fillId="0" borderId="0" xfId="0" applyNumberFormat="1" applyFont="1" applyAlignment="1">
      <alignment horizontal="center"/>
    </xf>
    <xf numFmtId="49" fontId="62" fillId="0" borderId="0" xfId="0" applyNumberFormat="1" applyFont="1"/>
    <xf numFmtId="0" fontId="65" fillId="7" borderId="9" xfId="0" applyFont="1" applyFill="1" applyBorder="1" applyAlignment="1">
      <alignment horizontal="left" vertical="center"/>
    </xf>
    <xf numFmtId="0" fontId="66" fillId="7" borderId="10" xfId="0" applyFont="1" applyFill="1" applyBorder="1" applyAlignment="1">
      <alignment horizontal="left" vertical="center" wrapText="1"/>
    </xf>
    <xf numFmtId="0" fontId="66" fillId="7" borderId="10" xfId="0" applyFont="1" applyFill="1" applyBorder="1" applyAlignment="1">
      <alignment horizontal="center" vertical="center" wrapText="1"/>
    </xf>
    <xf numFmtId="0" fontId="66" fillId="7" borderId="11" xfId="0" applyFont="1" applyFill="1" applyBorder="1" applyAlignment="1">
      <alignment horizontal="left" vertical="center" wrapText="1"/>
    </xf>
    <xf numFmtId="0" fontId="32" fillId="9" borderId="9" xfId="0" applyFont="1" applyFill="1" applyBorder="1" applyAlignment="1">
      <alignment vertical="center"/>
    </xf>
    <xf numFmtId="0" fontId="28" fillId="0" borderId="0" xfId="9" applyAlignment="1"/>
    <xf numFmtId="0" fontId="39" fillId="0" borderId="0" xfId="0" applyFont="1" applyAlignment="1">
      <alignment horizontal="left" vertical="center"/>
    </xf>
    <xf numFmtId="0" fontId="27" fillId="0" borderId="22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29" fillId="8" borderId="12" xfId="0" applyFont="1" applyFill="1" applyBorder="1" applyAlignment="1">
      <alignment horizontal="left" vertical="center"/>
    </xf>
    <xf numFmtId="0" fontId="0" fillId="0" borderId="16" xfId="0" applyBorder="1"/>
    <xf numFmtId="0" fontId="68" fillId="9" borderId="23" xfId="0" applyFont="1" applyFill="1" applyBorder="1" applyAlignment="1">
      <alignment horizontal="left" vertical="center"/>
    </xf>
    <xf numFmtId="0" fontId="33" fillId="10" borderId="24" xfId="0" applyFont="1" applyFill="1" applyBorder="1" applyAlignment="1">
      <alignment horizontal="left" vertical="center"/>
    </xf>
    <xf numFmtId="0" fontId="70" fillId="9" borderId="23" xfId="0" applyFont="1" applyFill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15" xfId="0" applyBorder="1"/>
    <xf numFmtId="0" fontId="30" fillId="8" borderId="25" xfId="0" applyFont="1" applyFill="1" applyBorder="1" applyAlignment="1">
      <alignment horizontal="left" vertical="center"/>
    </xf>
    <xf numFmtId="0" fontId="31" fillId="8" borderId="26" xfId="0" applyFont="1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1" fillId="8" borderId="27" xfId="0" applyFont="1" applyFill="1" applyBorder="1" applyAlignment="1">
      <alignment horizontal="left" vertical="center"/>
    </xf>
    <xf numFmtId="0" fontId="28" fillId="0" borderId="7" xfId="9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0" fontId="33" fillId="10" borderId="28" xfId="0" applyFont="1" applyFill="1" applyBorder="1" applyAlignment="1">
      <alignment horizontal="left" vertical="center"/>
    </xf>
    <xf numFmtId="0" fontId="33" fillId="0" borderId="16" xfId="0" applyFont="1" applyBorder="1" applyAlignment="1">
      <alignment horizontal="left" vertical="center"/>
    </xf>
    <xf numFmtId="0" fontId="28" fillId="0" borderId="19" xfId="9" applyFill="1" applyBorder="1" applyAlignment="1">
      <alignment horizontal="left" vertical="center"/>
    </xf>
    <xf numFmtId="0" fontId="67" fillId="0" borderId="7" xfId="0" applyFont="1" applyBorder="1" applyAlignment="1">
      <alignment horizontal="left" vertical="center" wrapText="1"/>
    </xf>
    <xf numFmtId="0" fontId="38" fillId="15" borderId="0" xfId="0" applyFont="1" applyFill="1"/>
    <xf numFmtId="0" fontId="34" fillId="15" borderId="0" xfId="0" applyFont="1" applyFill="1"/>
    <xf numFmtId="0" fontId="5" fillId="15" borderId="0" xfId="0" applyFont="1" applyFill="1"/>
    <xf numFmtId="0" fontId="33" fillId="15" borderId="0" xfId="0" applyFont="1" applyFill="1"/>
    <xf numFmtId="0" fontId="6" fillId="15" borderId="0" xfId="0" applyFont="1" applyFill="1"/>
    <xf numFmtId="0" fontId="41" fillId="15" borderId="0" xfId="0" applyFont="1" applyFill="1"/>
    <xf numFmtId="0" fontId="42" fillId="15" borderId="0" xfId="0" applyFont="1" applyFill="1"/>
    <xf numFmtId="0" fontId="27" fillId="15" borderId="0" xfId="0" applyFont="1" applyFill="1"/>
    <xf numFmtId="0" fontId="72" fillId="7" borderId="7" xfId="0" applyFont="1" applyFill="1" applyBorder="1" applyAlignment="1">
      <alignment horizontal="left" vertical="center"/>
    </xf>
    <xf numFmtId="0" fontId="69" fillId="9" borderId="23" xfId="0" applyFont="1" applyFill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49" fontId="27" fillId="15" borderId="0" xfId="0" applyNumberFormat="1" applyFont="1" applyFill="1"/>
    <xf numFmtId="0" fontId="46" fillId="15" borderId="0" xfId="0" applyFont="1" applyFill="1" applyAlignment="1">
      <alignment horizontal="center" textRotation="255"/>
    </xf>
    <xf numFmtId="0" fontId="27" fillId="15" borderId="0" xfId="0" applyFont="1" applyFill="1" applyAlignment="1">
      <alignment horizontal="center"/>
    </xf>
    <xf numFmtId="49" fontId="48" fillId="15" borderId="0" xfId="0" applyNumberFormat="1" applyFont="1" applyFill="1" applyAlignment="1">
      <alignment horizontal="center" vertical="center"/>
    </xf>
    <xf numFmtId="49" fontId="27" fillId="15" borderId="0" xfId="0" applyNumberFormat="1" applyFont="1" applyFill="1" applyAlignment="1">
      <alignment horizontal="center" vertical="center"/>
    </xf>
    <xf numFmtId="0" fontId="48" fillId="15" borderId="0" xfId="0" applyFont="1" applyFill="1" applyAlignment="1">
      <alignment horizontal="center"/>
    </xf>
    <xf numFmtId="0" fontId="49" fillId="15" borderId="0" xfId="0" applyFont="1" applyFill="1" applyAlignment="1">
      <alignment horizontal="center" textRotation="255" wrapText="1"/>
    </xf>
    <xf numFmtId="49" fontId="50" fillId="15" borderId="0" xfId="0" applyNumberFormat="1" applyFont="1" applyFill="1" applyAlignment="1">
      <alignment textRotation="255"/>
    </xf>
    <xf numFmtId="0" fontId="51" fillId="15" borderId="0" xfId="0" applyFont="1" applyFill="1" applyAlignment="1">
      <alignment horizontal="center" textRotation="255"/>
    </xf>
    <xf numFmtId="49" fontId="7" fillId="15" borderId="0" xfId="0" applyNumberFormat="1" applyFont="1" applyFill="1" applyAlignment="1">
      <alignment textRotation="255"/>
    </xf>
    <xf numFmtId="49" fontId="7" fillId="15" borderId="0" xfId="0" applyNumberFormat="1" applyFont="1" applyFill="1" applyAlignment="1">
      <alignment textRotation="255" wrapText="1"/>
    </xf>
    <xf numFmtId="49" fontId="5" fillId="15" borderId="0" xfId="0" applyNumberFormat="1" applyFont="1" applyFill="1" applyAlignment="1">
      <alignment textRotation="255"/>
    </xf>
    <xf numFmtId="49" fontId="5" fillId="15" borderId="0" xfId="0" applyNumberFormat="1" applyFont="1" applyFill="1" applyAlignment="1">
      <alignment textRotation="255" wrapText="1"/>
    </xf>
    <xf numFmtId="49" fontId="5" fillId="15" borderId="0" xfId="0" applyNumberFormat="1" applyFont="1" applyFill="1" applyAlignment="1">
      <alignment horizontal="center" textRotation="255" wrapText="1"/>
    </xf>
    <xf numFmtId="49" fontId="5" fillId="15" borderId="0" xfId="0" applyNumberFormat="1" applyFont="1" applyFill="1" applyAlignment="1">
      <alignment horizontal="center" textRotation="255"/>
    </xf>
    <xf numFmtId="49" fontId="7" fillId="15" borderId="0" xfId="0" applyNumberFormat="1" applyFont="1" applyFill="1" applyAlignment="1">
      <alignment horizontal="center" textRotation="255"/>
    </xf>
    <xf numFmtId="0" fontId="5" fillId="15" borderId="0" xfId="0" applyFont="1" applyFill="1" applyAlignment="1">
      <alignment horizontal="center" textRotation="255"/>
    </xf>
    <xf numFmtId="0" fontId="5" fillId="15" borderId="0" xfId="0" applyFont="1" applyFill="1" applyAlignment="1">
      <alignment horizontal="center" textRotation="255" wrapText="1"/>
    </xf>
    <xf numFmtId="0" fontId="52" fillId="15" borderId="0" xfId="0" applyFont="1" applyFill="1" applyAlignment="1">
      <alignment horizontal="center"/>
    </xf>
    <xf numFmtId="49" fontId="53" fillId="15" borderId="0" xfId="0" applyNumberFormat="1" applyFont="1" applyFill="1" applyAlignment="1">
      <alignment horizontal="center"/>
    </xf>
    <xf numFmtId="0" fontId="54" fillId="15" borderId="0" xfId="0" applyFont="1" applyFill="1" applyAlignment="1">
      <alignment horizontal="center"/>
    </xf>
    <xf numFmtId="49" fontId="5" fillId="15" borderId="0" xfId="0" applyNumberFormat="1" applyFont="1" applyFill="1" applyAlignment="1">
      <alignment horizontal="center"/>
    </xf>
    <xf numFmtId="49" fontId="5" fillId="15" borderId="0" xfId="0" applyNumberFormat="1" applyFont="1" applyFill="1" applyAlignment="1">
      <alignment horizontal="center" wrapText="1"/>
    </xf>
    <xf numFmtId="0" fontId="52" fillId="15" borderId="0" xfId="0" applyFont="1" applyFill="1" applyAlignment="1">
      <alignment horizontal="center" vertical="center"/>
    </xf>
    <xf numFmtId="49" fontId="54" fillId="15" borderId="0" xfId="0" applyNumberFormat="1" applyFont="1" applyFill="1" applyAlignment="1">
      <alignment horizontal="right"/>
    </xf>
    <xf numFmtId="0" fontId="55" fillId="15" borderId="0" xfId="0" applyFont="1" applyFill="1" applyAlignment="1">
      <alignment horizontal="center"/>
    </xf>
    <xf numFmtId="49" fontId="6" fillId="15" borderId="0" xfId="0" applyNumberFormat="1" applyFont="1" applyFill="1" applyAlignment="1">
      <alignment horizontal="center"/>
    </xf>
    <xf numFmtId="49" fontId="40" fillId="15" borderId="0" xfId="0" applyNumberFormat="1" applyFont="1" applyFill="1" applyAlignment="1">
      <alignment horizontal="center"/>
    </xf>
    <xf numFmtId="49" fontId="27" fillId="15" borderId="0" xfId="0" applyNumberFormat="1" applyFont="1" applyFill="1" applyAlignment="1">
      <alignment horizontal="center"/>
    </xf>
    <xf numFmtId="0" fontId="56" fillId="15" borderId="0" xfId="0" applyFont="1" applyFill="1" applyAlignment="1">
      <alignment horizontal="center" vertical="center"/>
    </xf>
    <xf numFmtId="0" fontId="57" fillId="15" borderId="0" xfId="0" applyFont="1" applyFill="1" applyAlignment="1">
      <alignment horizontal="center" vertical="center"/>
    </xf>
    <xf numFmtId="0" fontId="54" fillId="15" borderId="0" xfId="0" applyFont="1" applyFill="1"/>
    <xf numFmtId="49" fontId="58" fillId="15" borderId="0" xfId="0" applyNumberFormat="1" applyFont="1" applyFill="1" applyAlignment="1">
      <alignment horizontal="center"/>
    </xf>
    <xf numFmtId="49" fontId="59" fillId="15" borderId="0" xfId="0" applyNumberFormat="1" applyFont="1" applyFill="1" applyAlignment="1">
      <alignment horizontal="center"/>
    </xf>
    <xf numFmtId="49" fontId="48" fillId="15" borderId="0" xfId="0" applyNumberFormat="1" applyFont="1" applyFill="1" applyAlignment="1">
      <alignment horizontal="center"/>
    </xf>
    <xf numFmtId="49" fontId="60" fillId="15" borderId="0" xfId="0" applyNumberFormat="1" applyFont="1" applyFill="1" applyAlignment="1">
      <alignment horizontal="center" vertical="center"/>
    </xf>
    <xf numFmtId="0" fontId="5" fillId="15" borderId="0" xfId="0" applyFont="1" applyFill="1" applyAlignment="1">
      <alignment horizontal="center"/>
    </xf>
    <xf numFmtId="49" fontId="7" fillId="15" borderId="0" xfId="0" applyNumberFormat="1" applyFont="1" applyFill="1" applyAlignment="1">
      <alignment horizontal="center" vertical="center"/>
    </xf>
    <xf numFmtId="0" fontId="7" fillId="15" borderId="0" xfId="0" applyFont="1" applyFill="1" applyAlignment="1">
      <alignment horizontal="center"/>
    </xf>
    <xf numFmtId="0" fontId="27" fillId="15" borderId="0" xfId="0" applyFont="1" applyFill="1" applyAlignment="1">
      <alignment textRotation="255"/>
    </xf>
    <xf numFmtId="0" fontId="61" fillId="15" borderId="0" xfId="0" applyFont="1" applyFill="1" applyAlignment="1">
      <alignment horizontal="center" textRotation="255"/>
    </xf>
    <xf numFmtId="49" fontId="5" fillId="16" borderId="0" xfId="0" applyNumberFormat="1" applyFont="1" applyFill="1" applyAlignment="1">
      <alignment horizontal="center"/>
    </xf>
    <xf numFmtId="49" fontId="5" fillId="17" borderId="0" xfId="0" applyNumberFormat="1" applyFont="1" applyFill="1" applyAlignment="1">
      <alignment horizontal="center"/>
    </xf>
    <xf numFmtId="22" fontId="5" fillId="15" borderId="0" xfId="0" applyNumberFormat="1" applyFont="1" applyFill="1" applyAlignment="1">
      <alignment horizontal="center"/>
    </xf>
    <xf numFmtId="49" fontId="62" fillId="15" borderId="0" xfId="0" applyNumberFormat="1" applyFont="1" applyFill="1"/>
    <xf numFmtId="0" fontId="5" fillId="15" borderId="0" xfId="0" applyFont="1" applyFill="1" applyAlignment="1">
      <alignment textRotation="255"/>
    </xf>
    <xf numFmtId="14" fontId="18" fillId="0" borderId="7" xfId="6" applyNumberFormat="1" applyFont="1" applyBorder="1" applyAlignment="1">
      <alignment horizontal="center" vertical="center"/>
    </xf>
    <xf numFmtId="0" fontId="75" fillId="0" borderId="7" xfId="6" applyFont="1" applyBorder="1" applyAlignment="1">
      <alignment horizontal="center" vertical="center"/>
    </xf>
    <xf numFmtId="14" fontId="18" fillId="0" borderId="7" xfId="6" applyNumberFormat="1" applyFont="1" applyBorder="1" applyAlignment="1">
      <alignment horizontal="left" vertical="center"/>
    </xf>
    <xf numFmtId="0" fontId="18" fillId="0" borderId="7" xfId="6" applyFont="1" applyBorder="1"/>
    <xf numFmtId="0" fontId="76" fillId="0" borderId="7" xfId="0" applyFont="1" applyBorder="1" applyAlignment="1">
      <alignment horizontal="left" vertical="center" wrapText="1"/>
    </xf>
    <xf numFmtId="0" fontId="73" fillId="0" borderId="0" xfId="0" applyFont="1" applyAlignment="1">
      <alignment vertical="center"/>
    </xf>
    <xf numFmtId="0" fontId="39" fillId="0" borderId="7" xfId="0" applyFont="1" applyBorder="1" applyAlignment="1">
      <alignment horizontal="left" vertical="center"/>
    </xf>
    <xf numFmtId="0" fontId="74" fillId="0" borderId="7" xfId="4" applyFont="1" applyBorder="1" applyAlignment="1">
      <alignment horizontal="center" vertical="center"/>
    </xf>
    <xf numFmtId="0" fontId="15" fillId="0" borderId="7" xfId="4" applyFont="1" applyBorder="1" applyAlignment="1">
      <alignment horizontal="center" vertical="center"/>
    </xf>
    <xf numFmtId="0" fontId="15" fillId="0" borderId="2" xfId="4" applyFont="1" applyBorder="1" applyAlignment="1">
      <alignment horizontal="center" vertical="center"/>
    </xf>
    <xf numFmtId="14" fontId="15" fillId="0" borderId="7" xfId="4" applyNumberFormat="1" applyFont="1" applyBorder="1" applyAlignment="1">
      <alignment horizontal="center" vertical="center"/>
    </xf>
    <xf numFmtId="14" fontId="15" fillId="0" borderId="2" xfId="4" applyNumberFormat="1" applyFont="1" applyBorder="1" applyAlignment="1">
      <alignment horizontal="center" vertical="center"/>
    </xf>
    <xf numFmtId="0" fontId="11" fillId="5" borderId="1" xfId="4" applyFont="1" applyFill="1" applyBorder="1" applyAlignment="1">
      <alignment horizontal="center" vertical="center"/>
    </xf>
    <xf numFmtId="0" fontId="11" fillId="5" borderId="4" xfId="4" applyFont="1" applyFill="1" applyBorder="1" applyAlignment="1">
      <alignment horizontal="center" vertical="center"/>
    </xf>
    <xf numFmtId="0" fontId="11" fillId="5" borderId="3" xfId="4" applyFont="1" applyFill="1" applyBorder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3" xfId="4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4" xfId="4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  <xf numFmtId="49" fontId="47" fillId="15" borderId="0" xfId="0" applyNumberFormat="1" applyFont="1" applyFill="1" applyAlignment="1">
      <alignment horizontal="left" vertical="center"/>
    </xf>
    <xf numFmtId="0" fontId="7" fillId="15" borderId="0" xfId="0" applyFont="1" applyFill="1" applyAlignment="1">
      <alignment horizontal="right"/>
    </xf>
    <xf numFmtId="0" fontId="44" fillId="11" borderId="20" xfId="10" applyFont="1" applyFill="1" applyBorder="1" applyAlignment="1">
      <alignment horizontal="left"/>
    </xf>
    <xf numFmtId="49" fontId="60" fillId="15" borderId="0" xfId="0" applyNumberFormat="1" applyFont="1" applyFill="1" applyAlignment="1">
      <alignment horizontal="left" vertical="center"/>
    </xf>
    <xf numFmtId="0" fontId="63" fillId="15" borderId="0" xfId="0" applyFont="1" applyFill="1" applyAlignment="1">
      <alignment horizontal="left"/>
    </xf>
    <xf numFmtId="0" fontId="64" fillId="15" borderId="0" xfId="0" applyFont="1" applyFill="1" applyAlignment="1">
      <alignment horizontal="left"/>
    </xf>
    <xf numFmtId="0" fontId="78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left" vertical="center"/>
    </xf>
  </cellXfs>
  <cellStyles count="11">
    <cellStyle name="ハイパーリンク 2" xfId="8" xr:uid="{D149D991-5776-4CD5-AAF4-AEFD62EAA993}"/>
    <cellStyle name="百分比" xfId="7" builtinId="5"/>
    <cellStyle name="标题" xfId="1" builtinId="15" hidden="1"/>
    <cellStyle name="标题 1" xfId="2" builtinId="16" hidden="1"/>
    <cellStyle name="標準 12" xfId="4" xr:uid="{2BAF3A1B-EF41-4FCB-8C53-3F485AF21B48}"/>
    <cellStyle name="標準 2" xfId="5" xr:uid="{013EF616-11C4-47C2-968D-263E3B0DFBF8}"/>
    <cellStyle name="標準 2 2" xfId="6" xr:uid="{92D69C64-EA5E-472F-9369-EA5A714066A4}"/>
    <cellStyle name="標準_com_calendar" xfId="3" xr:uid="{3F5F8C79-3F40-4195-AB61-8D095C796329}"/>
    <cellStyle name="標準_ＴＣＮ（4GL）" xfId="10" xr:uid="{7A903D5D-6F86-4287-BF2A-56AC763BC78C}"/>
    <cellStyle name="常规" xfId="0" builtinId="0"/>
    <cellStyle name="超链接" xfId="9" builtinId="8"/>
  </cellStyles>
  <dxfs count="5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fgColor theme="0" tint="-0.34998626667073579"/>
          <bgColor theme="0" tint="-0.34998626667073579"/>
        </patternFill>
      </fill>
    </dxf>
    <dxf>
      <fill>
        <patternFill>
          <fgColor theme="0" tint="-0.34998626667073579"/>
          <bgColor theme="0" tint="-0.3499862666707357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9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E7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DD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5F5F5F"/>
      <rgbColor rgb="00993300"/>
      <rgbColor rgb="00993366"/>
      <rgbColor rgb="00333399"/>
      <rgbColor rgb="00333333"/>
    </indexedColors>
    <mruColors>
      <color rgb="FFCCFFCC"/>
      <color rgb="FFCCFF99"/>
      <color rgb="FF99FF99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6</xdr:row>
      <xdr:rowOff>105227</xdr:rowOff>
    </xdr:from>
    <xdr:to>
      <xdr:col>9</xdr:col>
      <xdr:colOff>590550</xdr:colOff>
      <xdr:row>9</xdr:row>
      <xdr:rowOff>63500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340824CD-C5C0-4A4C-9FD9-C55F36393FA1}"/>
            </a:ext>
          </a:extLst>
        </xdr:cNvPr>
        <xdr:cNvSpPr>
          <a:spLocks noChangeArrowheads="1"/>
        </xdr:cNvSpPr>
      </xdr:nvSpPr>
      <xdr:spPr bwMode="auto">
        <a:xfrm>
          <a:off x="23812" y="1305377"/>
          <a:ext cx="5710238" cy="558348"/>
        </a:xfrm>
        <a:prstGeom prst="rect">
          <a:avLst/>
        </a:prstGeom>
        <a:solidFill>
          <a:srgbClr val="FFFFFF">
            <a:alpha val="7999"/>
          </a:srgbClr>
        </a:solidFill>
        <a:ln w="9525">
          <a:noFill/>
          <a:round/>
          <a:headEnd/>
          <a:tailEnd/>
        </a:ln>
        <a:effectLst/>
      </xdr:spPr>
      <xdr:txBody>
        <a:bodyPr vertOverflow="clip" wrap="square" lIns="20160" tIns="20160" rIns="20160" bIns="20160" anchor="t" upright="1"/>
        <a:lstStyle/>
        <a:p>
          <a:pPr algn="ctr" rtl="0">
            <a:defRPr sz="1000"/>
          </a:pPr>
          <a:r>
            <a:rPr lang="en-US" altLang="ja-JP" sz="2800" b="1" i="0" u="none" strike="noStrike" baseline="0">
              <a:solidFill>
                <a:srgbClr val="0070C0"/>
              </a:solidFill>
              <a:latin typeface="Meiryo UI" panose="020B0604030504040204" pitchFamily="50" charset="-128"/>
              <a:ea typeface="Meiryo UI" panose="020B0604030504040204" pitchFamily="50" charset="-128"/>
              <a:cs typeface="Arial" panose="020B0604020202020204" pitchFamily="34" charset="0"/>
            </a:rPr>
            <a:t>TCS(PLpgSQL)</a:t>
          </a:r>
        </a:p>
      </xdr:txBody>
    </xdr:sp>
    <xdr:clientData/>
  </xdr:twoCellAnchor>
  <xdr:twoCellAnchor>
    <xdr:from>
      <xdr:col>3</xdr:col>
      <xdr:colOff>60960</xdr:colOff>
      <xdr:row>17</xdr:row>
      <xdr:rowOff>49213</xdr:rowOff>
    </xdr:from>
    <xdr:to>
      <xdr:col>3</xdr:col>
      <xdr:colOff>198120</xdr:colOff>
      <xdr:row>17</xdr:row>
      <xdr:rowOff>171133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A4B78B9-999B-48C1-BBEE-EB557A01D44B}"/>
            </a:ext>
          </a:extLst>
        </xdr:cNvPr>
        <xdr:cNvSpPr/>
      </xdr:nvSpPr>
      <xdr:spPr>
        <a:xfrm>
          <a:off x="1518285" y="3449638"/>
          <a:ext cx="137160" cy="121920"/>
        </a:xfrm>
        <a:prstGeom prst="rect">
          <a:avLst/>
        </a:prstGeom>
        <a:solidFill>
          <a:srgbClr val="1D4D77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Global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599122</xdr:colOff>
      <xdr:row>17</xdr:row>
      <xdr:rowOff>45720</xdr:rowOff>
    </xdr:from>
    <xdr:to>
      <xdr:col>3</xdr:col>
      <xdr:colOff>730250</xdr:colOff>
      <xdr:row>17</xdr:row>
      <xdr:rowOff>174626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177F76B-C214-4A45-B42D-1109CCD78704}"/>
            </a:ext>
          </a:extLst>
        </xdr:cNvPr>
        <xdr:cNvSpPr/>
      </xdr:nvSpPr>
      <xdr:spPr>
        <a:xfrm>
          <a:off x="2056447" y="3446145"/>
          <a:ext cx="112078" cy="128906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180000" tIns="0" rIns="0" bIns="0" rtlCol="0" anchor="ctr" anchorCtr="0"/>
        <a:lstStyle/>
        <a:p>
          <a:pPr algn="l"/>
          <a:r>
            <a:rPr kumimoji="1" lang="en-US" altLang="ja-JP" sz="7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Local [ *Region Name ]</a:t>
          </a:r>
          <a:endParaRPr kumimoji="1" lang="ja-JP" altLang="en-US" sz="7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9</xdr:row>
      <xdr:rowOff>0</xdr:rowOff>
    </xdr:from>
    <xdr:to>
      <xdr:col>9</xdr:col>
      <xdr:colOff>2295525</xdr:colOff>
      <xdr:row>9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DFEA2E9-20EA-4EE8-A912-2870FB5EFC53}"/>
            </a:ext>
          </a:extLst>
        </xdr:cNvPr>
        <xdr:cNvSpPr>
          <a:spLocks noChangeArrowheads="1"/>
        </xdr:cNvSpPr>
      </xdr:nvSpPr>
      <xdr:spPr bwMode="auto">
        <a:xfrm>
          <a:off x="333375" y="1704975"/>
          <a:ext cx="6524625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DD" mc:Ignorable="a14" a14:legacySpreadsheetColorIndex="43"/>
              </a:solidFill>
            </a14:hiddenFill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 sz="900" b="0" i="0" u="none" strike="noStrike" baseline="0">
            <a:solidFill>
              <a:srgbClr val="808080"/>
            </a:solidFill>
            <a:latin typeface="ＭＳ ゴシック"/>
            <a:ea typeface="ＭＳ ゴシック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--- &lt;&lt;&lt; LG44LT020.4GL &gt;&gt;&gt; --------- ( Start Time : 2006-08-29 14:23:20 ) --- </a:t>
          </a: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808080"/>
            </a:solidFill>
            <a:latin typeface="ＭＳ ゴシック"/>
            <a:ea typeface="ＭＳ ゴシック"/>
          </a:endParaRP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        [cc3_acum_cost]   Delete Count =           2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        [cc_acum_cost_dt] Select Count =           3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        [cc3_acum_cost]   Insert Count =           3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 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808080"/>
              </a:solidFill>
              <a:latin typeface="ＭＳ ゴシック"/>
              <a:ea typeface="ＭＳ ゴシック"/>
            </a:rPr>
            <a:t>--- &lt;&lt;&lt; LG44LT020.4GL &gt;&gt;&gt; --------- ( End   Time : 2006-08-29 14:23:21 ) --- ( Exec :   0:00:00.687 SEC ) --- </a:t>
          </a: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808080"/>
            </a:solidFill>
            <a:latin typeface="ＭＳ ゴシック"/>
            <a:ea typeface="ＭＳ ゴシック"/>
          </a:endParaRP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80808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7</xdr:col>
      <xdr:colOff>561975</xdr:colOff>
      <xdr:row>53</xdr:row>
      <xdr:rowOff>0</xdr:rowOff>
    </xdr:from>
    <xdr:to>
      <xdr:col>10</xdr:col>
      <xdr:colOff>314325</xdr:colOff>
      <xdr:row>53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3C55690-F462-4971-8031-962E7BD1B149}"/>
            </a:ext>
          </a:extLst>
        </xdr:cNvPr>
        <xdr:cNvSpPr>
          <a:spLocks noChangeArrowheads="1"/>
        </xdr:cNvSpPr>
      </xdr:nvSpPr>
      <xdr:spPr bwMode="auto">
        <a:xfrm>
          <a:off x="5057775" y="12020550"/>
          <a:ext cx="21145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 where　 a．serial_no  = b．serial_no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   　and　 a．data_seq  = l_data_seq　（4-1取得）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　　   and　 b．y_itemno  = r_y_itemno　（4-1取得）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order by　 b．transfer_date</a:t>
          </a:r>
        </a:p>
      </xdr:txBody>
    </xdr:sp>
    <xdr:clientData/>
  </xdr:twoCellAnchor>
  <xdr:twoCellAnchor>
    <xdr:from>
      <xdr:col>8</xdr:col>
      <xdr:colOff>409575</xdr:colOff>
      <xdr:row>53</xdr:row>
      <xdr:rowOff>0</xdr:rowOff>
    </xdr:from>
    <xdr:to>
      <xdr:col>8</xdr:col>
      <xdr:colOff>800100</xdr:colOff>
      <xdr:row>53</xdr:row>
      <xdr:rowOff>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E1AA35A4-496C-4602-95EB-7A83A3F21E93}"/>
            </a:ext>
          </a:extLst>
        </xdr:cNvPr>
        <xdr:cNvSpPr>
          <a:spLocks noChangeArrowheads="1"/>
        </xdr:cNvSpPr>
      </xdr:nvSpPr>
      <xdr:spPr bwMode="auto">
        <a:xfrm>
          <a:off x="5619750" y="12020550"/>
          <a:ext cx="390525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495300</xdr:colOff>
      <xdr:row>36</xdr:row>
      <xdr:rowOff>0</xdr:rowOff>
    </xdr:from>
    <xdr:to>
      <xdr:col>14</xdr:col>
      <xdr:colOff>361950</xdr:colOff>
      <xdr:row>36</xdr:row>
      <xdr:rowOff>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16F71A46-2655-42FA-9E41-11E7CE4F2F26}"/>
            </a:ext>
          </a:extLst>
        </xdr:cNvPr>
        <xdr:cNvSpPr>
          <a:spLocks noChangeArrowheads="1"/>
        </xdr:cNvSpPr>
      </xdr:nvSpPr>
      <xdr:spPr bwMode="auto">
        <a:xfrm>
          <a:off x="8782050" y="7515225"/>
          <a:ext cx="1238250" cy="0"/>
        </a:xfrm>
        <a:prstGeom prst="wedgeRectCallout">
          <a:avLst>
            <a:gd name="adj1" fmla="val -20000"/>
            <a:gd name="adj2" fmla="val -150000"/>
          </a:avLst>
        </a:prstGeom>
        <a:solidFill>
          <a:srgbClr xmlns:mc="http://schemas.openxmlformats.org/markup-compatibility/2006" xmlns:a14="http://schemas.microsoft.com/office/drawing/2010/main" val="99CCFF" mc:Ignorable="a14" a14:legacySpreadsheetColorIndex="44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引数：200409で実行</a:t>
          </a:r>
        </a:p>
      </xdr:txBody>
    </xdr:sp>
    <xdr:clientData/>
  </xdr:twoCellAnchor>
  <xdr:twoCellAnchor>
    <xdr:from>
      <xdr:col>10</xdr:col>
      <xdr:colOff>628650</xdr:colOff>
      <xdr:row>53</xdr:row>
      <xdr:rowOff>0</xdr:rowOff>
    </xdr:from>
    <xdr:to>
      <xdr:col>10</xdr:col>
      <xdr:colOff>742950</xdr:colOff>
      <xdr:row>53</xdr:row>
      <xdr:rowOff>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1CC6E1AF-6E34-48E6-8E77-D5BD5C41DD76}"/>
            </a:ext>
          </a:extLst>
        </xdr:cNvPr>
        <xdr:cNvSpPr>
          <a:spLocks noChangeArrowheads="1"/>
        </xdr:cNvSpPr>
      </xdr:nvSpPr>
      <xdr:spPr bwMode="auto">
        <a:xfrm>
          <a:off x="7486650" y="12020550"/>
          <a:ext cx="114300" cy="0"/>
        </a:xfrm>
        <a:prstGeom prst="upArrow">
          <a:avLst>
            <a:gd name="adj1" fmla="val 51519"/>
            <a:gd name="adj2" fmla="val -2147483648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9</xdr:col>
      <xdr:colOff>514350</xdr:colOff>
      <xdr:row>3</xdr:row>
      <xdr:rowOff>0</xdr:rowOff>
    </xdr:from>
    <xdr:to>
      <xdr:col>15</xdr:col>
      <xdr:colOff>180975</xdr:colOff>
      <xdr:row>7</xdr:row>
      <xdr:rowOff>0</xdr:rowOff>
    </xdr:to>
    <xdr:sp macro="" textlink="">
      <xdr:nvSpPr>
        <xdr:cNvPr id="11" name="AutoShape 22">
          <a:extLst>
            <a:ext uri="{FF2B5EF4-FFF2-40B4-BE49-F238E27FC236}">
              <a16:creationId xmlns:a16="http://schemas.microsoft.com/office/drawing/2014/main" id="{597BA909-5140-46F0-BEE9-CABA0E9CE1AC}"/>
            </a:ext>
          </a:extLst>
        </xdr:cNvPr>
        <xdr:cNvSpPr>
          <a:spLocks noChangeArrowheads="1"/>
        </xdr:cNvSpPr>
      </xdr:nvSpPr>
      <xdr:spPr bwMode="auto">
        <a:xfrm>
          <a:off x="6572250" y="676275"/>
          <a:ext cx="3952875" cy="685800"/>
        </a:xfrm>
        <a:prstGeom prst="wedgeRoundRectCallout">
          <a:avLst>
            <a:gd name="adj1" fmla="val -61565"/>
            <a:gd name="adj2" fmla="val -33333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DD" mc:Ignorable="a14" a14:legacySpreadsheetColorIndex="43"/>
        </a:solidFill>
        <a:ln w="19050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"更新項目"や"削除項目"への色分けが必要な場合</a:t>
          </a: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開発者は任意の色を指定し、テストデータと対応させる。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lobalymc.sharepoint.com/&#65297;&#65296;&#32076;&#21942;/&#26376;&#27425;&#27770;&#31639;/&#65296;&#65299;&#19979;&#26399;/&#26376;&#27425;&#27770;&#31639;/&#19978;&#26399;&#20206;&#27770;&#31639;&#22577;&#21578;&#32207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8144;&#21806;&#25910;&#27454;&#24490;&#29615;&#35774;&#35745;&#27169;&#22411;V831&#65288;&#21152;&#36733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Documents%20and%20Settings/jiangr.NETVISTA/&#26700;&#38754;/0923/&#36130;&#21153;&#31649;&#29702;&#24490;&#29615;&#35774;&#35745;&#27169;&#22411;&#65288;&#21152;&#36733;&#65289;V9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L\&#35937;&#23679;&#22269;&#36816;\&#22269;&#36816;\&#23457;&#35745;&#35760;&#24405;\&#25253;&#34920;&#35843;&#25972;_&#22269;&#36816;&#26412;&#37096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z1399\Desktop\IC&#22522;&#26412;&#35373;&#35336;\&#25104;&#26524;&#29289;&#12481;&#12455;&#12483;&#12463;\Java&#12496;&#12483;&#12481;\20250801\LDAJ0001_&#31292;&#20685;&#29366;&#27841;&#22793;&#26356;_&#12496;&#12483;&#12481;&#27231;&#33021;&#20181;&#27096;&#26360;_v1.00.xlsx" TargetMode="External"/><Relationship Id="rId1" Type="http://schemas.openxmlformats.org/officeDocument/2006/relationships/externalLinkPath" Target="https://globalymc.sharepoint.com/sites/YMSL_Teams_Sumafu_ERPgai/Shared%20Documents/00&#65294;&#29983;&#29987;&#35519;&#36948;&#12471;&#12473;&#12486;&#12512;&#37096;&#20849;&#36890;/10_YNS&#29983;&#29987;&#35519;&#36948;&#25913;&#38761;PJ/60_&#30456;&#35527;&#12539;&#26908;&#35342;&#20107;&#38917;/TCS&#26908;&#35342;/TCS&#12486;&#12531;&#12503;&#12524;&#12540;&#12488;/IC&#22522;&#26412;&#35373;&#35336;/&#25104;&#26524;&#29289;&#12481;&#12455;&#12483;&#12463;/Java&#12496;&#12483;&#12481;/20250801/LDAJ0001_&#31292;&#20685;&#29366;&#27841;&#22793;&#26356;_&#12496;&#12483;&#12481;&#27231;&#33021;&#20181;&#27096;&#26360;_v1.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rtal:9998/zhouzhengchun/&#22825;&#20581;&#21326;&#22825;2003/&#25253;&#34920;&#35843;&#25972;&#31995;&#32479;-&#25253;&#20851;&#34892;-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GAS\doc\KINMU\XLS\&#26085;&#39640;\&#21220;&#24608;&#34920;&#26085;&#39640;0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上期仮決算報告総表"/>
    </sheetNames>
    <definedNames>
      <definedName name="BS入力"/>
      <definedName name="PL入力"/>
      <definedName name="コメント入力"/>
      <definedName name="人員入力"/>
      <definedName name="総表印刷"/>
      <definedName name="売上入力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模板"/>
      <sheetName val="系统表"/>
      <sheetName val="底稿目录"/>
      <sheetName val="索引"/>
      <sheetName val="科目选择"/>
      <sheetName val="标本-资产"/>
      <sheetName val="分录"/>
      <sheetName val="往来询证函"/>
      <sheetName val="信封模板"/>
      <sheetName val="往来函证表"/>
      <sheetName val="应收票据Dy"/>
      <sheetName val="应收票据Mx"/>
      <sheetName val="应收账款Dy"/>
      <sheetName val="应收账款Mx"/>
      <sheetName val="坏账准备_应收账款Dy"/>
      <sheetName val="坏账准备_应收账款Mx"/>
      <sheetName val="预收账款Dy"/>
      <sheetName val="预收账款Mx"/>
      <sheetName val="应交税金Dy"/>
      <sheetName val="应交税金mx1"/>
      <sheetName val="应交税金mx2"/>
      <sheetName val="应交税金mx3"/>
      <sheetName val="其他应交款Dy"/>
      <sheetName val="其他应交款mx"/>
      <sheetName val="主营业务收入Dy"/>
      <sheetName val="主营业务收入mx"/>
      <sheetName val="收入上年同期分析"/>
      <sheetName val="收入月份波动分析"/>
      <sheetName val="收入重要产品毛利分析"/>
      <sheetName val="收入重要客户分析"/>
      <sheetName val="收入销售发票核对"/>
      <sheetName val="收入截止测试"/>
      <sheetName val="营业费用Dy"/>
      <sheetName val="营业费用月份波动"/>
      <sheetName val="主营业务税金及附加Dy"/>
      <sheetName val="其他业务利润Dy"/>
      <sheetName val="其他业务利润明细表"/>
      <sheetName val="程序表原始数据"/>
      <sheetName val="初期値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系统表"/>
      <sheetName val="底稿目录"/>
      <sheetName val="索引"/>
      <sheetName val="往来询证函"/>
      <sheetName val="银行询证函"/>
      <sheetName val="科目选择"/>
      <sheetName val="分录"/>
      <sheetName val="信封模板"/>
      <sheetName val="往来函证表"/>
      <sheetName val="银行函证表"/>
      <sheetName val="货币资金Dy"/>
      <sheetName val="货币资金Mx"/>
      <sheetName val="程序表模板"/>
      <sheetName val="现金Dy"/>
      <sheetName val="现金盘点表"/>
      <sheetName val="银行存款Dy"/>
      <sheetName val="其他货币资金Dy"/>
      <sheetName val="短期投资Dy"/>
      <sheetName val="短期投资Mx"/>
      <sheetName val="短期投资跌价准备Dy"/>
      <sheetName val="短期投资跌价准备mx"/>
      <sheetName val="委托贷款Dy"/>
      <sheetName val="委托贷款mx"/>
      <sheetName val="应收股利Dy"/>
      <sheetName val="应收股利mx"/>
      <sheetName val="应收利息Dy"/>
      <sheetName val="应收利息mx"/>
      <sheetName val="应收补贴款Dy"/>
      <sheetName val="应收补贴款mx"/>
      <sheetName val="其他应收款Dy"/>
      <sheetName val="其他应收款mx"/>
      <sheetName val="坏账准备_其他应收款Dy"/>
      <sheetName val="坏账准备_其他应收款Mx"/>
      <sheetName val="其他流动资产Dy"/>
      <sheetName val="其他流动资产mx"/>
      <sheetName val="长期股权投资Dy"/>
      <sheetName val="长期股权投资Mx1"/>
      <sheetName val="长期股权投资Mx2"/>
      <sheetName val="长期投资减值准备Dy"/>
      <sheetName val="长期投资减值准备mx"/>
      <sheetName val="长期债权投资Dy"/>
      <sheetName val="长期债权投资Mx"/>
      <sheetName val="无形资产Dy"/>
      <sheetName val="无形资产Mx"/>
      <sheetName val="无形资产减值准备Dy"/>
      <sheetName val="无形资产减值准备mx"/>
      <sheetName val="长期待摊费用Dy"/>
      <sheetName val="长期待摊费用Mx"/>
      <sheetName val="短期借款Dy"/>
      <sheetName val="短期借款Mx"/>
      <sheetName val="短期借款利息测算"/>
      <sheetName val="应付股利Dy"/>
      <sheetName val="应付股利mx"/>
      <sheetName val="其他应付款Dy"/>
      <sheetName val="其他应付款mx"/>
      <sheetName val="内部往来Dy"/>
      <sheetName val="内部往来Mx"/>
      <sheetName val="一年内到期的长期负债Dy"/>
      <sheetName val="一年内到期的长期负债mx"/>
      <sheetName val="长期借款Dy"/>
      <sheetName val="长期借款Mx"/>
      <sheetName val="长期借款利息测算"/>
      <sheetName val="应付债券Dy"/>
      <sheetName val="应付债券Mx"/>
      <sheetName val="长期应付款Dy"/>
      <sheetName val="长期应付款mx"/>
      <sheetName val="专项应付款Dy"/>
      <sheetName val="专项应付款Mx"/>
      <sheetName val="股本Dy"/>
      <sheetName val="股本Mx"/>
      <sheetName val="资本公积Dy"/>
      <sheetName val="资本公积mx"/>
      <sheetName val="盈余公积Dy"/>
      <sheetName val="盈余公积mx"/>
      <sheetName val="未分配利润Dy"/>
      <sheetName val="管理费用Dy"/>
      <sheetName val="管理费用月份波动"/>
      <sheetName val="财务费用Dy"/>
      <sheetName val="投资收益Dy"/>
      <sheetName val="补贴收入Dy"/>
      <sheetName val="营业外收入Dy"/>
      <sheetName val="营业外支出Dy"/>
      <sheetName val="所得税Dy"/>
      <sheetName val="所得税纳税调整"/>
      <sheetName val="以前年度损益调整Dy"/>
      <sheetName val="标本-资产"/>
      <sheetName val="程序表原始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主菜单"/>
      <sheetName val="导引表"/>
      <sheetName val="未审BS"/>
      <sheetName val="图表1"/>
      <sheetName val="未审IS"/>
      <sheetName val="未审分析"/>
      <sheetName val="AJE"/>
      <sheetName val="RJE"/>
      <sheetName val="TB_BS"/>
      <sheetName val="TB_IS"/>
      <sheetName val="TAX"/>
      <sheetName val="已审BS"/>
      <sheetName val="已审IS"/>
      <sheetName val="现金流量表"/>
      <sheetName val="CF_基础数据"/>
      <sheetName val="CF_前导表"/>
      <sheetName val="CF_补充分录"/>
      <sheetName val="CF_分析分录"/>
      <sheetName val="已审CF"/>
      <sheetName val="已审分析"/>
      <sheetName val="比率分析表"/>
      <sheetName val="分录"/>
      <sheetName val="评价标准"/>
      <sheetName val="报表调整_国运本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更新履歴"/>
      <sheetName val="処理概要"/>
      <sheetName val="バッチ機能仕様"/>
      <sheetName val="ファイル編集仕様書(ファイルIDorIF_ID)"/>
      <sheetName val="帳票編集仕様書(帳票ID)"/>
      <sheetName val="入出力一覧"/>
      <sheetName val="ファイルレイアウト"/>
      <sheetName val="帳票概要・レイアウト"/>
      <sheetName val="帳票項目定義"/>
      <sheetName val="概要図凡例"/>
      <sheetName val="入力選択肢"/>
      <sheetName val="補足１"/>
      <sheetName val="サンプル→"/>
      <sheetName val="処理概要_sample"/>
      <sheetName val="バッチ機能仕様_sample"/>
      <sheetName val="帳票編集仕様書(REP001)_sample"/>
      <sheetName val="入出力一覧_sample"/>
      <sheetName val="LDAJ0001_稼働状況変更_バッチ機能仕様書_v1.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业务信息"/>
      <sheetName val="单体BS"/>
      <sheetName val="单体IS"/>
      <sheetName val="单体CF"/>
      <sheetName val="减值准备"/>
      <sheetName val="合并BS"/>
      <sheetName val="合并IS"/>
      <sheetName val="合并CF"/>
      <sheetName val="分录"/>
    </sheetNames>
    <sheetDataSet>
      <sheetData sheetId="0" refreshError="1">
        <row r="4">
          <cell r="C4" t="str">
            <v>厦门象屿报关行有限公司</v>
          </cell>
        </row>
        <row r="6">
          <cell r="C6">
            <v>37986</v>
          </cell>
        </row>
        <row r="8">
          <cell r="C8" t="str">
            <v>年末数在前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怠表"/>
      <sheetName val="初期値"/>
      <sheetName val="已审CF"/>
      <sheetName val="BaseSheet1"/>
      <sheetName val="勤怠表日高0012"/>
      <sheetName val="JOBID"/>
      <sheetName val="代表ID"/>
      <sheetName val="見積基礎値"/>
      <sheetName val="見積り内訳"/>
      <sheetName val="仕入業者コード"/>
      <sheetName val="得意先コード"/>
      <sheetName val="WBS1"/>
      <sheetName val="基本契約KFC"/>
      <sheetName val="選択肢"/>
      <sheetName val="ｼﾞｪﾈﾚｰﾄ準備"/>
      <sheetName val="工数"/>
      <sheetName val="間接・販管費率"/>
      <sheetName val="データディクショナリィ"/>
      <sheetName val="査読ｼｰﾄ"/>
      <sheetName val="決定一覧９年度"/>
      <sheetName val="マスタ"/>
      <sheetName val="作業手順書"/>
      <sheetName val="作業手順書（復旧手順）"/>
      <sheetName val="体制図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EF5B-C835-4400-AC81-D786F6122B44}">
  <sheetPr codeName="Sheet1"/>
  <dimension ref="B12:H28"/>
  <sheetViews>
    <sheetView showGridLines="0" tabSelected="1" zoomScale="130" zoomScaleNormal="130" workbookViewId="0"/>
  </sheetViews>
  <sheetFormatPr defaultColWidth="9.36328125" defaultRowHeight="15"/>
  <cols>
    <col min="1" max="1" width="1.6328125" style="1" customWidth="1"/>
    <col min="2" max="2" width="8.08984375" style="1" customWidth="1"/>
    <col min="3" max="8" width="9.36328125" style="1"/>
    <col min="9" max="9" width="1.453125" style="1" customWidth="1"/>
    <col min="10" max="16384" width="9.36328125" style="1"/>
  </cols>
  <sheetData>
    <row r="12" spans="2:8">
      <c r="B12" s="189" t="s">
        <v>5</v>
      </c>
      <c r="C12" s="191"/>
      <c r="D12" s="189" t="s">
        <v>6</v>
      </c>
      <c r="E12" s="191"/>
      <c r="F12" s="189" t="s">
        <v>7</v>
      </c>
      <c r="G12" s="190"/>
      <c r="H12" s="191"/>
    </row>
    <row r="13" spans="2:8">
      <c r="B13" s="194" t="s">
        <v>3</v>
      </c>
      <c r="C13" s="196"/>
      <c r="D13" s="200" t="s">
        <v>79</v>
      </c>
      <c r="E13" s="200"/>
      <c r="F13" s="201" t="s">
        <v>80</v>
      </c>
      <c r="G13" s="201"/>
      <c r="H13" s="201"/>
    </row>
    <row r="16" spans="2:8">
      <c r="B16" s="189" t="s">
        <v>8</v>
      </c>
      <c r="C16" s="191"/>
      <c r="D16" s="194" t="s">
        <v>9</v>
      </c>
      <c r="E16" s="195"/>
      <c r="F16" s="195"/>
      <c r="G16" s="195"/>
      <c r="H16" s="196"/>
    </row>
    <row r="17" spans="2:8">
      <c r="B17" s="189" t="s">
        <v>10</v>
      </c>
      <c r="C17" s="191"/>
      <c r="D17" s="194"/>
      <c r="E17" s="195"/>
      <c r="F17" s="195"/>
      <c r="G17" s="195"/>
      <c r="H17" s="196"/>
    </row>
    <row r="18" spans="2:8">
      <c r="B18" s="189" t="s">
        <v>11</v>
      </c>
      <c r="C18" s="191"/>
      <c r="D18" s="197"/>
      <c r="E18" s="198"/>
      <c r="F18" s="198"/>
      <c r="G18" s="198"/>
      <c r="H18" s="199"/>
    </row>
    <row r="20" spans="2:8">
      <c r="B20" s="189" t="s">
        <v>12</v>
      </c>
      <c r="C20" s="190"/>
      <c r="D20" s="190"/>
      <c r="E20" s="190"/>
      <c r="F20" s="190"/>
      <c r="G20" s="190"/>
      <c r="H20" s="191"/>
    </row>
    <row r="21" spans="2:8">
      <c r="B21" s="2"/>
      <c r="C21" s="192" t="s">
        <v>1</v>
      </c>
      <c r="D21" s="193"/>
      <c r="E21" s="192" t="s">
        <v>0</v>
      </c>
      <c r="F21" s="193"/>
      <c r="G21" s="192" t="s">
        <v>13</v>
      </c>
      <c r="H21" s="193"/>
    </row>
    <row r="22" spans="2:8">
      <c r="B22" s="3" t="s">
        <v>14</v>
      </c>
      <c r="C22" s="185" t="s">
        <v>340</v>
      </c>
      <c r="D22" s="185"/>
      <c r="E22" s="186"/>
      <c r="F22" s="186"/>
      <c r="G22" s="186"/>
      <c r="H22" s="186"/>
    </row>
    <row r="23" spans="2:8">
      <c r="B23" s="3" t="s">
        <v>2</v>
      </c>
      <c r="C23" s="188"/>
      <c r="D23" s="186"/>
      <c r="E23" s="188"/>
      <c r="F23" s="186"/>
      <c r="G23" s="188"/>
      <c r="H23" s="186"/>
    </row>
    <row r="25" spans="2:8">
      <c r="B25" s="189" t="s">
        <v>15</v>
      </c>
      <c r="C25" s="190"/>
      <c r="D25" s="190"/>
      <c r="E25" s="190"/>
      <c r="F25" s="190"/>
      <c r="G25" s="190"/>
      <c r="H25" s="191"/>
    </row>
    <row r="26" spans="2:8">
      <c r="B26" s="2"/>
      <c r="C26" s="192" t="s">
        <v>16</v>
      </c>
      <c r="D26" s="193"/>
      <c r="E26" s="192" t="s">
        <v>0</v>
      </c>
      <c r="F26" s="193"/>
      <c r="G26" s="192" t="s">
        <v>13</v>
      </c>
      <c r="H26" s="193"/>
    </row>
    <row r="27" spans="2:8">
      <c r="B27" s="3" t="s">
        <v>14</v>
      </c>
      <c r="C27" s="184" t="s">
        <v>331</v>
      </c>
      <c r="D27" s="185"/>
      <c r="E27" s="186"/>
      <c r="F27" s="186"/>
      <c r="G27" s="186"/>
      <c r="H27" s="186"/>
    </row>
    <row r="28" spans="2:8">
      <c r="B28" s="3" t="s">
        <v>2</v>
      </c>
      <c r="C28" s="187">
        <v>45960</v>
      </c>
      <c r="D28" s="185"/>
      <c r="E28" s="188"/>
      <c r="F28" s="186"/>
      <c r="G28" s="188"/>
      <c r="H28" s="186"/>
    </row>
  </sheetData>
  <mergeCells count="32">
    <mergeCell ref="B12:C12"/>
    <mergeCell ref="D12:E12"/>
    <mergeCell ref="F12:H12"/>
    <mergeCell ref="B13:C13"/>
    <mergeCell ref="D13:E13"/>
    <mergeCell ref="F13:H13"/>
    <mergeCell ref="B16:C16"/>
    <mergeCell ref="D16:H16"/>
    <mergeCell ref="B17:C17"/>
    <mergeCell ref="D17:H17"/>
    <mergeCell ref="B18:C18"/>
    <mergeCell ref="D18:H18"/>
    <mergeCell ref="B20:H20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B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7DBC-3145-4791-B23A-D2687C76D98E}">
  <sheetPr codeName="Sheet2"/>
  <dimension ref="B2:L27"/>
  <sheetViews>
    <sheetView zoomScaleNormal="100" zoomScaleSheetLayoutView="100" workbookViewId="0"/>
  </sheetViews>
  <sheetFormatPr defaultColWidth="7.453125" defaultRowHeight="15"/>
  <cols>
    <col min="1" max="1" width="2.90625" style="5" customWidth="1"/>
    <col min="2" max="2" width="6.26953125" style="5" bestFit="1" customWidth="1"/>
    <col min="3" max="3" width="19.26953125" style="5" customWidth="1"/>
    <col min="4" max="4" width="8" style="5" customWidth="1"/>
    <col min="5" max="5" width="13.36328125" style="5" customWidth="1"/>
    <col min="6" max="6" width="42" style="5" customWidth="1"/>
    <col min="7" max="7" width="11.08984375" style="5" bestFit="1" customWidth="1"/>
    <col min="8" max="8" width="8" style="5" customWidth="1"/>
    <col min="9" max="9" width="11.08984375" style="5" bestFit="1" customWidth="1"/>
    <col min="10" max="10" width="8" style="5" customWidth="1"/>
    <col min="11" max="11" width="44.08984375" style="5" customWidth="1"/>
    <col min="12" max="12" width="3.6328125" style="5" customWidth="1"/>
    <col min="13" max="16384" width="7.453125" style="5"/>
  </cols>
  <sheetData>
    <row r="2" spans="2:12">
      <c r="B2" s="4" t="s">
        <v>17</v>
      </c>
      <c r="C2" s="4" t="s">
        <v>18</v>
      </c>
      <c r="D2" s="4" t="s">
        <v>4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</row>
    <row r="3" spans="2:12">
      <c r="B3" s="6">
        <v>1</v>
      </c>
      <c r="C3" s="177">
        <v>45960</v>
      </c>
      <c r="D3" s="178" t="s">
        <v>331</v>
      </c>
      <c r="E3" s="179"/>
      <c r="F3" s="180" t="s">
        <v>328</v>
      </c>
      <c r="G3" s="7"/>
      <c r="H3" s="8"/>
      <c r="I3" s="7"/>
      <c r="J3" s="8"/>
      <c r="K3" s="8"/>
      <c r="L3" s="5" t="s">
        <v>26</v>
      </c>
    </row>
    <row r="4" spans="2:12">
      <c r="B4" s="6"/>
      <c r="C4" s="8"/>
      <c r="D4" s="8"/>
      <c r="E4" s="8"/>
      <c r="F4" s="8"/>
      <c r="G4" s="8"/>
      <c r="H4" s="8"/>
      <c r="I4" s="8"/>
      <c r="J4" s="8"/>
      <c r="K4" s="8"/>
      <c r="L4" s="5" t="s">
        <v>26</v>
      </c>
    </row>
    <row r="5" spans="2:12">
      <c r="B5" s="6"/>
      <c r="C5" s="8"/>
      <c r="D5" s="8"/>
      <c r="E5" s="8"/>
      <c r="F5" s="8"/>
      <c r="G5" s="8"/>
      <c r="H5" s="8"/>
      <c r="I5" s="8"/>
      <c r="J5" s="8"/>
      <c r="K5" s="8"/>
      <c r="L5" s="5" t="s">
        <v>26</v>
      </c>
    </row>
    <row r="6" spans="2:12">
      <c r="B6" s="6"/>
      <c r="C6" s="8"/>
      <c r="D6" s="8"/>
      <c r="E6" s="8"/>
      <c r="F6" s="8"/>
      <c r="G6" s="8"/>
      <c r="H6" s="8"/>
      <c r="I6" s="8"/>
      <c r="J6" s="8"/>
      <c r="K6" s="8"/>
      <c r="L6" s="5" t="s">
        <v>26</v>
      </c>
    </row>
    <row r="7" spans="2:12">
      <c r="B7" s="6"/>
      <c r="C7" s="8"/>
      <c r="D7" s="8"/>
      <c r="E7" s="8"/>
      <c r="F7" s="8"/>
      <c r="G7" s="8"/>
      <c r="H7" s="8"/>
      <c r="I7" s="8"/>
      <c r="J7" s="8"/>
      <c r="K7" s="8"/>
      <c r="L7" s="5" t="s">
        <v>26</v>
      </c>
    </row>
    <row r="8" spans="2:12">
      <c r="B8" s="6"/>
      <c r="C8" s="8"/>
      <c r="D8" s="8"/>
      <c r="E8" s="8"/>
      <c r="F8" s="8"/>
      <c r="G8" s="8"/>
      <c r="H8" s="8"/>
      <c r="I8" s="8"/>
      <c r="J8" s="8"/>
      <c r="K8" s="8"/>
      <c r="L8" s="5" t="s">
        <v>26</v>
      </c>
    </row>
    <row r="9" spans="2:12">
      <c r="B9" s="6"/>
      <c r="C9" s="8"/>
      <c r="D9" s="8"/>
      <c r="E9" s="8"/>
      <c r="F9" s="8"/>
      <c r="G9" s="8"/>
      <c r="H9" s="8"/>
      <c r="I9" s="8"/>
      <c r="J9" s="8"/>
      <c r="K9" s="8"/>
      <c r="L9" s="5" t="s">
        <v>26</v>
      </c>
    </row>
    <row r="10" spans="2:12">
      <c r="B10" s="6"/>
      <c r="C10" s="8"/>
      <c r="D10" s="8"/>
      <c r="E10" s="8"/>
      <c r="F10" s="8"/>
      <c r="G10" s="8"/>
      <c r="H10" s="8"/>
      <c r="I10" s="8"/>
      <c r="J10" s="8"/>
      <c r="K10" s="8"/>
      <c r="L10" s="5" t="s">
        <v>26</v>
      </c>
    </row>
    <row r="11" spans="2:12">
      <c r="B11" s="6"/>
      <c r="C11" s="8"/>
      <c r="D11" s="8"/>
      <c r="E11" s="8"/>
      <c r="F11" s="8"/>
      <c r="G11" s="8"/>
      <c r="H11" s="8"/>
      <c r="I11" s="8"/>
      <c r="J11" s="8"/>
      <c r="K11" s="8"/>
      <c r="L11" s="5" t="s">
        <v>26</v>
      </c>
    </row>
    <row r="12" spans="2:12">
      <c r="B12" s="6"/>
      <c r="C12" s="8"/>
      <c r="D12" s="8"/>
      <c r="E12" s="8"/>
      <c r="F12" s="8"/>
      <c r="G12" s="8"/>
      <c r="H12" s="8"/>
      <c r="I12" s="8"/>
      <c r="J12" s="8"/>
      <c r="K12" s="8"/>
      <c r="L12" s="5" t="s">
        <v>26</v>
      </c>
    </row>
    <row r="13" spans="2:12">
      <c r="B13" s="6"/>
      <c r="C13" s="8"/>
      <c r="D13" s="8"/>
      <c r="E13" s="8"/>
      <c r="F13" s="8"/>
      <c r="G13" s="8"/>
      <c r="H13" s="8"/>
      <c r="I13" s="8"/>
      <c r="J13" s="8"/>
      <c r="K13" s="8"/>
      <c r="L13" s="5" t="s">
        <v>26</v>
      </c>
    </row>
    <row r="14" spans="2:12">
      <c r="B14" s="6"/>
      <c r="C14" s="8"/>
      <c r="D14" s="8"/>
      <c r="E14" s="8"/>
      <c r="F14" s="8"/>
      <c r="G14" s="8"/>
      <c r="H14" s="8"/>
      <c r="I14" s="8"/>
      <c r="J14" s="8"/>
      <c r="K14" s="8"/>
      <c r="L14" s="5" t="s">
        <v>26</v>
      </c>
    </row>
    <row r="15" spans="2:12">
      <c r="B15" s="6"/>
      <c r="C15" s="8"/>
      <c r="D15" s="8"/>
      <c r="E15" s="8"/>
      <c r="F15" s="8"/>
      <c r="G15" s="8"/>
      <c r="H15" s="8"/>
      <c r="I15" s="8"/>
      <c r="J15" s="8"/>
      <c r="K15" s="8"/>
      <c r="L15" s="5" t="s">
        <v>26</v>
      </c>
    </row>
    <row r="16" spans="2:12">
      <c r="B16" s="6"/>
      <c r="C16" s="8"/>
      <c r="D16" s="8"/>
      <c r="E16" s="8"/>
      <c r="F16" s="8"/>
      <c r="G16" s="8"/>
      <c r="H16" s="8"/>
      <c r="I16" s="8"/>
      <c r="J16" s="8"/>
      <c r="K16" s="8"/>
      <c r="L16" s="5" t="s">
        <v>26</v>
      </c>
    </row>
    <row r="17" spans="2:12">
      <c r="B17" s="6"/>
      <c r="C17" s="8"/>
      <c r="D17" s="8"/>
      <c r="E17" s="8"/>
      <c r="F17" s="8"/>
      <c r="G17" s="8"/>
      <c r="H17" s="8"/>
      <c r="I17" s="8"/>
      <c r="J17" s="8"/>
      <c r="K17" s="8"/>
      <c r="L17" s="5" t="s">
        <v>26</v>
      </c>
    </row>
    <row r="18" spans="2:12">
      <c r="B18" s="6"/>
      <c r="C18" s="8"/>
      <c r="D18" s="8"/>
      <c r="E18" s="8"/>
      <c r="F18" s="8"/>
      <c r="G18" s="8"/>
      <c r="H18" s="8"/>
      <c r="I18" s="8"/>
      <c r="J18" s="8"/>
      <c r="K18" s="8"/>
      <c r="L18" s="5" t="s">
        <v>26</v>
      </c>
    </row>
    <row r="19" spans="2:12">
      <c r="B19" s="6"/>
      <c r="C19" s="8"/>
      <c r="D19" s="8"/>
      <c r="E19" s="8"/>
      <c r="F19" s="8"/>
      <c r="G19" s="8"/>
      <c r="H19" s="8"/>
      <c r="I19" s="8"/>
      <c r="J19" s="8"/>
      <c r="K19" s="8"/>
      <c r="L19" s="5" t="s">
        <v>26</v>
      </c>
    </row>
    <row r="20" spans="2:12">
      <c r="B20" s="6"/>
      <c r="C20" s="8"/>
      <c r="D20" s="8"/>
      <c r="E20" s="8"/>
      <c r="F20" s="8"/>
      <c r="G20" s="8"/>
      <c r="H20" s="8"/>
      <c r="I20" s="8"/>
      <c r="J20" s="8"/>
      <c r="K20" s="8"/>
      <c r="L20" s="5" t="s">
        <v>26</v>
      </c>
    </row>
    <row r="21" spans="2:12">
      <c r="B21" s="6"/>
      <c r="C21" s="8"/>
      <c r="D21" s="8"/>
      <c r="E21" s="8"/>
      <c r="F21" s="8"/>
      <c r="G21" s="8"/>
      <c r="H21" s="8"/>
      <c r="I21" s="8"/>
      <c r="J21" s="8"/>
      <c r="K21" s="8"/>
      <c r="L21" s="5" t="s">
        <v>26</v>
      </c>
    </row>
    <row r="22" spans="2:12">
      <c r="B22" s="6"/>
      <c r="C22" s="8"/>
      <c r="D22" s="8"/>
      <c r="E22" s="8"/>
      <c r="F22" s="8"/>
      <c r="G22" s="8"/>
      <c r="H22" s="8"/>
      <c r="I22" s="8"/>
      <c r="J22" s="8"/>
      <c r="K22" s="8"/>
      <c r="L22" s="5" t="s">
        <v>26</v>
      </c>
    </row>
    <row r="23" spans="2:12">
      <c r="B23" s="6"/>
      <c r="C23" s="8"/>
      <c r="D23" s="8"/>
      <c r="E23" s="8"/>
      <c r="F23" s="8"/>
      <c r="G23" s="8"/>
      <c r="H23" s="8"/>
      <c r="I23" s="8"/>
      <c r="J23" s="8"/>
      <c r="K23" s="8"/>
      <c r="L23" s="5" t="s">
        <v>26</v>
      </c>
    </row>
    <row r="24" spans="2:12">
      <c r="B24" s="6"/>
      <c r="C24" s="8"/>
      <c r="D24" s="8"/>
      <c r="E24" s="8"/>
      <c r="F24" s="8"/>
      <c r="G24" s="8"/>
      <c r="H24" s="8"/>
      <c r="I24" s="8"/>
      <c r="J24" s="8"/>
      <c r="K24" s="8"/>
      <c r="L24" s="5" t="s">
        <v>26</v>
      </c>
    </row>
    <row r="25" spans="2:12">
      <c r="B25" s="6"/>
      <c r="C25" s="8"/>
      <c r="D25" s="8"/>
      <c r="E25" s="8"/>
      <c r="F25" s="8"/>
      <c r="G25" s="8"/>
      <c r="H25" s="8"/>
      <c r="I25" s="8"/>
      <c r="J25" s="8"/>
      <c r="K25" s="8"/>
      <c r="L25" s="5" t="s">
        <v>26</v>
      </c>
    </row>
    <row r="26" spans="2:12">
      <c r="B26" s="6"/>
      <c r="C26" s="8"/>
      <c r="D26" s="8"/>
      <c r="E26" s="8"/>
      <c r="F26" s="8"/>
      <c r="G26" s="8"/>
      <c r="H26" s="8"/>
      <c r="I26" s="7"/>
      <c r="J26" s="8"/>
      <c r="K26" s="8"/>
      <c r="L26" s="5" t="s">
        <v>26</v>
      </c>
    </row>
    <row r="27" spans="2:12">
      <c r="B27" s="5" t="s">
        <v>26</v>
      </c>
      <c r="C27" s="5" t="s">
        <v>26</v>
      </c>
      <c r="D27" s="5" t="s">
        <v>26</v>
      </c>
      <c r="E27" s="5" t="s">
        <v>26</v>
      </c>
      <c r="F27" s="5" t="s">
        <v>26</v>
      </c>
      <c r="G27" s="5" t="s">
        <v>26</v>
      </c>
      <c r="H27" s="5" t="s">
        <v>26</v>
      </c>
      <c r="I27" s="5" t="s">
        <v>26</v>
      </c>
      <c r="J27" s="5" t="s">
        <v>26</v>
      </c>
      <c r="K27" s="5" t="s">
        <v>26</v>
      </c>
    </row>
  </sheetData>
  <phoneticPr fontId="3"/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CF0E-B3DC-427B-811A-6C994A1DBB31}">
  <sheetPr codeName="Sheet3"/>
  <dimension ref="A2:N199"/>
  <sheetViews>
    <sheetView showGridLines="0" zoomScale="115" zoomScaleNormal="115" workbookViewId="0">
      <pane ySplit="5" topLeftCell="A6" activePane="bottomLeft" state="frozen"/>
      <selection pane="bottomLeft"/>
    </sheetView>
  </sheetViews>
  <sheetFormatPr defaultColWidth="9" defaultRowHeight="12.5"/>
  <cols>
    <col min="1" max="1" width="6.7265625" style="9" customWidth="1"/>
    <col min="2" max="2" width="25.36328125" style="14" customWidth="1"/>
    <col min="3" max="3" width="22.36328125" style="14" customWidth="1"/>
    <col min="4" max="4" width="36.90625" style="14" bestFit="1" customWidth="1"/>
    <col min="5" max="5" width="36.90625" style="14" customWidth="1"/>
    <col min="6" max="6" width="12.36328125" style="16" customWidth="1"/>
    <col min="7" max="7" width="12.36328125" style="14" customWidth="1"/>
    <col min="8" max="9" width="8.26953125" style="14" customWidth="1"/>
    <col min="10" max="10" width="7.90625" style="14" bestFit="1" customWidth="1"/>
    <col min="11" max="11" width="18.453125" style="14" bestFit="1" customWidth="1"/>
    <col min="12" max="12" width="10.36328125" style="14" bestFit="1" customWidth="1"/>
    <col min="13" max="13" width="10.90625" style="14" customWidth="1"/>
    <col min="14" max="14" width="16.26953125" style="14" customWidth="1"/>
    <col min="15" max="15" width="28" style="14" customWidth="1"/>
    <col min="16" max="16384" width="9" style="14"/>
  </cols>
  <sheetData>
    <row r="2" spans="1:14" ht="25.5" customHeight="1">
      <c r="B2" s="202" t="s">
        <v>27</v>
      </c>
      <c r="C2" s="203" t="s">
        <v>329</v>
      </c>
      <c r="D2" s="203"/>
      <c r="E2" s="203"/>
      <c r="F2" s="10" t="s">
        <v>28</v>
      </c>
      <c r="G2" s="11">
        <f>COUNTIF(G6:G475,"*")</f>
        <v>58</v>
      </c>
      <c r="H2" s="204" t="s">
        <v>29</v>
      </c>
      <c r="I2" s="204"/>
      <c r="J2" s="11">
        <f>COUNTIF(L6:L475,"*")</f>
        <v>58</v>
      </c>
      <c r="K2" s="12" t="s">
        <v>30</v>
      </c>
      <c r="L2" s="11">
        <f>G2-J2</f>
        <v>0</v>
      </c>
      <c r="M2" s="13" t="s">
        <v>31</v>
      </c>
      <c r="N2" s="11">
        <f>COUNTIF(L6:L475,"OK")</f>
        <v>58</v>
      </c>
    </row>
    <row r="3" spans="1:14" ht="25.5" customHeight="1">
      <c r="B3" s="202"/>
      <c r="C3" s="203"/>
      <c r="D3" s="203"/>
      <c r="E3" s="203"/>
      <c r="F3" s="12" t="s">
        <v>32</v>
      </c>
      <c r="G3" s="15">
        <f>J2/G2</f>
        <v>1</v>
      </c>
      <c r="H3" s="204" t="s">
        <v>33</v>
      </c>
      <c r="I3" s="204"/>
      <c r="J3" s="15">
        <f>IF(J2=0,0,N2/J2)</f>
        <v>1</v>
      </c>
      <c r="K3" s="12"/>
      <c r="L3" s="11"/>
      <c r="M3" s="13"/>
      <c r="N3" s="11"/>
    </row>
    <row r="4" spans="1:14">
      <c r="M4" s="14" t="s">
        <v>34</v>
      </c>
      <c r="N4" s="14" t="s">
        <v>35</v>
      </c>
    </row>
    <row r="5" spans="1:14" s="18" customFormat="1" ht="27">
      <c r="A5" s="17" t="s">
        <v>36</v>
      </c>
      <c r="B5" s="17" t="s">
        <v>327</v>
      </c>
      <c r="C5" s="17" t="s">
        <v>37</v>
      </c>
      <c r="D5" s="17" t="s">
        <v>38</v>
      </c>
      <c r="E5" s="17" t="s">
        <v>39</v>
      </c>
      <c r="F5" s="17" t="s">
        <v>40</v>
      </c>
      <c r="G5" s="17" t="s">
        <v>41</v>
      </c>
      <c r="H5" s="17" t="s">
        <v>42</v>
      </c>
      <c r="I5" s="17" t="s">
        <v>43</v>
      </c>
      <c r="J5" s="17" t="s">
        <v>44</v>
      </c>
      <c r="K5" s="17" t="s">
        <v>45</v>
      </c>
      <c r="L5" s="17" t="s">
        <v>46</v>
      </c>
      <c r="M5" s="17" t="s">
        <v>47</v>
      </c>
      <c r="N5" s="17" t="s">
        <v>48</v>
      </c>
    </row>
    <row r="6" spans="1:14" ht="12" customHeight="1">
      <c r="A6" s="23" t="s">
        <v>81</v>
      </c>
      <c r="B6" s="24"/>
      <c r="C6" s="24"/>
      <c r="D6" s="24"/>
      <c r="E6" s="24"/>
      <c r="F6" s="25"/>
      <c r="G6" s="24"/>
      <c r="H6" s="24"/>
      <c r="I6" s="24"/>
      <c r="J6" s="24"/>
      <c r="K6" s="24"/>
      <c r="L6" s="24"/>
      <c r="M6" s="24"/>
      <c r="N6" s="26"/>
    </row>
    <row r="7" spans="1:14" ht="19" customHeight="1">
      <c r="A7" s="19">
        <v>1</v>
      </c>
      <c r="B7" s="20" t="s">
        <v>82</v>
      </c>
      <c r="C7" s="20" t="s">
        <v>106</v>
      </c>
      <c r="D7" s="20" t="s">
        <v>108</v>
      </c>
      <c r="E7" s="20" t="s">
        <v>69</v>
      </c>
      <c r="F7" s="114" t="s">
        <v>84</v>
      </c>
      <c r="G7" s="20" t="s">
        <v>49</v>
      </c>
      <c r="H7" s="20" t="s">
        <v>266</v>
      </c>
      <c r="I7" s="11" t="s">
        <v>267</v>
      </c>
      <c r="J7" s="20" t="s">
        <v>268</v>
      </c>
      <c r="K7" s="181" t="s">
        <v>331</v>
      </c>
      <c r="L7" s="20" t="s">
        <v>268</v>
      </c>
      <c r="M7" s="20" t="s">
        <v>268</v>
      </c>
      <c r="N7" s="20"/>
    </row>
    <row r="8" spans="1:14" ht="25">
      <c r="A8" s="19">
        <v>2</v>
      </c>
      <c r="B8" s="20"/>
      <c r="C8" s="20"/>
      <c r="D8" s="20" t="s">
        <v>110</v>
      </c>
      <c r="E8" s="20" t="s">
        <v>240</v>
      </c>
      <c r="F8" s="114" t="s">
        <v>332</v>
      </c>
      <c r="G8" s="20" t="s">
        <v>49</v>
      </c>
      <c r="H8" s="20" t="s">
        <v>266</v>
      </c>
      <c r="I8" s="11" t="s">
        <v>267</v>
      </c>
      <c r="J8" s="20" t="s">
        <v>268</v>
      </c>
      <c r="K8" s="181" t="s">
        <v>331</v>
      </c>
      <c r="L8" s="20" t="s">
        <v>268</v>
      </c>
      <c r="M8" s="20" t="s">
        <v>268</v>
      </c>
      <c r="N8" s="20"/>
    </row>
    <row r="9" spans="1:14" ht="13">
      <c r="A9" s="19">
        <v>3</v>
      </c>
      <c r="B9" s="20"/>
      <c r="C9" s="20" t="s">
        <v>123</v>
      </c>
      <c r="D9" s="20" t="s">
        <v>125</v>
      </c>
      <c r="E9" s="20" t="s">
        <v>69</v>
      </c>
      <c r="F9" s="114" t="s">
        <v>332</v>
      </c>
      <c r="G9" s="20" t="s">
        <v>49</v>
      </c>
      <c r="H9" s="20" t="s">
        <v>266</v>
      </c>
      <c r="I9" s="11" t="s">
        <v>267</v>
      </c>
      <c r="J9" s="20" t="s">
        <v>268</v>
      </c>
      <c r="K9" s="181" t="s">
        <v>331</v>
      </c>
      <c r="L9" s="20" t="s">
        <v>268</v>
      </c>
      <c r="M9" s="20" t="s">
        <v>268</v>
      </c>
      <c r="N9" s="20"/>
    </row>
    <row r="10" spans="1:14" ht="25">
      <c r="A10" s="19">
        <v>4</v>
      </c>
      <c r="B10" s="20"/>
      <c r="C10" s="20"/>
      <c r="D10" s="20" t="s">
        <v>127</v>
      </c>
      <c r="E10" s="20" t="s">
        <v>241</v>
      </c>
      <c r="F10" s="114" t="s">
        <v>332</v>
      </c>
      <c r="G10" s="20" t="s">
        <v>49</v>
      </c>
      <c r="H10" s="20" t="s">
        <v>266</v>
      </c>
      <c r="I10" s="11" t="s">
        <v>267</v>
      </c>
      <c r="J10" s="20" t="s">
        <v>268</v>
      </c>
      <c r="K10" s="181" t="s">
        <v>331</v>
      </c>
      <c r="L10" s="20" t="s">
        <v>268</v>
      </c>
      <c r="M10" s="20" t="s">
        <v>268</v>
      </c>
      <c r="N10" s="20"/>
    </row>
    <row r="11" spans="1:14" ht="25">
      <c r="A11" s="19">
        <v>5</v>
      </c>
      <c r="B11" s="20"/>
      <c r="C11" s="20"/>
      <c r="D11" s="20" t="s">
        <v>134</v>
      </c>
      <c r="E11" s="20" t="s">
        <v>241</v>
      </c>
      <c r="F11" s="114" t="s">
        <v>332</v>
      </c>
      <c r="G11" s="20" t="s">
        <v>49</v>
      </c>
      <c r="H11" s="20" t="s">
        <v>266</v>
      </c>
      <c r="I11" s="11" t="s">
        <v>267</v>
      </c>
      <c r="J11" s="20" t="s">
        <v>268</v>
      </c>
      <c r="K11" s="181" t="s">
        <v>331</v>
      </c>
      <c r="L11" s="20" t="s">
        <v>268</v>
      </c>
      <c r="M11" s="20" t="s">
        <v>268</v>
      </c>
      <c r="N11" s="20"/>
    </row>
    <row r="12" spans="1:14" ht="13">
      <c r="A12" s="19">
        <v>6</v>
      </c>
      <c r="B12" s="20"/>
      <c r="C12" s="20" t="s">
        <v>137</v>
      </c>
      <c r="D12" s="20" t="s">
        <v>139</v>
      </c>
      <c r="E12" s="20" t="s">
        <v>69</v>
      </c>
      <c r="F12" s="114" t="s">
        <v>332</v>
      </c>
      <c r="G12" s="20" t="s">
        <v>49</v>
      </c>
      <c r="H12" s="20" t="s">
        <v>266</v>
      </c>
      <c r="I12" s="11" t="s">
        <v>267</v>
      </c>
      <c r="J12" s="20" t="s">
        <v>268</v>
      </c>
      <c r="K12" s="181" t="s">
        <v>331</v>
      </c>
      <c r="L12" s="20" t="s">
        <v>268</v>
      </c>
      <c r="M12" s="20" t="s">
        <v>268</v>
      </c>
      <c r="N12" s="20"/>
    </row>
    <row r="13" spans="1:14" ht="25">
      <c r="A13" s="19">
        <v>7</v>
      </c>
      <c r="B13" s="20"/>
      <c r="C13" s="20"/>
      <c r="D13" s="20" t="s">
        <v>140</v>
      </c>
      <c r="E13" s="20" t="s">
        <v>245</v>
      </c>
      <c r="F13" s="114" t="s">
        <v>332</v>
      </c>
      <c r="G13" s="20" t="s">
        <v>49</v>
      </c>
      <c r="H13" s="20" t="s">
        <v>266</v>
      </c>
      <c r="I13" s="11" t="s">
        <v>267</v>
      </c>
      <c r="J13" s="20" t="s">
        <v>268</v>
      </c>
      <c r="K13" s="181" t="s">
        <v>331</v>
      </c>
      <c r="L13" s="20" t="s">
        <v>268</v>
      </c>
      <c r="M13" s="20" t="s">
        <v>268</v>
      </c>
      <c r="N13" s="20"/>
    </row>
    <row r="14" spans="1:14" ht="13">
      <c r="A14" s="19">
        <v>8</v>
      </c>
      <c r="B14" s="20"/>
      <c r="C14" s="20" t="s">
        <v>143</v>
      </c>
      <c r="D14" s="20" t="s">
        <v>146</v>
      </c>
      <c r="E14" s="20" t="s">
        <v>69</v>
      </c>
      <c r="F14" s="114" t="s">
        <v>332</v>
      </c>
      <c r="G14" s="20" t="s">
        <v>49</v>
      </c>
      <c r="H14" s="20" t="s">
        <v>266</v>
      </c>
      <c r="I14" s="11" t="s">
        <v>267</v>
      </c>
      <c r="J14" s="20" t="s">
        <v>268</v>
      </c>
      <c r="K14" s="181" t="s">
        <v>331</v>
      </c>
      <c r="L14" s="20" t="s">
        <v>268</v>
      </c>
      <c r="M14" s="20" t="s">
        <v>268</v>
      </c>
      <c r="N14" s="20"/>
    </row>
    <row r="15" spans="1:14" ht="25">
      <c r="A15" s="19">
        <v>9</v>
      </c>
      <c r="B15" s="20"/>
      <c r="C15" s="20"/>
      <c r="D15" s="20" t="s">
        <v>147</v>
      </c>
      <c r="E15" s="20" t="s">
        <v>244</v>
      </c>
      <c r="F15" s="114" t="s">
        <v>332</v>
      </c>
      <c r="G15" s="20" t="s">
        <v>49</v>
      </c>
      <c r="H15" s="20" t="s">
        <v>266</v>
      </c>
      <c r="I15" s="11" t="s">
        <v>267</v>
      </c>
      <c r="J15" s="20" t="s">
        <v>268</v>
      </c>
      <c r="K15" s="181" t="s">
        <v>331</v>
      </c>
      <c r="L15" s="20" t="s">
        <v>268</v>
      </c>
      <c r="M15" s="20" t="s">
        <v>268</v>
      </c>
      <c r="N15" s="20"/>
    </row>
    <row r="16" spans="1:14" ht="13">
      <c r="A16" s="19">
        <v>10</v>
      </c>
      <c r="B16" s="20"/>
      <c r="C16" s="20" t="s">
        <v>151</v>
      </c>
      <c r="D16" s="20" t="s">
        <v>153</v>
      </c>
      <c r="E16" s="20" t="s">
        <v>69</v>
      </c>
      <c r="F16" s="114" t="s">
        <v>332</v>
      </c>
      <c r="G16" s="20" t="s">
        <v>49</v>
      </c>
      <c r="H16" s="20" t="s">
        <v>266</v>
      </c>
      <c r="I16" s="11" t="s">
        <v>267</v>
      </c>
      <c r="J16" s="20" t="s">
        <v>268</v>
      </c>
      <c r="K16" s="181" t="s">
        <v>331</v>
      </c>
      <c r="L16" s="20" t="s">
        <v>268</v>
      </c>
      <c r="M16" s="20" t="s">
        <v>268</v>
      </c>
      <c r="N16" s="20"/>
    </row>
    <row r="17" spans="1:14" ht="25">
      <c r="A17" s="19">
        <v>11</v>
      </c>
      <c r="B17" s="20"/>
      <c r="C17" s="20"/>
      <c r="D17" s="20" t="s">
        <v>154</v>
      </c>
      <c r="E17" s="20" t="s">
        <v>247</v>
      </c>
      <c r="F17" s="114" t="s">
        <v>332</v>
      </c>
      <c r="G17" s="20" t="s">
        <v>49</v>
      </c>
      <c r="H17" s="20" t="s">
        <v>266</v>
      </c>
      <c r="I17" s="11" t="s">
        <v>267</v>
      </c>
      <c r="J17" s="20" t="s">
        <v>268</v>
      </c>
      <c r="K17" s="181" t="s">
        <v>331</v>
      </c>
      <c r="L17" s="20" t="s">
        <v>268</v>
      </c>
      <c r="M17" s="20" t="s">
        <v>268</v>
      </c>
      <c r="N17" s="20"/>
    </row>
    <row r="18" spans="1:14" ht="25">
      <c r="A18" s="19">
        <v>12</v>
      </c>
      <c r="B18" s="20"/>
      <c r="C18" s="20"/>
      <c r="D18" s="20" t="s">
        <v>155</v>
      </c>
      <c r="E18" s="20" t="s">
        <v>247</v>
      </c>
      <c r="F18" s="114" t="s">
        <v>332</v>
      </c>
      <c r="G18" s="20" t="s">
        <v>49</v>
      </c>
      <c r="H18" s="20" t="s">
        <v>266</v>
      </c>
      <c r="I18" s="11" t="s">
        <v>267</v>
      </c>
      <c r="J18" s="20" t="s">
        <v>268</v>
      </c>
      <c r="K18" s="181" t="s">
        <v>331</v>
      </c>
      <c r="L18" s="20" t="s">
        <v>268</v>
      </c>
      <c r="M18" s="20" t="s">
        <v>268</v>
      </c>
      <c r="N18" s="20"/>
    </row>
    <row r="19" spans="1:14" ht="13">
      <c r="A19" s="19">
        <v>13</v>
      </c>
      <c r="B19" s="20"/>
      <c r="C19" s="20" t="s">
        <v>161</v>
      </c>
      <c r="D19" s="20" t="s">
        <v>163</v>
      </c>
      <c r="E19" s="20" t="s">
        <v>69</v>
      </c>
      <c r="F19" s="114" t="s">
        <v>332</v>
      </c>
      <c r="G19" s="20" t="s">
        <v>49</v>
      </c>
      <c r="H19" s="20" t="s">
        <v>266</v>
      </c>
      <c r="I19" s="11" t="s">
        <v>267</v>
      </c>
      <c r="J19" s="20" t="s">
        <v>268</v>
      </c>
      <c r="K19" s="181" t="s">
        <v>331</v>
      </c>
      <c r="L19" s="20" t="s">
        <v>268</v>
      </c>
      <c r="M19" s="20" t="s">
        <v>268</v>
      </c>
      <c r="N19" s="20"/>
    </row>
    <row r="20" spans="1:14" ht="25">
      <c r="A20" s="19">
        <v>14</v>
      </c>
      <c r="B20" s="20"/>
      <c r="C20" s="20"/>
      <c r="D20" s="20" t="s">
        <v>164</v>
      </c>
      <c r="E20" s="20" t="s">
        <v>249</v>
      </c>
      <c r="F20" s="114" t="s">
        <v>332</v>
      </c>
      <c r="G20" s="20" t="s">
        <v>49</v>
      </c>
      <c r="H20" s="20" t="s">
        <v>266</v>
      </c>
      <c r="I20" s="11" t="s">
        <v>267</v>
      </c>
      <c r="J20" s="20" t="s">
        <v>268</v>
      </c>
      <c r="K20" s="181" t="s">
        <v>331</v>
      </c>
      <c r="L20" s="20" t="s">
        <v>268</v>
      </c>
      <c r="M20" s="20" t="s">
        <v>268</v>
      </c>
      <c r="N20" s="20"/>
    </row>
    <row r="21" spans="1:14" ht="25">
      <c r="A21" s="19">
        <v>15</v>
      </c>
      <c r="B21" s="20"/>
      <c r="C21" s="20"/>
      <c r="D21" s="20" t="s">
        <v>165</v>
      </c>
      <c r="E21" s="20" t="s">
        <v>249</v>
      </c>
      <c r="F21" s="114" t="s">
        <v>332</v>
      </c>
      <c r="G21" s="20" t="s">
        <v>49</v>
      </c>
      <c r="H21" s="20" t="s">
        <v>266</v>
      </c>
      <c r="I21" s="11" t="s">
        <v>267</v>
      </c>
      <c r="J21" s="20" t="s">
        <v>268</v>
      </c>
      <c r="K21" s="181" t="s">
        <v>331</v>
      </c>
      <c r="L21" s="20" t="s">
        <v>268</v>
      </c>
      <c r="M21" s="20" t="s">
        <v>268</v>
      </c>
      <c r="N21" s="20"/>
    </row>
    <row r="22" spans="1:14" ht="13">
      <c r="A22" s="19">
        <v>16</v>
      </c>
      <c r="B22" s="20"/>
      <c r="C22" s="20" t="s">
        <v>170</v>
      </c>
      <c r="D22" s="20" t="s">
        <v>173</v>
      </c>
      <c r="E22" s="20" t="s">
        <v>69</v>
      </c>
      <c r="F22" s="114" t="s">
        <v>332</v>
      </c>
      <c r="G22" s="20" t="s">
        <v>49</v>
      </c>
      <c r="H22" s="20" t="s">
        <v>266</v>
      </c>
      <c r="I22" s="11" t="s">
        <v>267</v>
      </c>
      <c r="J22" s="20" t="s">
        <v>268</v>
      </c>
      <c r="K22" s="181" t="s">
        <v>331</v>
      </c>
      <c r="L22" s="20" t="s">
        <v>268</v>
      </c>
      <c r="M22" s="20" t="s">
        <v>268</v>
      </c>
      <c r="N22" s="20"/>
    </row>
    <row r="23" spans="1:14" ht="25">
      <c r="A23" s="19">
        <v>17</v>
      </c>
      <c r="B23" s="20"/>
      <c r="C23" s="20"/>
      <c r="D23" s="20" t="s">
        <v>174</v>
      </c>
      <c r="E23" s="20" t="s">
        <v>250</v>
      </c>
      <c r="F23" s="114" t="s">
        <v>332</v>
      </c>
      <c r="G23" s="20" t="s">
        <v>49</v>
      </c>
      <c r="H23" s="20" t="s">
        <v>266</v>
      </c>
      <c r="I23" s="11" t="s">
        <v>267</v>
      </c>
      <c r="J23" s="20" t="s">
        <v>268</v>
      </c>
      <c r="K23" s="181" t="s">
        <v>331</v>
      </c>
      <c r="L23" s="20" t="s">
        <v>268</v>
      </c>
      <c r="M23" s="20" t="s">
        <v>268</v>
      </c>
      <c r="N23" s="20"/>
    </row>
    <row r="24" spans="1:14" ht="25">
      <c r="A24" s="19">
        <v>18</v>
      </c>
      <c r="B24" s="20"/>
      <c r="C24" s="20"/>
      <c r="D24" s="20" t="s">
        <v>175</v>
      </c>
      <c r="E24" s="20" t="s">
        <v>250</v>
      </c>
      <c r="F24" s="114" t="s">
        <v>332</v>
      </c>
      <c r="G24" s="20" t="s">
        <v>49</v>
      </c>
      <c r="H24" s="20" t="s">
        <v>266</v>
      </c>
      <c r="I24" s="11" t="s">
        <v>267</v>
      </c>
      <c r="J24" s="20" t="s">
        <v>268</v>
      </c>
      <c r="K24" s="181" t="s">
        <v>331</v>
      </c>
      <c r="L24" s="20" t="s">
        <v>268</v>
      </c>
      <c r="M24" s="20" t="s">
        <v>268</v>
      </c>
      <c r="N24" s="20"/>
    </row>
    <row r="25" spans="1:14" ht="13">
      <c r="A25" s="19">
        <v>19</v>
      </c>
      <c r="B25" s="20"/>
      <c r="C25" s="20" t="s">
        <v>182</v>
      </c>
      <c r="D25" s="20" t="s">
        <v>185</v>
      </c>
      <c r="E25" s="20" t="s">
        <v>69</v>
      </c>
      <c r="F25" s="114" t="s">
        <v>332</v>
      </c>
      <c r="G25" s="20" t="s">
        <v>49</v>
      </c>
      <c r="H25" s="20" t="s">
        <v>266</v>
      </c>
      <c r="I25" s="11" t="s">
        <v>267</v>
      </c>
      <c r="J25" s="20" t="s">
        <v>268</v>
      </c>
      <c r="K25" s="181" t="s">
        <v>331</v>
      </c>
      <c r="L25" s="20" t="s">
        <v>268</v>
      </c>
      <c r="M25" s="20" t="s">
        <v>268</v>
      </c>
      <c r="N25" s="20"/>
    </row>
    <row r="26" spans="1:14" ht="25">
      <c r="A26" s="19">
        <v>20</v>
      </c>
      <c r="B26" s="20"/>
      <c r="C26" s="20"/>
      <c r="D26" s="20" t="s">
        <v>186</v>
      </c>
      <c r="E26" s="20" t="s">
        <v>252</v>
      </c>
      <c r="F26" s="114" t="s">
        <v>332</v>
      </c>
      <c r="G26" s="20" t="s">
        <v>49</v>
      </c>
      <c r="H26" s="20" t="s">
        <v>266</v>
      </c>
      <c r="I26" s="11" t="s">
        <v>267</v>
      </c>
      <c r="J26" s="20" t="s">
        <v>268</v>
      </c>
      <c r="K26" s="181" t="s">
        <v>331</v>
      </c>
      <c r="L26" s="20" t="s">
        <v>268</v>
      </c>
      <c r="M26" s="20" t="s">
        <v>268</v>
      </c>
      <c r="N26" s="20"/>
    </row>
    <row r="27" spans="1:14" ht="25">
      <c r="A27" s="19">
        <v>21</v>
      </c>
      <c r="B27" s="20"/>
      <c r="C27" s="20"/>
      <c r="D27" s="20" t="s">
        <v>187</v>
      </c>
      <c r="E27" s="20" t="s">
        <v>252</v>
      </c>
      <c r="F27" s="114" t="s">
        <v>332</v>
      </c>
      <c r="G27" s="20" t="s">
        <v>49</v>
      </c>
      <c r="H27" s="20" t="s">
        <v>266</v>
      </c>
      <c r="I27" s="11" t="s">
        <v>267</v>
      </c>
      <c r="J27" s="20" t="s">
        <v>268</v>
      </c>
      <c r="K27" s="181" t="s">
        <v>331</v>
      </c>
      <c r="L27" s="20" t="s">
        <v>268</v>
      </c>
      <c r="M27" s="20" t="s">
        <v>268</v>
      </c>
      <c r="N27" s="20"/>
    </row>
    <row r="28" spans="1:14" ht="13">
      <c r="A28" s="19">
        <v>22</v>
      </c>
      <c r="B28" s="20"/>
      <c r="C28" s="20"/>
      <c r="D28" s="20" t="s">
        <v>188</v>
      </c>
      <c r="E28" s="20" t="s">
        <v>69</v>
      </c>
      <c r="F28" s="114" t="s">
        <v>332</v>
      </c>
      <c r="G28" s="20" t="s">
        <v>49</v>
      </c>
      <c r="H28" s="20" t="s">
        <v>266</v>
      </c>
      <c r="I28" s="11" t="s">
        <v>267</v>
      </c>
      <c r="J28" s="20" t="s">
        <v>268</v>
      </c>
      <c r="K28" s="181" t="s">
        <v>331</v>
      </c>
      <c r="L28" s="20" t="s">
        <v>268</v>
      </c>
      <c r="M28" s="20" t="s">
        <v>268</v>
      </c>
      <c r="N28" s="20"/>
    </row>
    <row r="29" spans="1:14" ht="37.5">
      <c r="A29" s="19">
        <v>23</v>
      </c>
      <c r="B29" s="20"/>
      <c r="C29" s="20"/>
      <c r="D29" s="20" t="s">
        <v>189</v>
      </c>
      <c r="E29" s="20" t="s">
        <v>256</v>
      </c>
      <c r="F29" s="114" t="s">
        <v>332</v>
      </c>
      <c r="G29" s="20" t="s">
        <v>49</v>
      </c>
      <c r="H29" s="20" t="s">
        <v>266</v>
      </c>
      <c r="I29" s="11" t="s">
        <v>267</v>
      </c>
      <c r="J29" s="20" t="s">
        <v>268</v>
      </c>
      <c r="K29" s="181" t="s">
        <v>331</v>
      </c>
      <c r="L29" s="20" t="s">
        <v>268</v>
      </c>
      <c r="M29" s="20" t="s">
        <v>268</v>
      </c>
      <c r="N29" s="20"/>
    </row>
    <row r="30" spans="1:14" ht="13">
      <c r="A30" s="19">
        <v>24</v>
      </c>
      <c r="B30" s="20"/>
      <c r="C30" s="20" t="s">
        <v>197</v>
      </c>
      <c r="D30" s="20" t="s">
        <v>199</v>
      </c>
      <c r="E30" s="20" t="s">
        <v>69</v>
      </c>
      <c r="F30" s="114" t="s">
        <v>332</v>
      </c>
      <c r="G30" s="20" t="s">
        <v>49</v>
      </c>
      <c r="H30" s="20" t="s">
        <v>266</v>
      </c>
      <c r="I30" s="11" t="s">
        <v>267</v>
      </c>
      <c r="J30" s="20" t="s">
        <v>268</v>
      </c>
      <c r="K30" s="181" t="s">
        <v>331</v>
      </c>
      <c r="L30" s="20" t="s">
        <v>268</v>
      </c>
      <c r="M30" s="20" t="s">
        <v>268</v>
      </c>
      <c r="N30" s="20"/>
    </row>
    <row r="31" spans="1:14" ht="25">
      <c r="A31" s="19">
        <v>25</v>
      </c>
      <c r="B31" s="20"/>
      <c r="C31" s="20"/>
      <c r="D31" s="20" t="s">
        <v>200</v>
      </c>
      <c r="E31" s="20" t="s">
        <v>254</v>
      </c>
      <c r="F31" s="114" t="s">
        <v>332</v>
      </c>
      <c r="G31" s="20" t="s">
        <v>49</v>
      </c>
      <c r="H31" s="20" t="s">
        <v>266</v>
      </c>
      <c r="I31" s="11" t="s">
        <v>267</v>
      </c>
      <c r="J31" s="20" t="s">
        <v>268</v>
      </c>
      <c r="K31" s="181" t="s">
        <v>331</v>
      </c>
      <c r="L31" s="20" t="s">
        <v>268</v>
      </c>
      <c r="M31" s="20" t="s">
        <v>268</v>
      </c>
      <c r="N31" s="20"/>
    </row>
    <row r="32" spans="1:14" ht="37.5">
      <c r="A32" s="19">
        <v>26</v>
      </c>
      <c r="B32" s="20"/>
      <c r="C32" s="20"/>
      <c r="D32" s="20" t="s">
        <v>201</v>
      </c>
      <c r="E32" s="20" t="s">
        <v>258</v>
      </c>
      <c r="F32" s="114" t="s">
        <v>332</v>
      </c>
      <c r="G32" s="20" t="s">
        <v>49</v>
      </c>
      <c r="H32" s="20" t="s">
        <v>266</v>
      </c>
      <c r="I32" s="11" t="s">
        <v>267</v>
      </c>
      <c r="J32" s="20" t="s">
        <v>268</v>
      </c>
      <c r="K32" s="181" t="s">
        <v>331</v>
      </c>
      <c r="L32" s="20" t="s">
        <v>268</v>
      </c>
      <c r="M32" s="20" t="s">
        <v>268</v>
      </c>
      <c r="N32" s="20"/>
    </row>
    <row r="33" spans="1:14" ht="37.5">
      <c r="A33" s="19">
        <v>27</v>
      </c>
      <c r="B33" s="20"/>
      <c r="C33" s="20"/>
      <c r="D33" s="20" t="s">
        <v>202</v>
      </c>
      <c r="E33" s="20" t="s">
        <v>258</v>
      </c>
      <c r="F33" s="114" t="s">
        <v>332</v>
      </c>
      <c r="G33" s="20" t="s">
        <v>49</v>
      </c>
      <c r="H33" s="20" t="s">
        <v>266</v>
      </c>
      <c r="I33" s="11" t="s">
        <v>267</v>
      </c>
      <c r="J33" s="20" t="s">
        <v>268</v>
      </c>
      <c r="K33" s="181" t="s">
        <v>331</v>
      </c>
      <c r="L33" s="20" t="s">
        <v>268</v>
      </c>
      <c r="M33" s="20" t="s">
        <v>268</v>
      </c>
      <c r="N33" s="20"/>
    </row>
    <row r="34" spans="1:14" ht="13">
      <c r="A34" s="19">
        <v>28</v>
      </c>
      <c r="B34" s="20"/>
      <c r="C34" s="20" t="s">
        <v>209</v>
      </c>
      <c r="D34" s="20" t="s">
        <v>212</v>
      </c>
      <c r="E34" s="20" t="s">
        <v>69</v>
      </c>
      <c r="F34" s="114" t="s">
        <v>332</v>
      </c>
      <c r="G34" s="20" t="s">
        <v>49</v>
      </c>
      <c r="H34" s="20" t="s">
        <v>266</v>
      </c>
      <c r="I34" s="11" t="s">
        <v>267</v>
      </c>
      <c r="J34" s="20" t="s">
        <v>268</v>
      </c>
      <c r="K34" s="181" t="s">
        <v>331</v>
      </c>
      <c r="L34" s="20" t="s">
        <v>268</v>
      </c>
      <c r="M34" s="20" t="s">
        <v>268</v>
      </c>
      <c r="N34" s="20"/>
    </row>
    <row r="35" spans="1:14" ht="37.5">
      <c r="A35" s="19">
        <v>29</v>
      </c>
      <c r="B35" s="20"/>
      <c r="C35" s="20"/>
      <c r="D35" s="20" t="s">
        <v>213</v>
      </c>
      <c r="E35" s="20" t="s">
        <v>259</v>
      </c>
      <c r="F35" s="114" t="s">
        <v>332</v>
      </c>
      <c r="G35" s="20" t="s">
        <v>49</v>
      </c>
      <c r="H35" s="20" t="s">
        <v>266</v>
      </c>
      <c r="I35" s="11" t="s">
        <v>267</v>
      </c>
      <c r="J35" s="20" t="s">
        <v>268</v>
      </c>
      <c r="K35" s="181" t="s">
        <v>331</v>
      </c>
      <c r="L35" s="20" t="s">
        <v>268</v>
      </c>
      <c r="M35" s="20" t="s">
        <v>268</v>
      </c>
      <c r="N35" s="20"/>
    </row>
    <row r="36" spans="1:14" ht="37.5">
      <c r="A36" s="19">
        <v>30</v>
      </c>
      <c r="B36" s="20"/>
      <c r="C36" s="20"/>
      <c r="D36" s="20" t="s">
        <v>214</v>
      </c>
      <c r="E36" s="20" t="s">
        <v>259</v>
      </c>
      <c r="F36" s="114" t="s">
        <v>332</v>
      </c>
      <c r="G36" s="20" t="s">
        <v>49</v>
      </c>
      <c r="H36" s="20" t="s">
        <v>266</v>
      </c>
      <c r="I36" s="11" t="s">
        <v>267</v>
      </c>
      <c r="J36" s="20" t="s">
        <v>268</v>
      </c>
      <c r="K36" s="181" t="s">
        <v>331</v>
      </c>
      <c r="L36" s="20" t="s">
        <v>268</v>
      </c>
      <c r="M36" s="20" t="s">
        <v>268</v>
      </c>
      <c r="N36" s="20"/>
    </row>
    <row r="37" spans="1:14" ht="13">
      <c r="A37" s="19">
        <v>31</v>
      </c>
      <c r="B37" s="21"/>
      <c r="C37" s="21" t="s">
        <v>220</v>
      </c>
      <c r="D37" s="21" t="s">
        <v>222</v>
      </c>
      <c r="E37" s="21" t="s">
        <v>69</v>
      </c>
      <c r="F37" s="114" t="s">
        <v>332</v>
      </c>
      <c r="G37" s="21" t="s">
        <v>49</v>
      </c>
      <c r="H37" s="20" t="s">
        <v>266</v>
      </c>
      <c r="I37" s="11" t="s">
        <v>267</v>
      </c>
      <c r="J37" s="20" t="s">
        <v>268</v>
      </c>
      <c r="K37" s="181" t="s">
        <v>331</v>
      </c>
      <c r="L37" s="20" t="s">
        <v>268</v>
      </c>
      <c r="M37" s="20" t="s">
        <v>268</v>
      </c>
      <c r="N37" s="20"/>
    </row>
    <row r="38" spans="1:14" ht="37.5">
      <c r="A38" s="19">
        <v>32</v>
      </c>
      <c r="B38" s="21"/>
      <c r="C38" s="21"/>
      <c r="D38" s="21" t="s">
        <v>223</v>
      </c>
      <c r="E38" s="21" t="s">
        <v>260</v>
      </c>
      <c r="F38" s="114" t="s">
        <v>332</v>
      </c>
      <c r="G38" s="21" t="s">
        <v>49</v>
      </c>
      <c r="H38" s="20" t="s">
        <v>266</v>
      </c>
      <c r="I38" s="11" t="s">
        <v>267</v>
      </c>
      <c r="J38" s="20" t="s">
        <v>268</v>
      </c>
      <c r="K38" s="181" t="s">
        <v>331</v>
      </c>
      <c r="L38" s="20" t="s">
        <v>268</v>
      </c>
      <c r="M38" s="20" t="s">
        <v>268</v>
      </c>
      <c r="N38" s="20"/>
    </row>
    <row r="39" spans="1:14" ht="37.5">
      <c r="A39" s="19">
        <v>33</v>
      </c>
      <c r="B39" s="21"/>
      <c r="C39" s="21"/>
      <c r="D39" s="21" t="s">
        <v>224</v>
      </c>
      <c r="E39" s="21" t="s">
        <v>260</v>
      </c>
      <c r="F39" s="114" t="s">
        <v>332</v>
      </c>
      <c r="G39" s="21" t="s">
        <v>49</v>
      </c>
      <c r="H39" s="20" t="s">
        <v>266</v>
      </c>
      <c r="I39" s="11" t="s">
        <v>267</v>
      </c>
      <c r="J39" s="20" t="s">
        <v>268</v>
      </c>
      <c r="K39" s="181" t="s">
        <v>331</v>
      </c>
      <c r="L39" s="20" t="s">
        <v>268</v>
      </c>
      <c r="M39" s="20" t="s">
        <v>268</v>
      </c>
      <c r="N39" s="20"/>
    </row>
    <row r="40" spans="1:14" ht="13">
      <c r="A40" s="19">
        <v>34</v>
      </c>
      <c r="B40" s="21"/>
      <c r="C40" s="21" t="s">
        <v>229</v>
      </c>
      <c r="D40" s="21" t="s">
        <v>232</v>
      </c>
      <c r="E40" s="21" t="s">
        <v>69</v>
      </c>
      <c r="F40" s="114" t="s">
        <v>332</v>
      </c>
      <c r="G40" s="21" t="s">
        <v>49</v>
      </c>
      <c r="H40" s="20" t="s">
        <v>266</v>
      </c>
      <c r="I40" s="11" t="s">
        <v>267</v>
      </c>
      <c r="J40" s="20" t="s">
        <v>268</v>
      </c>
      <c r="K40" s="181" t="s">
        <v>331</v>
      </c>
      <c r="L40" s="20" t="s">
        <v>268</v>
      </c>
      <c r="M40" s="20" t="s">
        <v>268</v>
      </c>
      <c r="N40" s="20"/>
    </row>
    <row r="41" spans="1:14" ht="37.5">
      <c r="A41" s="19">
        <v>35</v>
      </c>
      <c r="B41" s="21"/>
      <c r="C41" s="21"/>
      <c r="D41" s="21" t="s">
        <v>233</v>
      </c>
      <c r="E41" s="21" t="s">
        <v>261</v>
      </c>
      <c r="F41" s="114" t="s">
        <v>332</v>
      </c>
      <c r="G41" s="21" t="s">
        <v>49</v>
      </c>
      <c r="H41" s="20" t="s">
        <v>266</v>
      </c>
      <c r="I41" s="11" t="s">
        <v>267</v>
      </c>
      <c r="J41" s="20" t="s">
        <v>268</v>
      </c>
      <c r="K41" s="181" t="s">
        <v>331</v>
      </c>
      <c r="L41" s="20" t="s">
        <v>268</v>
      </c>
      <c r="M41" s="20" t="s">
        <v>268</v>
      </c>
      <c r="N41" s="20"/>
    </row>
    <row r="42" spans="1:14" ht="37.5">
      <c r="A42" s="19">
        <v>36</v>
      </c>
      <c r="B42" s="21"/>
      <c r="C42" s="21"/>
      <c r="D42" s="21" t="s">
        <v>234</v>
      </c>
      <c r="E42" s="21" t="s">
        <v>261</v>
      </c>
      <c r="F42" s="114" t="s">
        <v>332</v>
      </c>
      <c r="G42" s="21" t="s">
        <v>49</v>
      </c>
      <c r="H42" s="20" t="s">
        <v>266</v>
      </c>
      <c r="I42" s="11" t="s">
        <v>267</v>
      </c>
      <c r="J42" s="20" t="s">
        <v>268</v>
      </c>
      <c r="K42" s="181" t="s">
        <v>331</v>
      </c>
      <c r="L42" s="20" t="s">
        <v>268</v>
      </c>
      <c r="M42" s="20" t="s">
        <v>268</v>
      </c>
      <c r="N42" s="20"/>
    </row>
    <row r="43" spans="1:14">
      <c r="A43" s="27" t="s">
        <v>77</v>
      </c>
      <c r="B43" s="28"/>
      <c r="C43" s="28"/>
      <c r="D43" s="28"/>
      <c r="E43" s="28"/>
      <c r="F43" s="29"/>
      <c r="G43" s="28"/>
      <c r="H43" s="28"/>
      <c r="I43" s="29"/>
      <c r="J43" s="28"/>
      <c r="K43" s="28"/>
      <c r="L43" s="28"/>
      <c r="M43" s="28"/>
      <c r="N43" s="28"/>
    </row>
    <row r="44" spans="1:14">
      <c r="A44" s="30"/>
      <c r="B44" s="31"/>
      <c r="C44" s="31"/>
      <c r="D44" s="21" t="s">
        <v>262</v>
      </c>
      <c r="E44" s="31"/>
      <c r="F44" s="32"/>
      <c r="G44" s="31"/>
      <c r="H44" s="31"/>
      <c r="I44" s="32"/>
      <c r="J44" s="31"/>
      <c r="K44" s="31"/>
      <c r="L44" s="31"/>
      <c r="M44" s="31"/>
      <c r="N44" s="31"/>
    </row>
    <row r="45" spans="1:14">
      <c r="A45" s="27" t="s">
        <v>78</v>
      </c>
      <c r="B45" s="28"/>
      <c r="C45" s="28"/>
      <c r="D45" s="28"/>
      <c r="E45" s="28"/>
      <c r="F45" s="29"/>
      <c r="G45" s="28"/>
      <c r="H45" s="28"/>
      <c r="I45" s="29"/>
      <c r="J45" s="28"/>
      <c r="K45" s="28"/>
      <c r="L45" s="28"/>
      <c r="M45" s="28"/>
      <c r="N45" s="28"/>
    </row>
    <row r="46" spans="1:14" ht="13">
      <c r="A46" s="19">
        <v>1</v>
      </c>
      <c r="B46" s="21" t="s">
        <v>292</v>
      </c>
      <c r="C46" s="21" t="s">
        <v>263</v>
      </c>
      <c r="D46" s="21" t="s">
        <v>269</v>
      </c>
      <c r="E46" s="21" t="s">
        <v>69</v>
      </c>
      <c r="F46" s="114" t="s">
        <v>330</v>
      </c>
      <c r="G46" s="21" t="s">
        <v>49</v>
      </c>
      <c r="H46" s="20" t="s">
        <v>266</v>
      </c>
      <c r="I46" s="11" t="s">
        <v>267</v>
      </c>
      <c r="J46" s="20" t="s">
        <v>268</v>
      </c>
      <c r="K46" s="181" t="s">
        <v>331</v>
      </c>
      <c r="L46" s="20" t="s">
        <v>268</v>
      </c>
      <c r="M46" s="20" t="s">
        <v>268</v>
      </c>
      <c r="N46" s="20"/>
    </row>
    <row r="47" spans="1:14" ht="25">
      <c r="A47" s="19">
        <v>2</v>
      </c>
      <c r="B47" s="21" t="s">
        <v>264</v>
      </c>
      <c r="C47" s="21" t="s">
        <v>265</v>
      </c>
      <c r="D47" s="21" t="s">
        <v>270</v>
      </c>
      <c r="E47" s="21" t="s">
        <v>69</v>
      </c>
      <c r="F47" s="114" t="s">
        <v>330</v>
      </c>
      <c r="G47" s="21" t="s">
        <v>49</v>
      </c>
      <c r="H47" s="20" t="s">
        <v>266</v>
      </c>
      <c r="I47" s="11" t="s">
        <v>267</v>
      </c>
      <c r="J47" s="20" t="s">
        <v>268</v>
      </c>
      <c r="K47" s="181" t="s">
        <v>331</v>
      </c>
      <c r="L47" s="20" t="s">
        <v>268</v>
      </c>
      <c r="M47" s="20" t="s">
        <v>268</v>
      </c>
      <c r="N47" s="20"/>
    </row>
    <row r="48" spans="1:14">
      <c r="A48" s="88" t="s">
        <v>271</v>
      </c>
      <c r="B48" s="89"/>
      <c r="C48" s="89"/>
      <c r="D48" s="89"/>
      <c r="E48" s="89"/>
      <c r="F48" s="90"/>
      <c r="G48" s="89"/>
      <c r="H48" s="89"/>
      <c r="I48" s="89"/>
      <c r="J48" s="89"/>
      <c r="K48" s="89"/>
      <c r="L48" s="89"/>
      <c r="M48" s="89"/>
      <c r="N48" s="91"/>
    </row>
    <row r="49" spans="1:14" ht="13">
      <c r="A49" s="19">
        <v>1</v>
      </c>
      <c r="B49" s="20" t="s">
        <v>276</v>
      </c>
      <c r="C49" s="20" t="s">
        <v>318</v>
      </c>
      <c r="D49" s="20" t="s">
        <v>282</v>
      </c>
      <c r="E49" s="21" t="s">
        <v>69</v>
      </c>
      <c r="F49" s="114" t="s">
        <v>330</v>
      </c>
      <c r="G49" s="20" t="s">
        <v>49</v>
      </c>
      <c r="H49" s="20" t="s">
        <v>266</v>
      </c>
      <c r="I49" s="11" t="s">
        <v>267</v>
      </c>
      <c r="J49" s="20" t="s">
        <v>268</v>
      </c>
      <c r="K49" s="181" t="s">
        <v>331</v>
      </c>
      <c r="L49" s="20" t="s">
        <v>268</v>
      </c>
      <c r="M49" s="20" t="s">
        <v>268</v>
      </c>
      <c r="N49" s="20"/>
    </row>
    <row r="50" spans="1:14" ht="13">
      <c r="A50" s="19">
        <v>2</v>
      </c>
      <c r="B50" s="20"/>
      <c r="C50" s="20"/>
      <c r="D50" s="20" t="s">
        <v>283</v>
      </c>
      <c r="E50" s="20" t="s">
        <v>272</v>
      </c>
      <c r="F50" s="114" t="s">
        <v>330</v>
      </c>
      <c r="G50" s="20" t="s">
        <v>49</v>
      </c>
      <c r="H50" s="20" t="s">
        <v>266</v>
      </c>
      <c r="I50" s="11" t="s">
        <v>267</v>
      </c>
      <c r="J50" s="20" t="s">
        <v>268</v>
      </c>
      <c r="K50" s="181" t="s">
        <v>331</v>
      </c>
      <c r="L50" s="20" t="s">
        <v>268</v>
      </c>
      <c r="M50" s="20" t="s">
        <v>268</v>
      </c>
      <c r="N50" s="20"/>
    </row>
    <row r="51" spans="1:14" ht="13">
      <c r="A51" s="19">
        <v>3</v>
      </c>
      <c r="B51" s="20"/>
      <c r="C51" s="20"/>
      <c r="D51" s="20" t="s">
        <v>284</v>
      </c>
      <c r="E51" s="20" t="s">
        <v>273</v>
      </c>
      <c r="F51" s="114" t="s">
        <v>330</v>
      </c>
      <c r="G51" s="20" t="s">
        <v>49</v>
      </c>
      <c r="H51" s="20" t="s">
        <v>266</v>
      </c>
      <c r="I51" s="11" t="s">
        <v>267</v>
      </c>
      <c r="J51" s="20" t="s">
        <v>268</v>
      </c>
      <c r="K51" s="181" t="s">
        <v>331</v>
      </c>
      <c r="L51" s="20" t="s">
        <v>268</v>
      </c>
      <c r="M51" s="20" t="s">
        <v>268</v>
      </c>
      <c r="N51" s="20"/>
    </row>
    <row r="52" spans="1:14" ht="13">
      <c r="A52" s="19">
        <v>4</v>
      </c>
      <c r="B52" s="20" t="s">
        <v>278</v>
      </c>
      <c r="C52" s="20" t="s">
        <v>319</v>
      </c>
      <c r="D52" s="20" t="s">
        <v>279</v>
      </c>
      <c r="E52" s="21" t="s">
        <v>69</v>
      </c>
      <c r="F52" s="114" t="s">
        <v>330</v>
      </c>
      <c r="G52" s="20" t="s">
        <v>49</v>
      </c>
      <c r="H52" s="20" t="s">
        <v>266</v>
      </c>
      <c r="I52" s="11" t="s">
        <v>267</v>
      </c>
      <c r="J52" s="20" t="s">
        <v>268</v>
      </c>
      <c r="K52" s="181" t="s">
        <v>331</v>
      </c>
      <c r="L52" s="20" t="s">
        <v>268</v>
      </c>
      <c r="M52" s="20" t="s">
        <v>268</v>
      </c>
      <c r="N52" s="20"/>
    </row>
    <row r="53" spans="1:14" ht="13">
      <c r="A53" s="19">
        <v>5</v>
      </c>
      <c r="B53" s="20"/>
      <c r="C53" s="20"/>
      <c r="D53" s="20" t="s">
        <v>280</v>
      </c>
      <c r="E53" s="20" t="s">
        <v>272</v>
      </c>
      <c r="F53" s="114" t="s">
        <v>330</v>
      </c>
      <c r="G53" s="20" t="s">
        <v>49</v>
      </c>
      <c r="H53" s="20" t="s">
        <v>266</v>
      </c>
      <c r="I53" s="11" t="s">
        <v>267</v>
      </c>
      <c r="J53" s="20" t="s">
        <v>268</v>
      </c>
      <c r="K53" s="181" t="s">
        <v>331</v>
      </c>
      <c r="L53" s="20" t="s">
        <v>268</v>
      </c>
      <c r="M53" s="20" t="s">
        <v>268</v>
      </c>
      <c r="N53" s="20"/>
    </row>
    <row r="54" spans="1:14" ht="13">
      <c r="A54" s="19">
        <v>6</v>
      </c>
      <c r="B54" s="20"/>
      <c r="C54" s="20"/>
      <c r="D54" s="20" t="s">
        <v>281</v>
      </c>
      <c r="E54" s="20" t="s">
        <v>273</v>
      </c>
      <c r="F54" s="114" t="s">
        <v>330</v>
      </c>
      <c r="G54" s="20" t="s">
        <v>49</v>
      </c>
      <c r="H54" s="20" t="s">
        <v>266</v>
      </c>
      <c r="I54" s="11" t="s">
        <v>267</v>
      </c>
      <c r="J54" s="20" t="s">
        <v>268</v>
      </c>
      <c r="K54" s="181" t="s">
        <v>331</v>
      </c>
      <c r="L54" s="20" t="s">
        <v>268</v>
      </c>
      <c r="M54" s="20" t="s">
        <v>268</v>
      </c>
      <c r="N54" s="20"/>
    </row>
    <row r="55" spans="1:14" ht="13">
      <c r="A55" s="19">
        <v>7</v>
      </c>
      <c r="B55" s="119" t="s">
        <v>314</v>
      </c>
      <c r="C55" s="20" t="s">
        <v>320</v>
      </c>
      <c r="D55" s="119" t="s">
        <v>315</v>
      </c>
      <c r="E55" s="21" t="s">
        <v>69</v>
      </c>
      <c r="F55" s="114" t="s">
        <v>330</v>
      </c>
      <c r="G55" s="20" t="s">
        <v>49</v>
      </c>
      <c r="H55" s="20" t="s">
        <v>266</v>
      </c>
      <c r="I55" s="11" t="s">
        <v>267</v>
      </c>
      <c r="J55" s="20" t="s">
        <v>268</v>
      </c>
      <c r="K55" s="181" t="s">
        <v>331</v>
      </c>
      <c r="L55" s="20" t="s">
        <v>268</v>
      </c>
      <c r="M55" s="20" t="s">
        <v>268</v>
      </c>
      <c r="N55" s="20"/>
    </row>
    <row r="56" spans="1:14" ht="13">
      <c r="A56" s="19">
        <v>8</v>
      </c>
      <c r="B56" s="20"/>
      <c r="C56" s="20"/>
      <c r="D56" s="20" t="s">
        <v>316</v>
      </c>
      <c r="E56" s="20" t="s">
        <v>272</v>
      </c>
      <c r="F56" s="114" t="s">
        <v>330</v>
      </c>
      <c r="G56" s="20" t="s">
        <v>49</v>
      </c>
      <c r="H56" s="20" t="s">
        <v>266</v>
      </c>
      <c r="I56" s="11" t="s">
        <v>267</v>
      </c>
      <c r="J56" s="20" t="s">
        <v>268</v>
      </c>
      <c r="K56" s="181" t="s">
        <v>331</v>
      </c>
      <c r="L56" s="20" t="s">
        <v>268</v>
      </c>
      <c r="M56" s="20" t="s">
        <v>268</v>
      </c>
      <c r="N56" s="20"/>
    </row>
    <row r="57" spans="1:14" ht="13">
      <c r="A57" s="19">
        <v>9</v>
      </c>
      <c r="B57" s="20"/>
      <c r="C57" s="20"/>
      <c r="D57" s="20" t="s">
        <v>317</v>
      </c>
      <c r="E57" s="20" t="s">
        <v>273</v>
      </c>
      <c r="F57" s="114" t="s">
        <v>330</v>
      </c>
      <c r="G57" s="20" t="s">
        <v>49</v>
      </c>
      <c r="H57" s="20" t="s">
        <v>266</v>
      </c>
      <c r="I57" s="11" t="s">
        <v>267</v>
      </c>
      <c r="J57" s="20" t="s">
        <v>268</v>
      </c>
      <c r="K57" s="181" t="s">
        <v>331</v>
      </c>
      <c r="L57" s="20" t="s">
        <v>268</v>
      </c>
      <c r="M57" s="20" t="s">
        <v>268</v>
      </c>
      <c r="N57" s="20"/>
    </row>
    <row r="58" spans="1:14">
      <c r="A58" s="128" t="s">
        <v>274</v>
      </c>
      <c r="B58" s="28"/>
      <c r="C58" s="28"/>
      <c r="D58" s="28"/>
      <c r="E58" s="28"/>
      <c r="F58" s="33"/>
      <c r="G58" s="28"/>
      <c r="H58" s="28"/>
      <c r="I58" s="29"/>
      <c r="J58" s="28"/>
      <c r="K58" s="28"/>
      <c r="L58" s="28"/>
      <c r="M58" s="28"/>
      <c r="N58" s="28"/>
    </row>
    <row r="59" spans="1:14" ht="13">
      <c r="A59" s="19">
        <v>1</v>
      </c>
      <c r="B59" s="21" t="s">
        <v>50</v>
      </c>
      <c r="C59" s="21" t="s">
        <v>51</v>
      </c>
      <c r="D59" s="21" t="s">
        <v>52</v>
      </c>
      <c r="E59" s="21" t="s">
        <v>53</v>
      </c>
      <c r="F59" s="114" t="s">
        <v>330</v>
      </c>
      <c r="G59" s="21" t="s">
        <v>49</v>
      </c>
      <c r="H59" s="20" t="s">
        <v>266</v>
      </c>
      <c r="I59" s="11" t="s">
        <v>267</v>
      </c>
      <c r="J59" s="20" t="s">
        <v>268</v>
      </c>
      <c r="K59" s="181" t="s">
        <v>331</v>
      </c>
      <c r="L59" s="20" t="s">
        <v>268</v>
      </c>
      <c r="M59" s="20" t="s">
        <v>268</v>
      </c>
      <c r="N59" s="20"/>
    </row>
    <row r="60" spans="1:14" ht="13">
      <c r="A60" s="19">
        <v>2</v>
      </c>
      <c r="B60" s="21"/>
      <c r="C60" s="21" t="s">
        <v>54</v>
      </c>
      <c r="D60" s="21" t="s">
        <v>55</v>
      </c>
      <c r="E60" s="21" t="s">
        <v>70</v>
      </c>
      <c r="F60" s="114" t="s">
        <v>330</v>
      </c>
      <c r="G60" s="21" t="s">
        <v>49</v>
      </c>
      <c r="H60" s="20" t="s">
        <v>266</v>
      </c>
      <c r="I60" s="11" t="s">
        <v>267</v>
      </c>
      <c r="J60" s="20" t="s">
        <v>268</v>
      </c>
      <c r="K60" s="181" t="s">
        <v>331</v>
      </c>
      <c r="L60" s="20" t="s">
        <v>268</v>
      </c>
      <c r="M60" s="20" t="s">
        <v>268</v>
      </c>
      <c r="N60" s="20"/>
    </row>
    <row r="61" spans="1:14" ht="13">
      <c r="A61" s="19">
        <v>3</v>
      </c>
      <c r="B61" s="21"/>
      <c r="C61" s="21" t="s">
        <v>56</v>
      </c>
      <c r="D61" s="21" t="s">
        <v>57</v>
      </c>
      <c r="E61" s="21" t="s">
        <v>71</v>
      </c>
      <c r="F61" s="114" t="s">
        <v>330</v>
      </c>
      <c r="G61" s="21" t="s">
        <v>49</v>
      </c>
      <c r="H61" s="20" t="s">
        <v>266</v>
      </c>
      <c r="I61" s="11" t="s">
        <v>267</v>
      </c>
      <c r="J61" s="20" t="s">
        <v>268</v>
      </c>
      <c r="K61" s="181" t="s">
        <v>331</v>
      </c>
      <c r="L61" s="20" t="s">
        <v>268</v>
      </c>
      <c r="M61" s="20" t="s">
        <v>268</v>
      </c>
      <c r="N61" s="20"/>
    </row>
    <row r="62" spans="1:14" ht="13">
      <c r="A62" s="19">
        <v>4</v>
      </c>
      <c r="B62" s="21"/>
      <c r="C62" s="21" t="s">
        <v>58</v>
      </c>
      <c r="D62" s="21" t="s">
        <v>59</v>
      </c>
      <c r="E62" s="21" t="s">
        <v>60</v>
      </c>
      <c r="F62" s="114" t="s">
        <v>330</v>
      </c>
      <c r="G62" s="21" t="s">
        <v>49</v>
      </c>
      <c r="H62" s="20" t="s">
        <v>266</v>
      </c>
      <c r="I62" s="11" t="s">
        <v>267</v>
      </c>
      <c r="J62" s="20" t="s">
        <v>268</v>
      </c>
      <c r="K62" s="181" t="s">
        <v>331</v>
      </c>
      <c r="L62" s="20" t="s">
        <v>268</v>
      </c>
      <c r="M62" s="20" t="s">
        <v>268</v>
      </c>
      <c r="N62" s="20"/>
    </row>
    <row r="63" spans="1:14" ht="13">
      <c r="A63" s="19">
        <v>5</v>
      </c>
      <c r="B63" s="21"/>
      <c r="C63" s="21" t="s">
        <v>61</v>
      </c>
      <c r="D63" s="21" t="s">
        <v>62</v>
      </c>
      <c r="E63" s="21" t="s">
        <v>63</v>
      </c>
      <c r="F63" s="114" t="s">
        <v>330</v>
      </c>
      <c r="G63" s="21" t="s">
        <v>49</v>
      </c>
      <c r="H63" s="20" t="s">
        <v>266</v>
      </c>
      <c r="I63" s="11" t="s">
        <v>267</v>
      </c>
      <c r="J63" s="20" t="s">
        <v>268</v>
      </c>
      <c r="K63" s="181" t="s">
        <v>331</v>
      </c>
      <c r="L63" s="20" t="s">
        <v>268</v>
      </c>
      <c r="M63" s="20" t="s">
        <v>268</v>
      </c>
      <c r="N63" s="20"/>
    </row>
    <row r="64" spans="1:14" ht="13">
      <c r="A64" s="19">
        <v>6</v>
      </c>
      <c r="B64" s="21" t="s">
        <v>74</v>
      </c>
      <c r="C64" s="21" t="s">
        <v>51</v>
      </c>
      <c r="D64" s="21" t="s">
        <v>75</v>
      </c>
      <c r="E64" s="21" t="s">
        <v>76</v>
      </c>
      <c r="F64" s="114" t="s">
        <v>330</v>
      </c>
      <c r="G64" s="21" t="s">
        <v>49</v>
      </c>
      <c r="H64" s="20" t="s">
        <v>266</v>
      </c>
      <c r="I64" s="11" t="s">
        <v>267</v>
      </c>
      <c r="J64" s="20" t="s">
        <v>268</v>
      </c>
      <c r="K64" s="181" t="s">
        <v>331</v>
      </c>
      <c r="L64" s="20" t="s">
        <v>268</v>
      </c>
      <c r="M64" s="20" t="s">
        <v>268</v>
      </c>
      <c r="N64" s="20"/>
    </row>
    <row r="65" spans="1:14" ht="13">
      <c r="A65" s="19">
        <v>7</v>
      </c>
      <c r="B65" s="21" t="s">
        <v>303</v>
      </c>
      <c r="C65" s="21" t="s">
        <v>51</v>
      </c>
      <c r="D65" s="21" t="s">
        <v>64</v>
      </c>
      <c r="E65" s="21" t="s">
        <v>65</v>
      </c>
      <c r="F65" s="114" t="s">
        <v>330</v>
      </c>
      <c r="G65" s="21" t="s">
        <v>49</v>
      </c>
      <c r="H65" s="20" t="s">
        <v>266</v>
      </c>
      <c r="I65" s="11" t="s">
        <v>267</v>
      </c>
      <c r="J65" s="20" t="s">
        <v>268</v>
      </c>
      <c r="K65" s="181" t="s">
        <v>331</v>
      </c>
      <c r="L65" s="20" t="s">
        <v>268</v>
      </c>
      <c r="M65" s="20" t="s">
        <v>268</v>
      </c>
      <c r="N65" s="20"/>
    </row>
    <row r="66" spans="1:14" ht="13">
      <c r="A66" s="19">
        <v>8</v>
      </c>
      <c r="B66" s="21"/>
      <c r="C66" s="21" t="s">
        <v>51</v>
      </c>
      <c r="D66" s="21" t="s">
        <v>66</v>
      </c>
      <c r="E66" s="21" t="s">
        <v>67</v>
      </c>
      <c r="F66" s="114" t="s">
        <v>330</v>
      </c>
      <c r="G66" s="21" t="s">
        <v>49</v>
      </c>
      <c r="H66" s="20" t="s">
        <v>266</v>
      </c>
      <c r="I66" s="11" t="s">
        <v>267</v>
      </c>
      <c r="J66" s="20" t="s">
        <v>268</v>
      </c>
      <c r="K66" s="181" t="s">
        <v>331</v>
      </c>
      <c r="L66" s="20" t="s">
        <v>268</v>
      </c>
      <c r="M66" s="20" t="s">
        <v>268</v>
      </c>
      <c r="N66" s="20"/>
    </row>
    <row r="67" spans="1:14" ht="13">
      <c r="A67" s="19">
        <v>9</v>
      </c>
      <c r="B67" s="21"/>
      <c r="C67" s="21" t="s">
        <v>61</v>
      </c>
      <c r="D67" s="21" t="s">
        <v>68</v>
      </c>
      <c r="E67" s="21" t="s">
        <v>104</v>
      </c>
      <c r="F67" s="114" t="s">
        <v>330</v>
      </c>
      <c r="G67" s="21" t="s">
        <v>49</v>
      </c>
      <c r="H67" s="20" t="s">
        <v>266</v>
      </c>
      <c r="I67" s="11" t="s">
        <v>267</v>
      </c>
      <c r="J67" s="20" t="s">
        <v>268</v>
      </c>
      <c r="K67" s="181" t="s">
        <v>331</v>
      </c>
      <c r="L67" s="20" t="s">
        <v>268</v>
      </c>
      <c r="M67" s="20" t="s">
        <v>268</v>
      </c>
      <c r="N67" s="20"/>
    </row>
    <row r="68" spans="1:14" ht="13">
      <c r="A68" s="19">
        <v>10</v>
      </c>
      <c r="B68" s="20"/>
      <c r="C68" s="20" t="s">
        <v>296</v>
      </c>
      <c r="D68" s="20" t="s">
        <v>297</v>
      </c>
      <c r="E68" s="20" t="s">
        <v>298</v>
      </c>
      <c r="F68" s="114" t="s">
        <v>330</v>
      </c>
      <c r="G68" s="21" t="s">
        <v>49</v>
      </c>
      <c r="H68" s="20" t="s">
        <v>266</v>
      </c>
      <c r="I68" s="11" t="s">
        <v>267</v>
      </c>
      <c r="J68" s="20" t="s">
        <v>268</v>
      </c>
      <c r="K68" s="181" t="s">
        <v>331</v>
      </c>
      <c r="L68" s="20" t="s">
        <v>268</v>
      </c>
      <c r="M68" s="20" t="s">
        <v>268</v>
      </c>
      <c r="N68" s="20"/>
    </row>
    <row r="69" spans="1:14" ht="13">
      <c r="A69" s="19">
        <v>11</v>
      </c>
      <c r="B69" s="20"/>
      <c r="C69" s="20" t="s">
        <v>299</v>
      </c>
      <c r="D69" s="20" t="s">
        <v>300</v>
      </c>
      <c r="E69" s="20" t="s">
        <v>301</v>
      </c>
      <c r="F69" s="114" t="s">
        <v>330</v>
      </c>
      <c r="G69" s="21" t="s">
        <v>49</v>
      </c>
      <c r="H69" s="20" t="s">
        <v>266</v>
      </c>
      <c r="I69" s="11" t="s">
        <v>267</v>
      </c>
      <c r="J69" s="20" t="s">
        <v>268</v>
      </c>
      <c r="K69" s="181" t="s">
        <v>331</v>
      </c>
      <c r="L69" s="20" t="s">
        <v>268</v>
      </c>
      <c r="M69" s="20" t="s">
        <v>268</v>
      </c>
      <c r="N69" s="20"/>
    </row>
    <row r="70" spans="1:14">
      <c r="A70" s="19"/>
      <c r="B70" s="20"/>
      <c r="C70" s="20"/>
      <c r="D70" s="20"/>
      <c r="E70" s="20"/>
      <c r="F70" s="11"/>
      <c r="G70" s="20"/>
      <c r="H70" s="20"/>
      <c r="I70" s="11"/>
      <c r="J70" s="20"/>
      <c r="K70" s="20"/>
      <c r="L70" s="20"/>
      <c r="M70" s="20"/>
      <c r="N70" s="20"/>
    </row>
    <row r="71" spans="1:14">
      <c r="A71" s="19"/>
      <c r="B71" s="20"/>
      <c r="C71" s="20"/>
      <c r="D71" s="20"/>
      <c r="E71" s="20"/>
      <c r="F71" s="11"/>
      <c r="G71" s="20"/>
      <c r="H71" s="20"/>
      <c r="I71" s="11"/>
      <c r="J71" s="20"/>
      <c r="K71" s="20"/>
      <c r="L71" s="20"/>
      <c r="M71" s="20"/>
      <c r="N71" s="20"/>
    </row>
    <row r="72" spans="1:14">
      <c r="A72" s="19"/>
      <c r="B72" s="20"/>
      <c r="C72" s="20"/>
      <c r="D72" s="20"/>
      <c r="E72" s="20"/>
      <c r="F72" s="11"/>
      <c r="G72" s="20"/>
      <c r="H72" s="20"/>
      <c r="I72" s="11"/>
      <c r="J72" s="20"/>
      <c r="K72" s="20"/>
      <c r="L72" s="20"/>
      <c r="M72" s="20"/>
      <c r="N72" s="20"/>
    </row>
    <row r="73" spans="1:14">
      <c r="A73" s="19"/>
      <c r="B73" s="20"/>
      <c r="C73" s="21"/>
      <c r="D73" s="20"/>
      <c r="E73" s="20"/>
      <c r="F73" s="11"/>
      <c r="G73" s="20"/>
      <c r="H73" s="20"/>
      <c r="I73" s="11"/>
      <c r="J73" s="20"/>
      <c r="K73" s="20"/>
      <c r="L73" s="20"/>
      <c r="M73" s="20"/>
      <c r="N73" s="20"/>
    </row>
    <row r="74" spans="1:14">
      <c r="A74" s="19"/>
      <c r="B74" s="20"/>
      <c r="C74" s="20"/>
      <c r="D74" s="20"/>
      <c r="E74" s="20"/>
      <c r="F74" s="11"/>
      <c r="G74" s="20"/>
      <c r="H74" s="20"/>
      <c r="I74" s="11"/>
      <c r="J74" s="20"/>
      <c r="K74" s="20"/>
      <c r="L74" s="20"/>
      <c r="M74" s="20"/>
      <c r="N74" s="20"/>
    </row>
    <row r="75" spans="1:14">
      <c r="A75" s="19"/>
      <c r="B75" s="20"/>
      <c r="C75" s="20"/>
      <c r="D75" s="20"/>
      <c r="E75" s="20"/>
      <c r="F75" s="11"/>
      <c r="G75" s="20"/>
      <c r="H75" s="20"/>
      <c r="I75" s="11"/>
      <c r="J75" s="20"/>
      <c r="K75" s="20"/>
      <c r="L75" s="20"/>
      <c r="M75" s="20"/>
      <c r="N75" s="20"/>
    </row>
    <row r="76" spans="1:14">
      <c r="A76" s="19"/>
      <c r="B76" s="20"/>
      <c r="C76" s="20"/>
      <c r="D76" s="20"/>
      <c r="E76" s="20"/>
      <c r="F76" s="11"/>
      <c r="G76" s="20"/>
      <c r="H76" s="20"/>
      <c r="I76" s="11"/>
      <c r="J76" s="20"/>
      <c r="K76" s="20"/>
      <c r="L76" s="20"/>
      <c r="M76" s="20"/>
      <c r="N76" s="20"/>
    </row>
    <row r="77" spans="1:14">
      <c r="A77" s="19"/>
      <c r="B77" s="20"/>
      <c r="C77" s="20"/>
      <c r="D77" s="20"/>
      <c r="E77" s="20"/>
      <c r="F77" s="11"/>
      <c r="G77" s="20"/>
      <c r="H77" s="20"/>
      <c r="I77" s="11"/>
      <c r="J77" s="20"/>
      <c r="K77" s="20"/>
      <c r="L77" s="20"/>
      <c r="M77" s="20"/>
      <c r="N77" s="20"/>
    </row>
    <row r="78" spans="1:14">
      <c r="A78" s="19"/>
      <c r="B78" s="20"/>
      <c r="C78" s="20"/>
      <c r="D78" s="20"/>
      <c r="E78" s="20"/>
      <c r="F78" s="22"/>
      <c r="G78" s="20"/>
      <c r="H78" s="20"/>
      <c r="I78" s="11"/>
      <c r="J78" s="20"/>
      <c r="K78" s="20"/>
      <c r="L78" s="20"/>
      <c r="M78" s="20"/>
      <c r="N78" s="20"/>
    </row>
    <row r="79" spans="1:14">
      <c r="A79" s="19"/>
      <c r="B79" s="20"/>
      <c r="C79" s="20"/>
      <c r="D79" s="20"/>
      <c r="E79" s="20"/>
      <c r="F79" s="11"/>
      <c r="G79" s="20"/>
      <c r="H79" s="20"/>
      <c r="I79" s="11"/>
      <c r="J79" s="20"/>
      <c r="K79" s="20"/>
      <c r="L79" s="20"/>
      <c r="M79" s="20"/>
      <c r="N79" s="20"/>
    </row>
    <row r="80" spans="1:14">
      <c r="A80" s="19"/>
      <c r="B80" s="20"/>
      <c r="C80" s="20"/>
      <c r="D80" s="20"/>
      <c r="E80" s="20"/>
      <c r="F80" s="11"/>
      <c r="G80" s="20"/>
      <c r="H80" s="20"/>
      <c r="I80" s="11"/>
      <c r="J80" s="20"/>
      <c r="K80" s="20"/>
      <c r="L80" s="20"/>
      <c r="M80" s="20"/>
      <c r="N80" s="20"/>
    </row>
    <row r="81" spans="1:14">
      <c r="A81" s="19"/>
      <c r="B81" s="20"/>
      <c r="C81" s="20"/>
      <c r="D81" s="20"/>
      <c r="E81" s="20"/>
      <c r="F81" s="11"/>
      <c r="G81" s="20"/>
      <c r="H81" s="20"/>
      <c r="I81" s="11"/>
      <c r="J81" s="20"/>
      <c r="K81" s="20"/>
      <c r="L81" s="20"/>
      <c r="M81" s="20"/>
      <c r="N81" s="20"/>
    </row>
    <row r="82" spans="1:14">
      <c r="A82" s="19"/>
      <c r="B82" s="20"/>
      <c r="C82" s="20"/>
      <c r="D82" s="20"/>
      <c r="E82" s="20"/>
      <c r="F82" s="11"/>
      <c r="G82" s="20"/>
      <c r="H82" s="20"/>
      <c r="I82" s="11"/>
      <c r="J82" s="20"/>
      <c r="K82" s="20"/>
      <c r="L82" s="20"/>
      <c r="M82" s="20"/>
      <c r="N82" s="20"/>
    </row>
    <row r="83" spans="1:14">
      <c r="A83" s="19"/>
      <c r="B83" s="20"/>
      <c r="C83" s="21"/>
      <c r="D83" s="20"/>
      <c r="E83" s="20"/>
      <c r="F83" s="11"/>
      <c r="G83" s="20"/>
      <c r="H83" s="20"/>
      <c r="I83" s="11"/>
      <c r="J83" s="20"/>
      <c r="K83" s="20"/>
      <c r="L83" s="20"/>
      <c r="M83" s="20"/>
      <c r="N83" s="20"/>
    </row>
    <row r="84" spans="1:14">
      <c r="A84" s="19"/>
      <c r="B84" s="20"/>
      <c r="C84" s="20"/>
      <c r="D84" s="20"/>
      <c r="E84" s="20"/>
      <c r="F84" s="11"/>
      <c r="G84" s="20"/>
      <c r="H84" s="20"/>
      <c r="I84" s="11"/>
      <c r="J84" s="20"/>
      <c r="K84" s="20"/>
      <c r="L84" s="20"/>
      <c r="M84" s="20"/>
      <c r="N84" s="20"/>
    </row>
    <row r="85" spans="1:14">
      <c r="A85" s="19"/>
      <c r="B85" s="20"/>
      <c r="C85" s="20"/>
      <c r="D85" s="20"/>
      <c r="E85" s="20"/>
      <c r="F85" s="11"/>
      <c r="G85" s="20"/>
      <c r="H85" s="20"/>
      <c r="I85" s="11"/>
      <c r="J85" s="20"/>
      <c r="K85" s="20"/>
      <c r="L85" s="20"/>
      <c r="M85" s="20"/>
      <c r="N85" s="20"/>
    </row>
    <row r="86" spans="1:14">
      <c r="A86" s="19"/>
      <c r="B86" s="20"/>
      <c r="C86" s="20"/>
      <c r="D86" s="20"/>
      <c r="E86" s="20"/>
      <c r="F86" s="11"/>
      <c r="G86" s="20"/>
      <c r="H86" s="20"/>
      <c r="I86" s="11"/>
      <c r="J86" s="20"/>
      <c r="K86" s="20"/>
      <c r="L86" s="20"/>
      <c r="M86" s="20"/>
      <c r="N86" s="20"/>
    </row>
    <row r="87" spans="1:14">
      <c r="A87" s="19"/>
      <c r="B87" s="20"/>
      <c r="C87" s="20"/>
      <c r="D87" s="20"/>
      <c r="E87" s="20"/>
      <c r="F87" s="11"/>
      <c r="G87" s="20"/>
      <c r="H87" s="20"/>
      <c r="I87" s="11"/>
      <c r="J87" s="20"/>
      <c r="K87" s="20"/>
      <c r="L87" s="20"/>
      <c r="M87" s="20"/>
      <c r="N87" s="20"/>
    </row>
    <row r="88" spans="1:14">
      <c r="A88" s="19"/>
      <c r="B88" s="20"/>
      <c r="C88" s="20"/>
      <c r="D88" s="20"/>
      <c r="E88" s="20"/>
      <c r="F88" s="22"/>
      <c r="G88" s="20"/>
      <c r="H88" s="20"/>
      <c r="I88" s="11"/>
      <c r="J88" s="20"/>
      <c r="K88" s="20"/>
      <c r="L88" s="20"/>
      <c r="M88" s="20"/>
      <c r="N88" s="20"/>
    </row>
    <row r="89" spans="1:14">
      <c r="A89" s="19"/>
      <c r="B89" s="20"/>
      <c r="C89" s="20"/>
      <c r="D89" s="20"/>
      <c r="E89" s="20"/>
      <c r="F89" s="11"/>
      <c r="G89" s="20"/>
      <c r="H89" s="20"/>
      <c r="I89" s="11"/>
      <c r="J89" s="20"/>
      <c r="K89" s="20"/>
      <c r="L89" s="20"/>
      <c r="M89" s="20"/>
      <c r="N89" s="20"/>
    </row>
    <row r="90" spans="1:14">
      <c r="A90" s="19"/>
      <c r="B90" s="20"/>
      <c r="C90" s="20"/>
      <c r="D90" s="20"/>
      <c r="E90" s="20"/>
      <c r="F90" s="11"/>
      <c r="G90" s="20"/>
      <c r="H90" s="20"/>
      <c r="I90" s="11"/>
      <c r="J90" s="20"/>
      <c r="K90" s="20"/>
      <c r="L90" s="20"/>
      <c r="M90" s="20"/>
      <c r="N90" s="20"/>
    </row>
    <row r="91" spans="1:14">
      <c r="A91" s="19"/>
      <c r="B91" s="20"/>
      <c r="C91" s="20"/>
      <c r="D91" s="20"/>
      <c r="E91" s="20"/>
      <c r="F91" s="11"/>
      <c r="G91" s="20"/>
      <c r="H91" s="20"/>
      <c r="I91" s="11"/>
      <c r="J91" s="20"/>
      <c r="K91" s="20"/>
      <c r="L91" s="20"/>
      <c r="M91" s="20"/>
      <c r="N91" s="20"/>
    </row>
    <row r="92" spans="1:14">
      <c r="A92" s="19"/>
      <c r="B92" s="20"/>
      <c r="C92" s="20"/>
      <c r="D92" s="20"/>
      <c r="E92" s="20"/>
      <c r="F92" s="11"/>
      <c r="G92" s="20"/>
      <c r="H92" s="20"/>
      <c r="I92" s="11"/>
      <c r="J92" s="20"/>
      <c r="K92" s="20"/>
      <c r="L92" s="20"/>
      <c r="M92" s="20"/>
      <c r="N92" s="20"/>
    </row>
    <row r="93" spans="1:14">
      <c r="A93" s="19"/>
      <c r="C93" s="20"/>
      <c r="D93" s="20"/>
      <c r="E93" s="20"/>
      <c r="F93" s="11"/>
      <c r="G93" s="20"/>
      <c r="H93" s="20"/>
      <c r="I93" s="11"/>
      <c r="J93" s="20"/>
      <c r="K93" s="20"/>
      <c r="L93" s="20"/>
      <c r="M93" s="20"/>
      <c r="N93" s="20"/>
    </row>
    <row r="94" spans="1:14">
      <c r="A94" s="19"/>
      <c r="B94" s="20"/>
      <c r="C94" s="20"/>
      <c r="D94" s="20"/>
      <c r="E94" s="20"/>
      <c r="F94" s="11"/>
      <c r="G94" s="20"/>
      <c r="H94" s="20"/>
      <c r="I94" s="11"/>
      <c r="J94" s="20"/>
      <c r="K94" s="20"/>
      <c r="L94" s="20"/>
      <c r="M94" s="20"/>
      <c r="N94" s="20"/>
    </row>
    <row r="95" spans="1:14">
      <c r="A95" s="19"/>
      <c r="B95" s="20"/>
      <c r="C95" s="20"/>
      <c r="D95" s="20"/>
      <c r="E95" s="20"/>
      <c r="F95" s="11"/>
      <c r="G95" s="20"/>
      <c r="H95" s="20"/>
      <c r="I95" s="11"/>
      <c r="J95" s="20"/>
      <c r="K95" s="20"/>
      <c r="L95" s="20"/>
      <c r="M95" s="20"/>
      <c r="N95" s="20"/>
    </row>
    <row r="96" spans="1:14">
      <c r="A96" s="19"/>
      <c r="B96" s="20"/>
      <c r="C96" s="20"/>
      <c r="D96" s="20"/>
      <c r="E96" s="20"/>
      <c r="F96" s="11"/>
      <c r="G96" s="20"/>
      <c r="H96" s="20"/>
      <c r="I96" s="11"/>
      <c r="J96" s="20"/>
      <c r="K96" s="20"/>
      <c r="L96" s="20"/>
      <c r="M96" s="20"/>
      <c r="N96" s="20"/>
    </row>
    <row r="97" spans="1:14">
      <c r="A97" s="19"/>
      <c r="B97" s="20"/>
      <c r="C97" s="20"/>
      <c r="D97" s="20"/>
      <c r="E97" s="20"/>
      <c r="F97" s="11"/>
      <c r="G97" s="20"/>
      <c r="H97" s="20"/>
      <c r="I97" s="11"/>
      <c r="J97" s="20"/>
      <c r="K97" s="20"/>
      <c r="L97" s="20"/>
      <c r="M97" s="20"/>
      <c r="N97" s="20"/>
    </row>
    <row r="98" spans="1:14">
      <c r="A98" s="19"/>
      <c r="B98" s="20"/>
      <c r="C98" s="20"/>
      <c r="D98" s="20"/>
      <c r="E98" s="20"/>
      <c r="F98" s="11"/>
      <c r="G98" s="20"/>
      <c r="H98" s="20"/>
      <c r="I98" s="11"/>
      <c r="J98" s="20"/>
      <c r="K98" s="20"/>
      <c r="L98" s="20"/>
      <c r="M98" s="20"/>
      <c r="N98" s="20"/>
    </row>
    <row r="99" spans="1:14">
      <c r="A99" s="19"/>
      <c r="B99" s="20"/>
      <c r="C99" s="20"/>
      <c r="D99" s="20"/>
      <c r="E99" s="20"/>
      <c r="F99" s="11"/>
      <c r="G99" s="20"/>
      <c r="H99" s="20"/>
      <c r="I99" s="11"/>
      <c r="J99" s="20"/>
      <c r="K99" s="20"/>
      <c r="L99" s="20"/>
      <c r="M99" s="20"/>
      <c r="N99" s="20"/>
    </row>
    <row r="100" spans="1:14">
      <c r="A100" s="19"/>
      <c r="B100" s="20"/>
      <c r="C100" s="20"/>
      <c r="D100" s="20"/>
      <c r="E100" s="20"/>
      <c r="F100" s="11"/>
      <c r="G100" s="20"/>
      <c r="H100" s="20"/>
      <c r="I100" s="11"/>
      <c r="J100" s="20"/>
      <c r="K100" s="20"/>
      <c r="L100" s="20"/>
      <c r="M100" s="20"/>
      <c r="N100" s="20"/>
    </row>
    <row r="101" spans="1:14">
      <c r="A101" s="19"/>
      <c r="B101" s="20"/>
      <c r="C101" s="20"/>
      <c r="D101" s="20"/>
      <c r="E101" s="20"/>
      <c r="F101" s="11"/>
      <c r="G101" s="20"/>
      <c r="H101" s="20"/>
      <c r="I101" s="11"/>
      <c r="J101" s="20"/>
      <c r="K101" s="20"/>
      <c r="L101" s="20"/>
      <c r="M101" s="20"/>
      <c r="N101" s="20"/>
    </row>
    <row r="102" spans="1:14">
      <c r="A102" s="19"/>
      <c r="B102" s="20"/>
      <c r="C102" s="20"/>
      <c r="D102" s="20"/>
      <c r="E102" s="20"/>
      <c r="F102" s="11"/>
      <c r="G102" s="20"/>
      <c r="H102" s="20"/>
      <c r="I102" s="11"/>
      <c r="J102" s="20"/>
      <c r="K102" s="20"/>
      <c r="L102" s="20"/>
      <c r="M102" s="20"/>
      <c r="N102" s="20"/>
    </row>
    <row r="103" spans="1:14">
      <c r="A103" s="19"/>
      <c r="B103" s="20"/>
      <c r="C103" s="20"/>
      <c r="D103" s="20"/>
      <c r="E103" s="20"/>
      <c r="F103" s="11"/>
      <c r="G103" s="20"/>
      <c r="H103" s="20"/>
      <c r="I103" s="11"/>
      <c r="J103" s="20"/>
      <c r="K103" s="20"/>
      <c r="L103" s="20"/>
      <c r="M103" s="20"/>
      <c r="N103" s="20"/>
    </row>
    <row r="104" spans="1:14">
      <c r="A104" s="19"/>
      <c r="B104" s="20"/>
      <c r="C104" s="20"/>
      <c r="D104" s="20"/>
      <c r="E104" s="20"/>
      <c r="F104" s="11"/>
      <c r="G104" s="20"/>
      <c r="H104" s="20"/>
      <c r="I104" s="11"/>
      <c r="J104" s="20"/>
      <c r="K104" s="20"/>
      <c r="L104" s="20"/>
      <c r="M104" s="20"/>
      <c r="N104" s="20"/>
    </row>
    <row r="105" spans="1:14">
      <c r="A105" s="19"/>
      <c r="B105" s="20"/>
      <c r="C105" s="20"/>
      <c r="D105" s="20"/>
      <c r="E105" s="20"/>
      <c r="F105" s="11"/>
      <c r="G105" s="20"/>
      <c r="H105" s="20"/>
      <c r="I105" s="11"/>
      <c r="J105" s="20"/>
      <c r="K105" s="20"/>
      <c r="L105" s="20"/>
      <c r="M105" s="20"/>
      <c r="N105" s="20"/>
    </row>
    <row r="106" spans="1:14">
      <c r="A106" s="19"/>
      <c r="B106" s="20"/>
      <c r="C106" s="20"/>
      <c r="D106" s="20"/>
      <c r="E106" s="20"/>
      <c r="F106" s="11"/>
      <c r="G106" s="20"/>
      <c r="H106" s="20"/>
      <c r="I106" s="11"/>
      <c r="J106" s="20"/>
      <c r="K106" s="20"/>
      <c r="L106" s="20"/>
      <c r="M106" s="20"/>
      <c r="N106" s="20"/>
    </row>
    <row r="107" spans="1:14">
      <c r="A107" s="19"/>
      <c r="B107" s="20"/>
      <c r="C107" s="20"/>
      <c r="D107" s="20"/>
      <c r="E107" s="20"/>
      <c r="F107" s="11"/>
      <c r="G107" s="20"/>
      <c r="H107" s="20"/>
      <c r="I107" s="11"/>
      <c r="J107" s="20"/>
      <c r="K107" s="20"/>
      <c r="L107" s="20"/>
      <c r="M107" s="20"/>
      <c r="N107" s="20"/>
    </row>
    <row r="108" spans="1:14">
      <c r="A108" s="19"/>
      <c r="B108" s="20"/>
      <c r="C108" s="20"/>
      <c r="D108" s="20"/>
      <c r="E108" s="20"/>
      <c r="F108" s="11"/>
      <c r="G108" s="20"/>
      <c r="H108" s="20"/>
      <c r="I108" s="11"/>
      <c r="J108" s="20"/>
      <c r="K108" s="20"/>
      <c r="L108" s="20"/>
      <c r="M108" s="20"/>
      <c r="N108" s="20"/>
    </row>
    <row r="109" spans="1:14">
      <c r="A109" s="19"/>
      <c r="B109" s="20"/>
      <c r="C109" s="20"/>
      <c r="D109" s="20"/>
      <c r="E109" s="20"/>
      <c r="F109" s="11"/>
      <c r="G109" s="20"/>
      <c r="H109" s="20"/>
      <c r="I109" s="11"/>
      <c r="J109" s="20"/>
      <c r="K109" s="20"/>
      <c r="L109" s="20"/>
      <c r="M109" s="20"/>
      <c r="N109" s="20"/>
    </row>
    <row r="110" spans="1:14">
      <c r="A110" s="19"/>
      <c r="B110" s="20"/>
      <c r="C110" s="20"/>
      <c r="D110" s="20"/>
      <c r="E110" s="20"/>
      <c r="F110" s="11"/>
      <c r="G110" s="20"/>
      <c r="H110" s="20"/>
      <c r="I110" s="11"/>
      <c r="J110" s="20"/>
      <c r="K110" s="20"/>
      <c r="L110" s="20"/>
      <c r="M110" s="20"/>
      <c r="N110" s="20"/>
    </row>
    <row r="111" spans="1:14">
      <c r="A111" s="19"/>
      <c r="B111" s="20"/>
      <c r="C111" s="20"/>
      <c r="D111" s="20"/>
      <c r="E111" s="20"/>
      <c r="F111" s="11"/>
      <c r="G111" s="20"/>
      <c r="H111" s="20"/>
      <c r="I111" s="11"/>
      <c r="J111" s="20"/>
      <c r="K111" s="20"/>
      <c r="L111" s="20"/>
      <c r="M111" s="20"/>
      <c r="N111" s="20"/>
    </row>
    <row r="112" spans="1:14">
      <c r="A112" s="19"/>
      <c r="B112" s="20"/>
      <c r="C112" s="20"/>
      <c r="D112" s="20"/>
      <c r="E112" s="20"/>
      <c r="F112" s="11"/>
      <c r="G112" s="20"/>
      <c r="H112" s="20"/>
      <c r="I112" s="11"/>
      <c r="J112" s="20"/>
      <c r="K112" s="20"/>
      <c r="L112" s="20"/>
      <c r="M112" s="20"/>
      <c r="N112" s="20"/>
    </row>
    <row r="113" spans="1:14">
      <c r="A113" s="19"/>
      <c r="B113" s="20"/>
      <c r="C113" s="20"/>
      <c r="D113" s="20"/>
      <c r="E113" s="20"/>
      <c r="F113" s="11"/>
      <c r="G113" s="20"/>
      <c r="H113" s="20"/>
      <c r="I113" s="11"/>
      <c r="J113" s="20"/>
      <c r="K113" s="20"/>
      <c r="L113" s="20"/>
      <c r="M113" s="20"/>
      <c r="N113" s="20"/>
    </row>
    <row r="114" spans="1:14">
      <c r="A114" s="19"/>
      <c r="B114" s="20"/>
      <c r="C114" s="20"/>
      <c r="D114" s="20"/>
      <c r="E114" s="20"/>
      <c r="F114" s="11"/>
      <c r="G114" s="20"/>
      <c r="H114" s="20"/>
      <c r="I114" s="11"/>
      <c r="J114" s="20"/>
      <c r="K114" s="20"/>
      <c r="L114" s="20"/>
      <c r="M114" s="20"/>
      <c r="N114" s="20"/>
    </row>
    <row r="115" spans="1:14">
      <c r="A115" s="19"/>
      <c r="B115" s="20"/>
      <c r="C115" s="20"/>
      <c r="D115" s="20"/>
      <c r="E115" s="20"/>
      <c r="F115" s="11"/>
      <c r="G115" s="20"/>
      <c r="H115" s="20"/>
      <c r="I115" s="11"/>
      <c r="J115" s="20"/>
      <c r="K115" s="20"/>
      <c r="L115" s="20"/>
      <c r="M115" s="20"/>
      <c r="N115" s="20"/>
    </row>
    <row r="116" spans="1:14">
      <c r="A116" s="19"/>
      <c r="B116" s="20"/>
      <c r="C116" s="20"/>
      <c r="D116" s="20"/>
      <c r="E116" s="20"/>
      <c r="F116" s="11"/>
      <c r="G116" s="20"/>
      <c r="H116" s="20"/>
      <c r="I116" s="11"/>
      <c r="J116" s="20"/>
      <c r="K116" s="20"/>
      <c r="L116" s="20"/>
      <c r="M116" s="20"/>
      <c r="N116" s="20"/>
    </row>
    <row r="117" spans="1:14">
      <c r="A117" s="19"/>
      <c r="B117" s="20"/>
      <c r="C117" s="20"/>
      <c r="D117" s="20"/>
      <c r="E117" s="20"/>
      <c r="F117" s="11"/>
      <c r="G117" s="20"/>
      <c r="H117" s="20"/>
      <c r="I117" s="11"/>
      <c r="J117" s="20"/>
      <c r="K117" s="20"/>
      <c r="L117" s="20"/>
      <c r="M117" s="20"/>
      <c r="N117" s="20"/>
    </row>
    <row r="118" spans="1:14">
      <c r="A118" s="19"/>
      <c r="B118" s="20"/>
      <c r="C118" s="20"/>
      <c r="D118" s="20"/>
      <c r="E118" s="20"/>
      <c r="F118" s="11"/>
      <c r="G118" s="20"/>
      <c r="H118" s="20"/>
      <c r="I118" s="11"/>
      <c r="J118" s="20"/>
      <c r="K118" s="20"/>
      <c r="L118" s="20"/>
      <c r="M118" s="20"/>
      <c r="N118" s="20"/>
    </row>
    <row r="119" spans="1:14">
      <c r="A119" s="19"/>
      <c r="B119" s="20"/>
      <c r="C119" s="20"/>
      <c r="D119" s="20"/>
      <c r="E119" s="20"/>
      <c r="F119" s="11"/>
      <c r="G119" s="20"/>
      <c r="H119" s="20"/>
      <c r="I119" s="11"/>
      <c r="J119" s="20"/>
      <c r="K119" s="20"/>
      <c r="L119" s="20"/>
      <c r="M119" s="20"/>
      <c r="N119" s="20"/>
    </row>
    <row r="120" spans="1:14">
      <c r="A120" s="19"/>
      <c r="B120" s="20"/>
      <c r="C120" s="20"/>
      <c r="D120" s="20"/>
      <c r="E120" s="20"/>
      <c r="F120" s="11"/>
      <c r="G120" s="20"/>
      <c r="H120" s="20"/>
      <c r="I120" s="11"/>
      <c r="J120" s="20"/>
      <c r="K120" s="20"/>
      <c r="L120" s="20"/>
      <c r="M120" s="20"/>
      <c r="N120" s="20"/>
    </row>
    <row r="121" spans="1:14">
      <c r="A121" s="19"/>
      <c r="B121" s="20"/>
      <c r="C121" s="20"/>
      <c r="D121" s="20"/>
      <c r="E121" s="20"/>
      <c r="F121" s="11"/>
      <c r="G121" s="20"/>
      <c r="H121" s="20"/>
      <c r="I121" s="11"/>
      <c r="J121" s="20"/>
      <c r="K121" s="20"/>
      <c r="L121" s="20"/>
      <c r="M121" s="20"/>
      <c r="N121" s="20"/>
    </row>
    <row r="122" spans="1:14">
      <c r="A122" s="19"/>
      <c r="B122" s="20"/>
      <c r="C122" s="20"/>
      <c r="D122" s="20"/>
      <c r="E122" s="20"/>
      <c r="F122" s="11"/>
      <c r="G122" s="20"/>
      <c r="H122" s="20"/>
      <c r="I122" s="11"/>
      <c r="J122" s="20"/>
      <c r="K122" s="20"/>
      <c r="L122" s="20"/>
      <c r="M122" s="20"/>
      <c r="N122" s="20"/>
    </row>
    <row r="123" spans="1:14">
      <c r="A123" s="19"/>
      <c r="B123" s="20"/>
      <c r="C123" s="20"/>
      <c r="D123" s="20"/>
      <c r="E123" s="20"/>
      <c r="F123" s="11"/>
      <c r="G123" s="20"/>
      <c r="H123" s="20"/>
      <c r="I123" s="11"/>
      <c r="J123" s="20"/>
      <c r="K123" s="20"/>
      <c r="L123" s="20"/>
      <c r="M123" s="20"/>
      <c r="N123" s="20"/>
    </row>
    <row r="124" spans="1:14">
      <c r="A124" s="19"/>
      <c r="B124" s="20"/>
      <c r="C124" s="20"/>
      <c r="D124" s="20"/>
      <c r="E124" s="20"/>
      <c r="F124" s="11"/>
      <c r="G124" s="20"/>
      <c r="H124" s="20"/>
      <c r="I124" s="11"/>
      <c r="J124" s="20"/>
      <c r="K124" s="20"/>
      <c r="L124" s="20"/>
      <c r="M124" s="20"/>
      <c r="N124" s="20"/>
    </row>
    <row r="125" spans="1:14">
      <c r="A125" s="19"/>
      <c r="B125" s="20"/>
      <c r="C125" s="20"/>
      <c r="D125" s="20"/>
      <c r="E125" s="20"/>
      <c r="F125" s="11"/>
      <c r="G125" s="20"/>
      <c r="H125" s="20"/>
      <c r="I125" s="11"/>
      <c r="J125" s="20"/>
      <c r="K125" s="20"/>
      <c r="L125" s="20"/>
      <c r="M125" s="20"/>
      <c r="N125" s="20"/>
    </row>
    <row r="126" spans="1:14">
      <c r="A126" s="19"/>
      <c r="B126" s="20"/>
      <c r="C126" s="20"/>
      <c r="D126" s="20"/>
      <c r="E126" s="20"/>
      <c r="F126" s="11"/>
      <c r="G126" s="20"/>
      <c r="H126" s="20"/>
      <c r="I126" s="11"/>
      <c r="J126" s="20"/>
      <c r="K126" s="20"/>
      <c r="L126" s="20"/>
      <c r="M126" s="20"/>
      <c r="N126" s="20"/>
    </row>
    <row r="127" spans="1:14">
      <c r="A127" s="19"/>
      <c r="B127" s="20"/>
      <c r="C127" s="20"/>
      <c r="D127" s="20"/>
      <c r="E127" s="20"/>
      <c r="F127" s="11"/>
      <c r="G127" s="20"/>
      <c r="H127" s="20"/>
      <c r="I127" s="11"/>
      <c r="J127" s="20"/>
      <c r="K127" s="20"/>
      <c r="L127" s="20"/>
      <c r="M127" s="20"/>
      <c r="N127" s="20"/>
    </row>
    <row r="128" spans="1:14">
      <c r="A128" s="19"/>
      <c r="B128" s="20"/>
      <c r="C128" s="20"/>
      <c r="D128" s="20"/>
      <c r="E128" s="20"/>
      <c r="F128" s="11"/>
      <c r="G128" s="20"/>
      <c r="H128" s="20"/>
      <c r="I128" s="11"/>
      <c r="J128" s="20"/>
      <c r="K128" s="20"/>
      <c r="L128" s="20"/>
      <c r="M128" s="20"/>
      <c r="N128" s="20"/>
    </row>
    <row r="129" spans="1:14">
      <c r="A129" s="19"/>
      <c r="B129" s="20"/>
      <c r="C129" s="20"/>
      <c r="D129" s="20"/>
      <c r="E129" s="20"/>
      <c r="F129" s="11"/>
      <c r="G129" s="20"/>
      <c r="H129" s="20"/>
      <c r="I129" s="11"/>
      <c r="J129" s="20"/>
      <c r="K129" s="20"/>
      <c r="L129" s="20"/>
      <c r="M129" s="20"/>
      <c r="N129" s="20"/>
    </row>
    <row r="130" spans="1:14">
      <c r="A130" s="19"/>
      <c r="B130" s="20"/>
      <c r="C130" s="20"/>
      <c r="D130" s="20"/>
      <c r="E130" s="20"/>
      <c r="F130" s="11"/>
      <c r="G130" s="20"/>
      <c r="H130" s="20"/>
      <c r="I130" s="11"/>
      <c r="J130" s="20"/>
      <c r="K130" s="20"/>
      <c r="L130" s="20"/>
      <c r="M130" s="20"/>
      <c r="N130" s="20"/>
    </row>
    <row r="131" spans="1:14">
      <c r="A131" s="19"/>
      <c r="B131" s="20"/>
      <c r="C131" s="20"/>
      <c r="D131" s="20"/>
      <c r="E131" s="20"/>
      <c r="F131" s="11"/>
      <c r="G131" s="20"/>
      <c r="H131" s="20"/>
      <c r="I131" s="11"/>
      <c r="J131" s="20"/>
      <c r="K131" s="20"/>
      <c r="L131" s="20"/>
      <c r="M131" s="20"/>
      <c r="N131" s="20"/>
    </row>
    <row r="132" spans="1:14">
      <c r="A132" s="19"/>
      <c r="B132" s="20"/>
      <c r="C132" s="20"/>
      <c r="D132" s="20"/>
      <c r="E132" s="20"/>
      <c r="F132" s="11"/>
      <c r="G132" s="20"/>
      <c r="H132" s="20"/>
      <c r="I132" s="11"/>
      <c r="J132" s="20"/>
      <c r="K132" s="20"/>
      <c r="L132" s="20"/>
      <c r="M132" s="20"/>
      <c r="N132" s="20"/>
    </row>
    <row r="133" spans="1:14">
      <c r="A133" s="19"/>
      <c r="B133" s="20"/>
      <c r="C133" s="20"/>
      <c r="D133" s="20"/>
      <c r="E133" s="20"/>
      <c r="F133" s="11"/>
      <c r="G133" s="20"/>
      <c r="H133" s="20"/>
      <c r="I133" s="11"/>
      <c r="J133" s="20"/>
      <c r="K133" s="20"/>
      <c r="L133" s="20"/>
      <c r="M133" s="20"/>
      <c r="N133" s="20"/>
    </row>
    <row r="134" spans="1:14">
      <c r="A134" s="19"/>
      <c r="B134" s="20"/>
      <c r="C134" s="20"/>
      <c r="D134" s="20"/>
      <c r="E134" s="20"/>
      <c r="F134" s="11"/>
      <c r="G134" s="20"/>
      <c r="H134" s="20"/>
      <c r="I134" s="11"/>
      <c r="J134" s="20"/>
      <c r="K134" s="20"/>
      <c r="L134" s="20"/>
      <c r="M134" s="20"/>
      <c r="N134" s="20"/>
    </row>
    <row r="135" spans="1:14">
      <c r="A135" s="19"/>
      <c r="B135" s="20"/>
      <c r="C135" s="20"/>
      <c r="D135" s="20"/>
      <c r="E135" s="20"/>
      <c r="F135" s="11"/>
      <c r="G135" s="20"/>
      <c r="H135" s="20"/>
      <c r="I135" s="11"/>
      <c r="J135" s="20"/>
      <c r="K135" s="20"/>
      <c r="L135" s="20"/>
      <c r="M135" s="20"/>
      <c r="N135" s="20"/>
    </row>
    <row r="136" spans="1:14">
      <c r="A136" s="19"/>
      <c r="B136" s="20"/>
      <c r="C136" s="20"/>
      <c r="D136" s="20"/>
      <c r="E136" s="20"/>
      <c r="F136" s="11"/>
      <c r="G136" s="20"/>
      <c r="H136" s="20"/>
      <c r="I136" s="11"/>
      <c r="J136" s="20"/>
      <c r="K136" s="20"/>
      <c r="L136" s="20"/>
      <c r="M136" s="20"/>
      <c r="N136" s="20"/>
    </row>
    <row r="137" spans="1:14">
      <c r="A137" s="19"/>
      <c r="B137" s="20"/>
      <c r="C137" s="20"/>
      <c r="D137" s="20"/>
      <c r="E137" s="20"/>
      <c r="F137" s="11"/>
      <c r="G137" s="20"/>
      <c r="H137" s="20"/>
      <c r="I137" s="11"/>
      <c r="J137" s="20"/>
      <c r="K137" s="20"/>
      <c r="L137" s="20"/>
      <c r="M137" s="20"/>
      <c r="N137" s="20"/>
    </row>
    <row r="138" spans="1:14">
      <c r="A138" s="19"/>
      <c r="B138" s="20"/>
      <c r="C138" s="20"/>
      <c r="D138" s="20"/>
      <c r="E138" s="20"/>
      <c r="F138" s="11"/>
      <c r="G138" s="20"/>
      <c r="H138" s="20"/>
      <c r="I138" s="11"/>
      <c r="J138" s="20"/>
      <c r="K138" s="20"/>
      <c r="L138" s="20"/>
      <c r="M138" s="20"/>
      <c r="N138" s="20"/>
    </row>
    <row r="139" spans="1:14">
      <c r="A139" s="19"/>
      <c r="B139" s="20"/>
      <c r="C139" s="20"/>
      <c r="D139" s="20"/>
      <c r="E139" s="20"/>
      <c r="F139" s="11"/>
      <c r="G139" s="20"/>
      <c r="H139" s="20"/>
      <c r="I139" s="11"/>
      <c r="J139" s="20"/>
      <c r="K139" s="20"/>
      <c r="L139" s="20"/>
      <c r="M139" s="20"/>
      <c r="N139" s="20"/>
    </row>
    <row r="140" spans="1:14">
      <c r="A140" s="19"/>
      <c r="B140" s="20"/>
      <c r="C140" s="20"/>
      <c r="D140" s="20"/>
      <c r="E140" s="20"/>
      <c r="F140" s="11"/>
      <c r="G140" s="20"/>
      <c r="H140" s="20"/>
      <c r="I140" s="11"/>
      <c r="J140" s="20"/>
      <c r="K140" s="20"/>
      <c r="L140" s="20"/>
      <c r="M140" s="20"/>
      <c r="N140" s="20"/>
    </row>
    <row r="141" spans="1:14">
      <c r="A141" s="19"/>
      <c r="B141" s="20"/>
      <c r="C141" s="20"/>
      <c r="D141" s="20"/>
      <c r="E141" s="20"/>
      <c r="F141" s="11"/>
      <c r="G141" s="20"/>
      <c r="H141" s="20"/>
      <c r="I141" s="11"/>
      <c r="J141" s="20"/>
      <c r="K141" s="20"/>
      <c r="L141" s="20"/>
      <c r="M141" s="20"/>
      <c r="N141" s="20"/>
    </row>
    <row r="142" spans="1:14">
      <c r="A142" s="19"/>
      <c r="B142" s="20"/>
      <c r="C142" s="20"/>
      <c r="D142" s="20"/>
      <c r="E142" s="20"/>
      <c r="F142" s="11"/>
      <c r="G142" s="20"/>
      <c r="H142" s="20"/>
      <c r="I142" s="11"/>
      <c r="J142" s="20"/>
      <c r="K142" s="20"/>
      <c r="L142" s="20"/>
      <c r="M142" s="20"/>
      <c r="N142" s="20"/>
    </row>
    <row r="143" spans="1:14">
      <c r="A143" s="19"/>
      <c r="B143" s="20"/>
      <c r="C143" s="20"/>
      <c r="D143" s="20"/>
      <c r="E143" s="20"/>
      <c r="F143" s="11"/>
      <c r="G143" s="20"/>
      <c r="H143" s="20"/>
      <c r="I143" s="11"/>
      <c r="J143" s="20"/>
      <c r="K143" s="20"/>
      <c r="L143" s="20"/>
      <c r="M143" s="20"/>
      <c r="N143" s="20"/>
    </row>
    <row r="144" spans="1:14">
      <c r="A144" s="19"/>
      <c r="B144" s="20"/>
      <c r="C144" s="20"/>
      <c r="D144" s="20"/>
      <c r="E144" s="20"/>
      <c r="F144" s="11"/>
      <c r="G144" s="20"/>
      <c r="H144" s="20"/>
      <c r="I144" s="11"/>
      <c r="J144" s="20"/>
      <c r="K144" s="20"/>
      <c r="L144" s="20"/>
      <c r="M144" s="20"/>
      <c r="N144" s="20"/>
    </row>
    <row r="145" spans="1:14">
      <c r="A145" s="19"/>
      <c r="B145" s="20"/>
      <c r="C145" s="20"/>
      <c r="D145" s="20"/>
      <c r="E145" s="20"/>
      <c r="F145" s="11"/>
      <c r="G145" s="20"/>
      <c r="H145" s="20"/>
      <c r="I145" s="11"/>
      <c r="J145" s="20"/>
      <c r="K145" s="20"/>
      <c r="L145" s="20"/>
      <c r="M145" s="20"/>
      <c r="N145" s="20"/>
    </row>
    <row r="146" spans="1:14">
      <c r="A146" s="19"/>
      <c r="B146" s="20"/>
      <c r="C146" s="20"/>
      <c r="D146" s="20"/>
      <c r="E146" s="20"/>
      <c r="F146" s="11"/>
      <c r="G146" s="20"/>
      <c r="H146" s="20"/>
      <c r="I146" s="11"/>
      <c r="J146" s="20"/>
      <c r="K146" s="20"/>
      <c r="L146" s="20"/>
      <c r="M146" s="20"/>
      <c r="N146" s="20"/>
    </row>
    <row r="147" spans="1:14">
      <c r="A147" s="19"/>
      <c r="B147" s="20"/>
      <c r="C147" s="20"/>
      <c r="D147" s="20"/>
      <c r="E147" s="20"/>
      <c r="F147" s="11"/>
      <c r="G147" s="20"/>
      <c r="H147" s="20"/>
      <c r="I147" s="11"/>
      <c r="J147" s="20"/>
      <c r="K147" s="20"/>
      <c r="L147" s="20"/>
      <c r="M147" s="20"/>
      <c r="N147" s="20"/>
    </row>
    <row r="148" spans="1:14">
      <c r="A148" s="19"/>
      <c r="B148" s="20"/>
      <c r="C148" s="20"/>
      <c r="D148" s="20"/>
      <c r="E148" s="20"/>
      <c r="F148" s="11"/>
      <c r="G148" s="20"/>
      <c r="H148" s="20"/>
      <c r="I148" s="11"/>
      <c r="J148" s="20"/>
      <c r="K148" s="20"/>
      <c r="L148" s="20"/>
      <c r="M148" s="20"/>
      <c r="N148" s="20"/>
    </row>
    <row r="149" spans="1:14">
      <c r="A149" s="19"/>
      <c r="B149" s="20"/>
      <c r="C149" s="20"/>
      <c r="D149" s="20"/>
      <c r="E149" s="20"/>
      <c r="F149" s="11"/>
      <c r="G149" s="20"/>
      <c r="H149" s="20"/>
      <c r="I149" s="11"/>
      <c r="J149" s="20"/>
      <c r="K149" s="20"/>
      <c r="L149" s="20"/>
      <c r="M149" s="20"/>
      <c r="N149" s="20"/>
    </row>
    <row r="150" spans="1:14">
      <c r="A150" s="19"/>
      <c r="B150" s="20"/>
      <c r="C150" s="20"/>
      <c r="D150" s="20"/>
      <c r="E150" s="20"/>
      <c r="F150" s="11"/>
      <c r="G150" s="20"/>
      <c r="H150" s="20"/>
      <c r="I150" s="11"/>
      <c r="J150" s="20"/>
      <c r="K150" s="20"/>
      <c r="L150" s="20"/>
      <c r="M150" s="20"/>
      <c r="N150" s="20"/>
    </row>
    <row r="151" spans="1:14">
      <c r="A151" s="19"/>
      <c r="B151" s="20"/>
      <c r="C151" s="20"/>
      <c r="D151" s="20"/>
      <c r="E151" s="20"/>
      <c r="F151" s="11"/>
      <c r="G151" s="20"/>
      <c r="H151" s="20"/>
      <c r="I151" s="11"/>
      <c r="J151" s="20"/>
      <c r="K151" s="20"/>
      <c r="L151" s="20"/>
      <c r="M151" s="20"/>
      <c r="N151" s="20"/>
    </row>
    <row r="152" spans="1:14">
      <c r="A152" s="19"/>
      <c r="B152" s="20"/>
      <c r="C152" s="20"/>
      <c r="D152" s="20"/>
      <c r="E152" s="20"/>
      <c r="F152" s="11"/>
      <c r="G152" s="20"/>
      <c r="H152" s="20"/>
      <c r="I152" s="11"/>
      <c r="J152" s="20"/>
      <c r="K152" s="20"/>
      <c r="L152" s="20"/>
      <c r="M152" s="20"/>
      <c r="N152" s="20"/>
    </row>
    <row r="153" spans="1:14">
      <c r="A153" s="19"/>
      <c r="B153" s="20"/>
      <c r="C153" s="20"/>
      <c r="D153" s="20"/>
      <c r="E153" s="20"/>
      <c r="F153" s="11"/>
      <c r="G153" s="20"/>
      <c r="H153" s="20"/>
      <c r="I153" s="11"/>
      <c r="J153" s="20"/>
      <c r="K153" s="20"/>
      <c r="L153" s="20"/>
      <c r="M153" s="20"/>
      <c r="N153" s="20"/>
    </row>
    <row r="154" spans="1:14">
      <c r="A154" s="19"/>
      <c r="B154" s="20"/>
      <c r="C154" s="20"/>
      <c r="D154" s="20"/>
      <c r="E154" s="20"/>
      <c r="F154" s="11"/>
      <c r="G154" s="20"/>
      <c r="H154" s="20"/>
      <c r="I154" s="11"/>
      <c r="J154" s="20"/>
      <c r="K154" s="20"/>
      <c r="L154" s="20"/>
      <c r="M154" s="20"/>
      <c r="N154" s="20"/>
    </row>
    <row r="155" spans="1:14">
      <c r="A155" s="19"/>
      <c r="B155" s="20"/>
      <c r="C155" s="20"/>
      <c r="D155" s="20"/>
      <c r="E155" s="20"/>
      <c r="F155" s="11"/>
      <c r="G155" s="20"/>
      <c r="H155" s="20"/>
      <c r="I155" s="11"/>
      <c r="J155" s="20"/>
      <c r="K155" s="20"/>
      <c r="L155" s="20"/>
      <c r="M155" s="20"/>
      <c r="N155" s="20"/>
    </row>
    <row r="156" spans="1:14">
      <c r="A156" s="19"/>
      <c r="B156" s="20"/>
      <c r="C156" s="20"/>
      <c r="D156" s="20"/>
      <c r="E156" s="20"/>
      <c r="F156" s="11"/>
      <c r="G156" s="20"/>
      <c r="H156" s="20"/>
      <c r="I156" s="11"/>
      <c r="J156" s="20"/>
      <c r="K156" s="20"/>
      <c r="L156" s="20"/>
      <c r="M156" s="20"/>
      <c r="N156" s="20"/>
    </row>
    <row r="157" spans="1:14">
      <c r="A157" s="19"/>
      <c r="B157" s="20"/>
      <c r="C157" s="20"/>
      <c r="D157" s="20"/>
      <c r="E157" s="20"/>
      <c r="F157" s="11"/>
      <c r="G157" s="20"/>
      <c r="H157" s="20"/>
      <c r="I157" s="11"/>
      <c r="J157" s="20"/>
      <c r="K157" s="20"/>
      <c r="L157" s="20"/>
      <c r="M157" s="20"/>
      <c r="N157" s="20"/>
    </row>
    <row r="158" spans="1:14">
      <c r="A158" s="19"/>
      <c r="B158" s="20"/>
      <c r="C158" s="20"/>
      <c r="D158" s="20"/>
      <c r="E158" s="20"/>
      <c r="F158" s="11"/>
      <c r="G158" s="20"/>
      <c r="H158" s="20"/>
      <c r="I158" s="11"/>
      <c r="J158" s="20"/>
      <c r="K158" s="20"/>
      <c r="L158" s="20"/>
      <c r="M158" s="20"/>
      <c r="N158" s="20"/>
    </row>
    <row r="159" spans="1:14">
      <c r="A159" s="19"/>
      <c r="B159" s="20"/>
      <c r="C159" s="20"/>
      <c r="D159" s="20"/>
      <c r="E159" s="20"/>
      <c r="F159" s="11"/>
      <c r="G159" s="20"/>
      <c r="H159" s="20"/>
      <c r="I159" s="11"/>
      <c r="J159" s="20"/>
      <c r="K159" s="20"/>
      <c r="L159" s="20"/>
      <c r="M159" s="20"/>
      <c r="N159" s="20"/>
    </row>
    <row r="160" spans="1:14">
      <c r="A160" s="19"/>
      <c r="B160" s="20"/>
      <c r="C160" s="20"/>
      <c r="D160" s="20"/>
      <c r="E160" s="20"/>
      <c r="F160" s="11"/>
      <c r="G160" s="20"/>
      <c r="H160" s="20"/>
      <c r="I160" s="11"/>
      <c r="J160" s="20"/>
      <c r="K160" s="20"/>
      <c r="L160" s="20"/>
      <c r="M160" s="20"/>
      <c r="N160" s="20"/>
    </row>
    <row r="161" spans="1:14">
      <c r="A161" s="19"/>
      <c r="B161" s="20"/>
      <c r="C161" s="20"/>
      <c r="D161" s="20"/>
      <c r="E161" s="20"/>
      <c r="F161" s="11"/>
      <c r="G161" s="20"/>
      <c r="H161" s="20"/>
      <c r="I161" s="11"/>
      <c r="J161" s="20"/>
      <c r="K161" s="20"/>
      <c r="L161" s="20"/>
      <c r="M161" s="20"/>
      <c r="N161" s="20"/>
    </row>
    <row r="162" spans="1:14">
      <c r="A162" s="19"/>
      <c r="B162" s="20"/>
      <c r="C162" s="20"/>
      <c r="D162" s="20"/>
      <c r="E162" s="20"/>
      <c r="F162" s="11"/>
      <c r="G162" s="20"/>
      <c r="H162" s="20"/>
      <c r="I162" s="11"/>
      <c r="J162" s="20"/>
      <c r="K162" s="20"/>
      <c r="L162" s="20"/>
      <c r="M162" s="20"/>
      <c r="N162" s="20"/>
    </row>
    <row r="163" spans="1:14">
      <c r="A163" s="19"/>
      <c r="B163" s="20"/>
      <c r="C163" s="20"/>
      <c r="D163" s="20"/>
      <c r="E163" s="20"/>
      <c r="F163" s="11"/>
      <c r="G163" s="20"/>
      <c r="H163" s="20"/>
      <c r="I163" s="11"/>
      <c r="J163" s="20"/>
      <c r="K163" s="20"/>
      <c r="L163" s="20"/>
      <c r="M163" s="20"/>
      <c r="N163" s="20"/>
    </row>
    <row r="164" spans="1:14">
      <c r="A164" s="19"/>
      <c r="B164" s="20"/>
      <c r="C164" s="20"/>
      <c r="D164" s="20"/>
      <c r="E164" s="20"/>
      <c r="F164" s="11"/>
      <c r="G164" s="20"/>
      <c r="H164" s="20"/>
      <c r="I164" s="11"/>
      <c r="J164" s="20"/>
      <c r="K164" s="20"/>
      <c r="L164" s="20"/>
      <c r="M164" s="20"/>
      <c r="N164" s="20"/>
    </row>
    <row r="165" spans="1:14">
      <c r="A165" s="19"/>
      <c r="B165" s="20"/>
      <c r="C165" s="20"/>
      <c r="D165" s="20"/>
      <c r="E165" s="20"/>
      <c r="F165" s="11"/>
      <c r="G165" s="20"/>
      <c r="H165" s="20"/>
      <c r="I165" s="11"/>
      <c r="J165" s="20"/>
      <c r="K165" s="20"/>
      <c r="L165" s="20"/>
      <c r="M165" s="20"/>
      <c r="N165" s="20"/>
    </row>
    <row r="166" spans="1:14">
      <c r="A166" s="19"/>
      <c r="B166" s="20"/>
      <c r="C166" s="20"/>
      <c r="D166" s="20"/>
      <c r="E166" s="20"/>
      <c r="F166" s="11"/>
      <c r="G166" s="20"/>
      <c r="H166" s="20"/>
      <c r="I166" s="11"/>
      <c r="J166" s="20"/>
      <c r="K166" s="20"/>
      <c r="L166" s="20"/>
      <c r="M166" s="20"/>
      <c r="N166" s="20"/>
    </row>
    <row r="167" spans="1:14">
      <c r="A167" s="19"/>
      <c r="B167" s="20"/>
      <c r="C167" s="20"/>
      <c r="D167" s="20"/>
      <c r="E167" s="20"/>
      <c r="F167" s="11"/>
      <c r="G167" s="20"/>
      <c r="H167" s="20"/>
      <c r="I167" s="11"/>
      <c r="J167" s="20"/>
      <c r="K167" s="20"/>
      <c r="L167" s="20"/>
      <c r="M167" s="20"/>
      <c r="N167" s="20"/>
    </row>
    <row r="168" spans="1:14">
      <c r="A168" s="19"/>
      <c r="B168" s="20"/>
      <c r="C168" s="20"/>
      <c r="D168" s="20"/>
      <c r="E168" s="20"/>
      <c r="F168" s="11"/>
      <c r="G168" s="20"/>
      <c r="H168" s="20"/>
      <c r="I168" s="11"/>
      <c r="J168" s="20"/>
      <c r="K168" s="20"/>
      <c r="L168" s="20"/>
      <c r="M168" s="20"/>
      <c r="N168" s="20"/>
    </row>
    <row r="169" spans="1:14">
      <c r="A169" s="19"/>
      <c r="B169" s="20"/>
      <c r="C169" s="20"/>
      <c r="D169" s="20"/>
      <c r="E169" s="20"/>
      <c r="F169" s="11"/>
      <c r="G169" s="20"/>
      <c r="H169" s="20"/>
      <c r="I169" s="11"/>
      <c r="J169" s="20"/>
      <c r="K169" s="20"/>
      <c r="L169" s="20"/>
      <c r="M169" s="20"/>
      <c r="N169" s="20"/>
    </row>
    <row r="170" spans="1:14">
      <c r="A170" s="19"/>
      <c r="B170" s="20"/>
      <c r="C170" s="20"/>
      <c r="D170" s="20"/>
      <c r="E170" s="20"/>
      <c r="F170" s="11"/>
      <c r="G170" s="20"/>
      <c r="H170" s="20"/>
      <c r="I170" s="11"/>
      <c r="J170" s="20"/>
      <c r="K170" s="20"/>
      <c r="L170" s="20"/>
      <c r="M170" s="20"/>
      <c r="N170" s="20"/>
    </row>
    <row r="171" spans="1:14">
      <c r="A171" s="19"/>
      <c r="B171" s="20"/>
      <c r="C171" s="20"/>
      <c r="D171" s="20"/>
      <c r="E171" s="20"/>
      <c r="F171" s="11"/>
      <c r="G171" s="20"/>
      <c r="H171" s="20"/>
      <c r="I171" s="11"/>
      <c r="J171" s="20"/>
      <c r="K171" s="20"/>
      <c r="L171" s="20"/>
      <c r="M171" s="20"/>
      <c r="N171" s="20"/>
    </row>
    <row r="172" spans="1:14">
      <c r="A172" s="19"/>
      <c r="B172" s="20"/>
      <c r="C172" s="20"/>
      <c r="D172" s="20"/>
      <c r="E172" s="20"/>
      <c r="F172" s="11"/>
      <c r="G172" s="20"/>
      <c r="H172" s="20"/>
      <c r="I172" s="11"/>
      <c r="J172" s="20"/>
      <c r="K172" s="20"/>
      <c r="L172" s="20"/>
      <c r="M172" s="20"/>
      <c r="N172" s="20"/>
    </row>
    <row r="173" spans="1:14">
      <c r="A173" s="19"/>
      <c r="B173" s="20"/>
      <c r="C173" s="20"/>
      <c r="D173" s="20"/>
      <c r="E173" s="20"/>
      <c r="F173" s="11"/>
      <c r="G173" s="20"/>
      <c r="H173" s="20"/>
      <c r="I173" s="11"/>
      <c r="J173" s="20"/>
      <c r="K173" s="20"/>
      <c r="L173" s="20"/>
      <c r="M173" s="20"/>
      <c r="N173" s="20"/>
    </row>
    <row r="174" spans="1:14">
      <c r="A174" s="19"/>
      <c r="B174" s="20"/>
      <c r="C174" s="20"/>
      <c r="D174" s="20"/>
      <c r="E174" s="20"/>
      <c r="F174" s="11"/>
      <c r="G174" s="20"/>
      <c r="H174" s="20"/>
      <c r="I174" s="11"/>
      <c r="J174" s="20"/>
      <c r="K174" s="20"/>
      <c r="L174" s="20"/>
      <c r="M174" s="20"/>
      <c r="N174" s="20"/>
    </row>
    <row r="175" spans="1:14">
      <c r="A175" s="19"/>
      <c r="B175" s="20"/>
      <c r="C175" s="20"/>
      <c r="D175" s="20"/>
      <c r="E175" s="20"/>
      <c r="F175" s="11"/>
      <c r="G175" s="20"/>
      <c r="H175" s="20"/>
      <c r="I175" s="11"/>
      <c r="J175" s="20"/>
      <c r="K175" s="20"/>
      <c r="L175" s="20"/>
      <c r="M175" s="20"/>
      <c r="N175" s="20"/>
    </row>
    <row r="176" spans="1:14">
      <c r="A176" s="19"/>
      <c r="B176" s="20"/>
      <c r="C176" s="20"/>
      <c r="D176" s="20"/>
      <c r="E176" s="20"/>
      <c r="F176" s="11"/>
      <c r="G176" s="20"/>
      <c r="H176" s="20"/>
      <c r="I176" s="11"/>
      <c r="J176" s="20"/>
      <c r="K176" s="20"/>
      <c r="L176" s="20"/>
      <c r="M176" s="20"/>
      <c r="N176" s="20"/>
    </row>
    <row r="177" spans="1:14">
      <c r="A177" s="19"/>
      <c r="B177" s="20"/>
      <c r="C177" s="20"/>
      <c r="D177" s="20"/>
      <c r="E177" s="20"/>
      <c r="F177" s="11"/>
      <c r="G177" s="20"/>
      <c r="H177" s="20"/>
      <c r="I177" s="11"/>
      <c r="J177" s="20"/>
      <c r="K177" s="20"/>
      <c r="L177" s="20"/>
      <c r="M177" s="20"/>
      <c r="N177" s="20"/>
    </row>
    <row r="178" spans="1:14">
      <c r="A178" s="19"/>
      <c r="B178" s="20"/>
      <c r="C178" s="20"/>
      <c r="D178" s="20"/>
      <c r="E178" s="20"/>
      <c r="F178" s="11"/>
      <c r="G178" s="20"/>
      <c r="H178" s="20"/>
      <c r="I178" s="11"/>
      <c r="J178" s="20"/>
      <c r="K178" s="20"/>
      <c r="L178" s="20"/>
      <c r="M178" s="20"/>
      <c r="N178" s="20"/>
    </row>
    <row r="179" spans="1:14">
      <c r="A179" s="19"/>
      <c r="B179" s="20"/>
      <c r="C179" s="20"/>
      <c r="D179" s="20"/>
      <c r="E179" s="20"/>
      <c r="F179" s="11"/>
      <c r="G179" s="20"/>
      <c r="H179" s="20"/>
      <c r="I179" s="11"/>
      <c r="J179" s="20"/>
      <c r="K179" s="20"/>
      <c r="L179" s="20"/>
      <c r="M179" s="20"/>
      <c r="N179" s="20"/>
    </row>
    <row r="180" spans="1:14">
      <c r="A180" s="19"/>
      <c r="B180" s="20"/>
      <c r="C180" s="20"/>
      <c r="D180" s="20"/>
      <c r="E180" s="20"/>
      <c r="F180" s="11"/>
      <c r="G180" s="20"/>
      <c r="H180" s="20"/>
      <c r="I180" s="11"/>
      <c r="J180" s="20"/>
      <c r="K180" s="20"/>
      <c r="L180" s="20"/>
      <c r="M180" s="20"/>
      <c r="N180" s="20"/>
    </row>
    <row r="181" spans="1:14">
      <c r="A181" s="19"/>
      <c r="B181" s="20"/>
      <c r="C181" s="20"/>
      <c r="D181" s="20"/>
      <c r="E181" s="20"/>
      <c r="F181" s="11"/>
      <c r="G181" s="20"/>
      <c r="H181" s="20"/>
      <c r="I181" s="11"/>
      <c r="J181" s="20"/>
      <c r="K181" s="20"/>
      <c r="L181" s="20"/>
      <c r="M181" s="20"/>
      <c r="N181" s="20"/>
    </row>
    <row r="182" spans="1:14">
      <c r="A182" s="19"/>
      <c r="B182" s="20"/>
      <c r="C182" s="20"/>
      <c r="D182" s="20"/>
      <c r="E182" s="20"/>
      <c r="F182" s="11"/>
      <c r="G182" s="20"/>
      <c r="H182" s="20"/>
      <c r="I182" s="11"/>
      <c r="J182" s="20"/>
      <c r="K182" s="20"/>
      <c r="L182" s="20"/>
      <c r="M182" s="20"/>
      <c r="N182" s="20"/>
    </row>
    <row r="183" spans="1:14">
      <c r="A183" s="19"/>
      <c r="B183" s="20"/>
      <c r="C183" s="20"/>
      <c r="D183" s="20"/>
      <c r="E183" s="20"/>
      <c r="F183" s="11"/>
      <c r="G183" s="20"/>
      <c r="H183" s="20"/>
      <c r="I183" s="11"/>
      <c r="J183" s="20"/>
      <c r="K183" s="20"/>
      <c r="L183" s="20"/>
      <c r="M183" s="20"/>
      <c r="N183" s="20"/>
    </row>
    <row r="184" spans="1:14">
      <c r="A184" s="19"/>
      <c r="B184" s="20"/>
      <c r="C184" s="20"/>
      <c r="D184" s="20"/>
      <c r="E184" s="20"/>
      <c r="F184" s="11"/>
      <c r="G184" s="20"/>
      <c r="H184" s="20"/>
      <c r="I184" s="11"/>
      <c r="J184" s="20"/>
      <c r="K184" s="20"/>
      <c r="L184" s="20"/>
      <c r="M184" s="20"/>
      <c r="N184" s="20"/>
    </row>
    <row r="185" spans="1:14">
      <c r="A185" s="19"/>
      <c r="B185" s="20"/>
      <c r="C185" s="20"/>
      <c r="D185" s="20"/>
      <c r="E185" s="20"/>
      <c r="F185" s="11"/>
      <c r="G185" s="20"/>
      <c r="H185" s="20"/>
      <c r="I185" s="11"/>
      <c r="J185" s="20"/>
      <c r="K185" s="20"/>
      <c r="L185" s="20"/>
      <c r="M185" s="20"/>
      <c r="N185" s="20"/>
    </row>
    <row r="186" spans="1:14">
      <c r="A186" s="19"/>
      <c r="B186" s="20"/>
      <c r="C186" s="20"/>
      <c r="D186" s="20"/>
      <c r="E186" s="20"/>
      <c r="F186" s="11"/>
      <c r="G186" s="20"/>
      <c r="H186" s="20"/>
      <c r="I186" s="11"/>
      <c r="J186" s="20"/>
      <c r="K186" s="20"/>
      <c r="L186" s="20"/>
      <c r="M186" s="20"/>
      <c r="N186" s="20"/>
    </row>
    <row r="187" spans="1:14">
      <c r="A187" s="19"/>
      <c r="B187" s="20"/>
      <c r="C187" s="20"/>
      <c r="D187" s="20"/>
      <c r="E187" s="20"/>
      <c r="F187" s="11"/>
      <c r="G187" s="20"/>
      <c r="H187" s="20"/>
      <c r="I187" s="11"/>
      <c r="J187" s="20"/>
      <c r="K187" s="20"/>
      <c r="L187" s="20"/>
      <c r="M187" s="20"/>
      <c r="N187" s="20"/>
    </row>
    <row r="188" spans="1:14">
      <c r="A188" s="19"/>
      <c r="B188" s="20"/>
      <c r="C188" s="20"/>
      <c r="D188" s="20"/>
      <c r="E188" s="20"/>
      <c r="F188" s="11"/>
      <c r="G188" s="20"/>
      <c r="H188" s="20"/>
      <c r="I188" s="11"/>
      <c r="J188" s="20"/>
      <c r="K188" s="20"/>
      <c r="L188" s="20"/>
      <c r="M188" s="20"/>
      <c r="N188" s="20"/>
    </row>
    <row r="189" spans="1:14">
      <c r="A189" s="19"/>
      <c r="B189" s="20"/>
      <c r="C189" s="20"/>
      <c r="D189" s="20"/>
      <c r="E189" s="20"/>
      <c r="F189" s="11"/>
      <c r="G189" s="20"/>
      <c r="H189" s="20"/>
      <c r="I189" s="11"/>
      <c r="J189" s="20"/>
      <c r="K189" s="20"/>
      <c r="L189" s="20"/>
      <c r="M189" s="20"/>
      <c r="N189" s="20"/>
    </row>
    <row r="190" spans="1:14">
      <c r="A190" s="19"/>
      <c r="B190" s="20"/>
      <c r="C190" s="20"/>
      <c r="D190" s="20"/>
      <c r="E190" s="20"/>
      <c r="F190" s="11"/>
      <c r="G190" s="20"/>
      <c r="H190" s="20"/>
      <c r="I190" s="11"/>
      <c r="J190" s="20"/>
      <c r="K190" s="20"/>
      <c r="L190" s="20"/>
      <c r="M190" s="20"/>
      <c r="N190" s="20"/>
    </row>
    <row r="191" spans="1:14">
      <c r="A191" s="19"/>
      <c r="B191" s="20"/>
      <c r="C191" s="20"/>
      <c r="D191" s="20"/>
      <c r="E191" s="20"/>
      <c r="F191" s="11"/>
      <c r="G191" s="20"/>
      <c r="H191" s="20"/>
      <c r="I191" s="11"/>
      <c r="J191" s="20"/>
      <c r="K191" s="20"/>
      <c r="L191" s="20"/>
      <c r="M191" s="20"/>
      <c r="N191" s="20"/>
    </row>
    <row r="192" spans="1:14">
      <c r="A192" s="19"/>
      <c r="B192" s="20"/>
      <c r="C192" s="20"/>
      <c r="D192" s="20"/>
      <c r="E192" s="20"/>
      <c r="F192" s="11"/>
      <c r="G192" s="20"/>
      <c r="H192" s="20"/>
      <c r="I192" s="11"/>
      <c r="J192" s="20"/>
      <c r="K192" s="20"/>
      <c r="L192" s="20"/>
      <c r="M192" s="20"/>
      <c r="N192" s="20"/>
    </row>
    <row r="193" spans="1:14">
      <c r="A193" s="19"/>
      <c r="B193" s="20"/>
      <c r="C193" s="20"/>
      <c r="D193" s="20"/>
      <c r="E193" s="20"/>
      <c r="F193" s="11"/>
      <c r="G193" s="20"/>
      <c r="H193" s="20"/>
      <c r="I193" s="11"/>
      <c r="J193" s="20"/>
      <c r="K193" s="20"/>
      <c r="L193" s="20"/>
      <c r="M193" s="20"/>
      <c r="N193" s="20"/>
    </row>
    <row r="194" spans="1:14">
      <c r="A194" s="19"/>
      <c r="B194" s="20"/>
      <c r="C194" s="20"/>
      <c r="D194" s="20"/>
      <c r="E194" s="20"/>
      <c r="F194" s="11"/>
      <c r="G194" s="20"/>
      <c r="H194" s="20"/>
      <c r="I194" s="11"/>
      <c r="J194" s="20"/>
      <c r="K194" s="20"/>
      <c r="L194" s="20"/>
      <c r="M194" s="20"/>
      <c r="N194" s="20"/>
    </row>
    <row r="195" spans="1:14">
      <c r="A195" s="19"/>
      <c r="B195" s="20"/>
      <c r="C195" s="20"/>
      <c r="D195" s="20"/>
      <c r="E195" s="20"/>
      <c r="F195" s="11"/>
      <c r="G195" s="20"/>
      <c r="H195" s="20"/>
      <c r="I195" s="11"/>
      <c r="J195" s="20"/>
      <c r="K195" s="20"/>
      <c r="L195" s="20"/>
      <c r="M195" s="20"/>
      <c r="N195" s="20"/>
    </row>
    <row r="196" spans="1:14">
      <c r="A196" s="19"/>
      <c r="B196" s="20"/>
      <c r="C196" s="20"/>
      <c r="D196" s="20"/>
      <c r="E196" s="20"/>
      <c r="F196" s="11"/>
      <c r="G196" s="20"/>
      <c r="H196" s="20"/>
      <c r="I196" s="11"/>
      <c r="J196" s="20"/>
      <c r="K196" s="20"/>
      <c r="L196" s="20"/>
      <c r="M196" s="20"/>
      <c r="N196" s="20"/>
    </row>
    <row r="197" spans="1:14">
      <c r="A197" s="19"/>
      <c r="B197" s="20"/>
      <c r="C197" s="20"/>
      <c r="D197" s="20"/>
      <c r="E197" s="20"/>
      <c r="F197" s="11"/>
      <c r="G197" s="20"/>
      <c r="H197" s="20"/>
      <c r="I197" s="11"/>
      <c r="J197" s="20"/>
      <c r="K197" s="20"/>
      <c r="L197" s="20"/>
      <c r="M197" s="20"/>
      <c r="N197" s="20"/>
    </row>
    <row r="198" spans="1:14">
      <c r="A198" s="19"/>
      <c r="B198" s="20"/>
      <c r="C198" s="20"/>
      <c r="D198" s="20"/>
      <c r="E198" s="20"/>
      <c r="F198" s="11"/>
      <c r="G198" s="20"/>
      <c r="H198" s="20"/>
      <c r="I198" s="11"/>
      <c r="J198" s="20"/>
      <c r="K198" s="20"/>
      <c r="L198" s="20"/>
      <c r="M198" s="20"/>
      <c r="N198" s="20"/>
    </row>
    <row r="199" spans="1:14">
      <c r="A199" s="19"/>
      <c r="B199" s="20"/>
      <c r="C199" s="20"/>
      <c r="D199" s="20"/>
      <c r="E199" s="20"/>
      <c r="F199" s="11"/>
      <c r="G199" s="20"/>
      <c r="H199" s="20"/>
      <c r="I199" s="11"/>
      <c r="J199" s="20"/>
      <c r="K199" s="20"/>
      <c r="L199" s="20"/>
      <c r="M199" s="20"/>
      <c r="N199" s="20"/>
    </row>
  </sheetData>
  <mergeCells count="4">
    <mergeCell ref="B2:B3"/>
    <mergeCell ref="C2:E3"/>
    <mergeCell ref="H2:I2"/>
    <mergeCell ref="H3:I3"/>
  </mergeCells>
  <phoneticPr fontId="3"/>
  <conditionalFormatting sqref="I7:I47">
    <cfRule type="cellIs" dxfId="4" priority="3" stopIfTrue="1" operator="equal">
      <formula>"否"</formula>
    </cfRule>
  </conditionalFormatting>
  <conditionalFormatting sqref="I49:I199">
    <cfRule type="cellIs" dxfId="3" priority="2" stopIfTrue="1" operator="equal">
      <formula>"否"</formula>
    </cfRule>
  </conditionalFormatting>
  <conditionalFormatting sqref="J6:J199 L6:M199">
    <cfRule type="cellIs" dxfId="2" priority="1" stopIfTrue="1" operator="equal">
      <formula>"NG"</formula>
    </cfRule>
  </conditionalFormatting>
  <conditionalFormatting sqref="M98:N98">
    <cfRule type="cellIs" dxfId="1" priority="20" stopIfTrue="1" operator="equal">
      <formula>"NG"</formula>
    </cfRule>
  </conditionalFormatting>
  <conditionalFormatting sqref="M103:N103 M124:N134">
    <cfRule type="cellIs" dxfId="0" priority="23" stopIfTrue="1" operator="equal">
      <formula>"NG"</formula>
    </cfRule>
  </conditionalFormatting>
  <dataValidations count="5">
    <dataValidation type="list" allowBlank="1" showInputMessage="1" showErrorMessage="1" sqref="J6:J199 L6:M199" xr:uid="{FFC153D0-1D5B-414F-AD83-22875610DEB9}">
      <formula1>"OK,NG"</formula1>
    </dataValidation>
    <dataValidation type="list" allowBlank="1" showInputMessage="1" showErrorMessage="1" sqref="I6" xr:uid="{F95E2B75-1F21-4D9A-9395-C24943797FAD}">
      <formula1>"IO_TEST,TEST_FW,Manually"</formula1>
    </dataValidation>
    <dataValidation type="list" allowBlank="1" showInputMessage="1" showErrorMessage="1" sqref="I7:I199" xr:uid="{428927EC-79D1-4235-9FBA-A45A4DF5AB72}">
      <formula1>"要,否"</formula1>
    </dataValidation>
    <dataValidation type="list" allowBlank="1" showInputMessage="1" showErrorMessage="1" sqref="H6:H199" xr:uid="{EF925F08-92D1-4C23-BC8A-7803F1D65B98}">
      <formula1>"ツール,手動"</formula1>
    </dataValidation>
    <dataValidation type="list" allowBlank="1" showInputMessage="1" showErrorMessage="1" sqref="G6:G199" xr:uid="{8CF506BF-CEA7-4022-9B75-8E42DE07E4E0}">
      <formula1>"生成AI,手動"</formula1>
    </dataValidation>
  </dataValidations>
  <hyperlinks>
    <hyperlink ref="F8" location="引数チェック!A1" display="引数チェック" xr:uid="{E1755AF8-8136-45AB-B35C-D8240A988E1B}"/>
    <hyperlink ref="F9" location="引数チェック!A1" display="引数チェック" xr:uid="{2DA44E81-7595-47BD-96C4-ED9E97A43503}"/>
    <hyperlink ref="F10" location="引数チェック!A1" display="引数チェック" xr:uid="{251DA67B-CEA9-4BEE-A680-7DBDAA3ED3D9}"/>
    <hyperlink ref="F11:F42" location="引数チェック!A1" display="引数チェック" xr:uid="{A693E462-3CF7-419B-92F4-070F17544AF0}"/>
    <hyperlink ref="F46" location="主処理!A1" display="主処理" xr:uid="{67895CF5-EFD2-48F0-8AB2-FCB22AB1EC4A}"/>
    <hyperlink ref="F47" location="主処理!A1" display="主処理" xr:uid="{378BC74E-E846-497A-9B7D-CABDAD39BD32}"/>
    <hyperlink ref="F49:F57" location="主処理!A1" display="主処理" xr:uid="{A4B98C2C-438C-4C76-927D-2A68EFBF9DA4}"/>
    <hyperlink ref="F59:F69" location="主処理!A1" display="主処理" xr:uid="{6E348794-06CB-4828-8E2A-D7EE2E467F89}"/>
  </hyperlinks>
  <pageMargins left="0.78700000000000003" right="0.78700000000000003" top="0.98399999999999999" bottom="0.98399999999999999" header="0.51200000000000001" footer="0.51200000000000001"/>
  <pageSetup paperSize="9" scale="74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DF95-BCAF-4240-B232-1D285A6E1B93}">
  <dimension ref="A1:AS72"/>
  <sheetViews>
    <sheetView showGridLines="0" workbookViewId="0">
      <pane ySplit="9" topLeftCell="A10" activePane="bottomLeft" state="frozen"/>
      <selection pane="bottomLeft"/>
    </sheetView>
  </sheetViews>
  <sheetFormatPr defaultRowHeight="15"/>
  <cols>
    <col min="1" max="1" width="6.6328125" style="34" customWidth="1"/>
    <col min="2" max="2" width="4.6328125" style="34" customWidth="1"/>
    <col min="3" max="3" width="3.08984375" style="34" customWidth="1"/>
    <col min="4" max="4" width="12.90625" style="35" customWidth="1"/>
    <col min="5" max="5" width="11.08984375" style="35" customWidth="1"/>
    <col min="6" max="6" width="12.26953125" style="35" customWidth="1"/>
    <col min="7" max="7" width="11.90625" style="35" customWidth="1"/>
    <col min="8" max="8" width="9.36328125" style="35" customWidth="1"/>
    <col min="9" max="9" width="11.08984375" style="35" customWidth="1"/>
    <col min="10" max="10" width="10.453125" style="35" customWidth="1"/>
    <col min="11" max="11" width="9.7265625" style="34" customWidth="1"/>
    <col min="12" max="256" width="9" style="34"/>
    <col min="257" max="257" width="3.08984375" style="34" customWidth="1"/>
    <col min="258" max="258" width="4.6328125" style="34" customWidth="1"/>
    <col min="259" max="259" width="3.08984375" style="34" customWidth="1"/>
    <col min="260" max="260" width="12.90625" style="34" customWidth="1"/>
    <col min="261" max="261" width="11.08984375" style="34" customWidth="1"/>
    <col min="262" max="262" width="12.26953125" style="34" customWidth="1"/>
    <col min="263" max="263" width="11.90625" style="34" customWidth="1"/>
    <col min="264" max="264" width="9.36328125" style="34" customWidth="1"/>
    <col min="265" max="265" width="11.08984375" style="34" customWidth="1"/>
    <col min="266" max="266" width="10.453125" style="34" customWidth="1"/>
    <col min="267" max="267" width="9.7265625" style="34" customWidth="1"/>
    <col min="268" max="512" width="9" style="34"/>
    <col min="513" max="513" width="3.08984375" style="34" customWidth="1"/>
    <col min="514" max="514" width="4.6328125" style="34" customWidth="1"/>
    <col min="515" max="515" width="3.08984375" style="34" customWidth="1"/>
    <col min="516" max="516" width="12.90625" style="34" customWidth="1"/>
    <col min="517" max="517" width="11.08984375" style="34" customWidth="1"/>
    <col min="518" max="518" width="12.26953125" style="34" customWidth="1"/>
    <col min="519" max="519" width="11.90625" style="34" customWidth="1"/>
    <col min="520" max="520" width="9.36328125" style="34" customWidth="1"/>
    <col min="521" max="521" width="11.08984375" style="34" customWidth="1"/>
    <col min="522" max="522" width="10.453125" style="34" customWidth="1"/>
    <col min="523" max="523" width="9.7265625" style="34" customWidth="1"/>
    <col min="524" max="768" width="9" style="34"/>
    <col min="769" max="769" width="3.08984375" style="34" customWidth="1"/>
    <col min="770" max="770" width="4.6328125" style="34" customWidth="1"/>
    <col min="771" max="771" width="3.08984375" style="34" customWidth="1"/>
    <col min="772" max="772" width="12.90625" style="34" customWidth="1"/>
    <col min="773" max="773" width="11.08984375" style="34" customWidth="1"/>
    <col min="774" max="774" width="12.26953125" style="34" customWidth="1"/>
    <col min="775" max="775" width="11.90625" style="34" customWidth="1"/>
    <col min="776" max="776" width="9.36328125" style="34" customWidth="1"/>
    <col min="777" max="777" width="11.08984375" style="34" customWidth="1"/>
    <col min="778" max="778" width="10.453125" style="34" customWidth="1"/>
    <col min="779" max="779" width="9.7265625" style="34" customWidth="1"/>
    <col min="780" max="1024" width="9" style="34"/>
    <col min="1025" max="1025" width="3.08984375" style="34" customWidth="1"/>
    <col min="1026" max="1026" width="4.6328125" style="34" customWidth="1"/>
    <col min="1027" max="1027" width="3.08984375" style="34" customWidth="1"/>
    <col min="1028" max="1028" width="12.90625" style="34" customWidth="1"/>
    <col min="1029" max="1029" width="11.08984375" style="34" customWidth="1"/>
    <col min="1030" max="1030" width="12.26953125" style="34" customWidth="1"/>
    <col min="1031" max="1031" width="11.90625" style="34" customWidth="1"/>
    <col min="1032" max="1032" width="9.36328125" style="34" customWidth="1"/>
    <col min="1033" max="1033" width="11.08984375" style="34" customWidth="1"/>
    <col min="1034" max="1034" width="10.453125" style="34" customWidth="1"/>
    <col min="1035" max="1035" width="9.7265625" style="34" customWidth="1"/>
    <col min="1036" max="1280" width="9" style="34"/>
    <col min="1281" max="1281" width="3.08984375" style="34" customWidth="1"/>
    <col min="1282" max="1282" width="4.6328125" style="34" customWidth="1"/>
    <col min="1283" max="1283" width="3.08984375" style="34" customWidth="1"/>
    <col min="1284" max="1284" width="12.90625" style="34" customWidth="1"/>
    <col min="1285" max="1285" width="11.08984375" style="34" customWidth="1"/>
    <col min="1286" max="1286" width="12.26953125" style="34" customWidth="1"/>
    <col min="1287" max="1287" width="11.90625" style="34" customWidth="1"/>
    <col min="1288" max="1288" width="9.36328125" style="34" customWidth="1"/>
    <col min="1289" max="1289" width="11.08984375" style="34" customWidth="1"/>
    <col min="1290" max="1290" width="10.453125" style="34" customWidth="1"/>
    <col min="1291" max="1291" width="9.7265625" style="34" customWidth="1"/>
    <col min="1292" max="1536" width="9" style="34"/>
    <col min="1537" max="1537" width="3.08984375" style="34" customWidth="1"/>
    <col min="1538" max="1538" width="4.6328125" style="34" customWidth="1"/>
    <col min="1539" max="1539" width="3.08984375" style="34" customWidth="1"/>
    <col min="1540" max="1540" width="12.90625" style="34" customWidth="1"/>
    <col min="1541" max="1541" width="11.08984375" style="34" customWidth="1"/>
    <col min="1542" max="1542" width="12.26953125" style="34" customWidth="1"/>
    <col min="1543" max="1543" width="11.90625" style="34" customWidth="1"/>
    <col min="1544" max="1544" width="9.36328125" style="34" customWidth="1"/>
    <col min="1545" max="1545" width="11.08984375" style="34" customWidth="1"/>
    <col min="1546" max="1546" width="10.453125" style="34" customWidth="1"/>
    <col min="1547" max="1547" width="9.7265625" style="34" customWidth="1"/>
    <col min="1548" max="1792" width="9" style="34"/>
    <col min="1793" max="1793" width="3.08984375" style="34" customWidth="1"/>
    <col min="1794" max="1794" width="4.6328125" style="34" customWidth="1"/>
    <col min="1795" max="1795" width="3.08984375" style="34" customWidth="1"/>
    <col min="1796" max="1796" width="12.90625" style="34" customWidth="1"/>
    <col min="1797" max="1797" width="11.08984375" style="34" customWidth="1"/>
    <col min="1798" max="1798" width="12.26953125" style="34" customWidth="1"/>
    <col min="1799" max="1799" width="11.90625" style="34" customWidth="1"/>
    <col min="1800" max="1800" width="9.36328125" style="34" customWidth="1"/>
    <col min="1801" max="1801" width="11.08984375" style="34" customWidth="1"/>
    <col min="1802" max="1802" width="10.453125" style="34" customWidth="1"/>
    <col min="1803" max="1803" width="9.7265625" style="34" customWidth="1"/>
    <col min="1804" max="2048" width="9" style="34"/>
    <col min="2049" max="2049" width="3.08984375" style="34" customWidth="1"/>
    <col min="2050" max="2050" width="4.6328125" style="34" customWidth="1"/>
    <col min="2051" max="2051" width="3.08984375" style="34" customWidth="1"/>
    <col min="2052" max="2052" width="12.90625" style="34" customWidth="1"/>
    <col min="2053" max="2053" width="11.08984375" style="34" customWidth="1"/>
    <col min="2054" max="2054" width="12.26953125" style="34" customWidth="1"/>
    <col min="2055" max="2055" width="11.90625" style="34" customWidth="1"/>
    <col min="2056" max="2056" width="9.36328125" style="34" customWidth="1"/>
    <col min="2057" max="2057" width="11.08984375" style="34" customWidth="1"/>
    <col min="2058" max="2058" width="10.453125" style="34" customWidth="1"/>
    <col min="2059" max="2059" width="9.7265625" style="34" customWidth="1"/>
    <col min="2060" max="2304" width="9" style="34"/>
    <col min="2305" max="2305" width="3.08984375" style="34" customWidth="1"/>
    <col min="2306" max="2306" width="4.6328125" style="34" customWidth="1"/>
    <col min="2307" max="2307" width="3.08984375" style="34" customWidth="1"/>
    <col min="2308" max="2308" width="12.90625" style="34" customWidth="1"/>
    <col min="2309" max="2309" width="11.08984375" style="34" customWidth="1"/>
    <col min="2310" max="2310" width="12.26953125" style="34" customWidth="1"/>
    <col min="2311" max="2311" width="11.90625" style="34" customWidth="1"/>
    <col min="2312" max="2312" width="9.36328125" style="34" customWidth="1"/>
    <col min="2313" max="2313" width="11.08984375" style="34" customWidth="1"/>
    <col min="2314" max="2314" width="10.453125" style="34" customWidth="1"/>
    <col min="2315" max="2315" width="9.7265625" style="34" customWidth="1"/>
    <col min="2316" max="2560" width="9" style="34"/>
    <col min="2561" max="2561" width="3.08984375" style="34" customWidth="1"/>
    <col min="2562" max="2562" width="4.6328125" style="34" customWidth="1"/>
    <col min="2563" max="2563" width="3.08984375" style="34" customWidth="1"/>
    <col min="2564" max="2564" width="12.90625" style="34" customWidth="1"/>
    <col min="2565" max="2565" width="11.08984375" style="34" customWidth="1"/>
    <col min="2566" max="2566" width="12.26953125" style="34" customWidth="1"/>
    <col min="2567" max="2567" width="11.90625" style="34" customWidth="1"/>
    <col min="2568" max="2568" width="9.36328125" style="34" customWidth="1"/>
    <col min="2569" max="2569" width="11.08984375" style="34" customWidth="1"/>
    <col min="2570" max="2570" width="10.453125" style="34" customWidth="1"/>
    <col min="2571" max="2571" width="9.7265625" style="34" customWidth="1"/>
    <col min="2572" max="2816" width="9" style="34"/>
    <col min="2817" max="2817" width="3.08984375" style="34" customWidth="1"/>
    <col min="2818" max="2818" width="4.6328125" style="34" customWidth="1"/>
    <col min="2819" max="2819" width="3.08984375" style="34" customWidth="1"/>
    <col min="2820" max="2820" width="12.90625" style="34" customWidth="1"/>
    <col min="2821" max="2821" width="11.08984375" style="34" customWidth="1"/>
    <col min="2822" max="2822" width="12.26953125" style="34" customWidth="1"/>
    <col min="2823" max="2823" width="11.90625" style="34" customWidth="1"/>
    <col min="2824" max="2824" width="9.36328125" style="34" customWidth="1"/>
    <col min="2825" max="2825" width="11.08984375" style="34" customWidth="1"/>
    <col min="2826" max="2826" width="10.453125" style="34" customWidth="1"/>
    <col min="2827" max="2827" width="9.7265625" style="34" customWidth="1"/>
    <col min="2828" max="3072" width="9" style="34"/>
    <col min="3073" max="3073" width="3.08984375" style="34" customWidth="1"/>
    <col min="3074" max="3074" width="4.6328125" style="34" customWidth="1"/>
    <col min="3075" max="3075" width="3.08984375" style="34" customWidth="1"/>
    <col min="3076" max="3076" width="12.90625" style="34" customWidth="1"/>
    <col min="3077" max="3077" width="11.08984375" style="34" customWidth="1"/>
    <col min="3078" max="3078" width="12.26953125" style="34" customWidth="1"/>
    <col min="3079" max="3079" width="11.90625" style="34" customWidth="1"/>
    <col min="3080" max="3080" width="9.36328125" style="34" customWidth="1"/>
    <col min="3081" max="3081" width="11.08984375" style="34" customWidth="1"/>
    <col min="3082" max="3082" width="10.453125" style="34" customWidth="1"/>
    <col min="3083" max="3083" width="9.7265625" style="34" customWidth="1"/>
    <col min="3084" max="3328" width="9" style="34"/>
    <col min="3329" max="3329" width="3.08984375" style="34" customWidth="1"/>
    <col min="3330" max="3330" width="4.6328125" style="34" customWidth="1"/>
    <col min="3331" max="3331" width="3.08984375" style="34" customWidth="1"/>
    <col min="3332" max="3332" width="12.90625" style="34" customWidth="1"/>
    <col min="3333" max="3333" width="11.08984375" style="34" customWidth="1"/>
    <col min="3334" max="3334" width="12.26953125" style="34" customWidth="1"/>
    <col min="3335" max="3335" width="11.90625" style="34" customWidth="1"/>
    <col min="3336" max="3336" width="9.36328125" style="34" customWidth="1"/>
    <col min="3337" max="3337" width="11.08984375" style="34" customWidth="1"/>
    <col min="3338" max="3338" width="10.453125" style="34" customWidth="1"/>
    <col min="3339" max="3339" width="9.7265625" style="34" customWidth="1"/>
    <col min="3340" max="3584" width="9" style="34"/>
    <col min="3585" max="3585" width="3.08984375" style="34" customWidth="1"/>
    <col min="3586" max="3586" width="4.6328125" style="34" customWidth="1"/>
    <col min="3587" max="3587" width="3.08984375" style="34" customWidth="1"/>
    <col min="3588" max="3588" width="12.90625" style="34" customWidth="1"/>
    <col min="3589" max="3589" width="11.08984375" style="34" customWidth="1"/>
    <col min="3590" max="3590" width="12.26953125" style="34" customWidth="1"/>
    <col min="3591" max="3591" width="11.90625" style="34" customWidth="1"/>
    <col min="3592" max="3592" width="9.36328125" style="34" customWidth="1"/>
    <col min="3593" max="3593" width="11.08984375" style="34" customWidth="1"/>
    <col min="3594" max="3594" width="10.453125" style="34" customWidth="1"/>
    <col min="3595" max="3595" width="9.7265625" style="34" customWidth="1"/>
    <col min="3596" max="3840" width="9" style="34"/>
    <col min="3841" max="3841" width="3.08984375" style="34" customWidth="1"/>
    <col min="3842" max="3842" width="4.6328125" style="34" customWidth="1"/>
    <col min="3843" max="3843" width="3.08984375" style="34" customWidth="1"/>
    <col min="3844" max="3844" width="12.90625" style="34" customWidth="1"/>
    <col min="3845" max="3845" width="11.08984375" style="34" customWidth="1"/>
    <col min="3846" max="3846" width="12.26953125" style="34" customWidth="1"/>
    <col min="3847" max="3847" width="11.90625" style="34" customWidth="1"/>
    <col min="3848" max="3848" width="9.36328125" style="34" customWidth="1"/>
    <col min="3849" max="3849" width="11.08984375" style="34" customWidth="1"/>
    <col min="3850" max="3850" width="10.453125" style="34" customWidth="1"/>
    <col min="3851" max="3851" width="9.7265625" style="34" customWidth="1"/>
    <col min="3852" max="4096" width="9" style="34"/>
    <col min="4097" max="4097" width="3.08984375" style="34" customWidth="1"/>
    <col min="4098" max="4098" width="4.6328125" style="34" customWidth="1"/>
    <col min="4099" max="4099" width="3.08984375" style="34" customWidth="1"/>
    <col min="4100" max="4100" width="12.90625" style="34" customWidth="1"/>
    <col min="4101" max="4101" width="11.08984375" style="34" customWidth="1"/>
    <col min="4102" max="4102" width="12.26953125" style="34" customWidth="1"/>
    <col min="4103" max="4103" width="11.90625" style="34" customWidth="1"/>
    <col min="4104" max="4104" width="9.36328125" style="34" customWidth="1"/>
    <col min="4105" max="4105" width="11.08984375" style="34" customWidth="1"/>
    <col min="4106" max="4106" width="10.453125" style="34" customWidth="1"/>
    <col min="4107" max="4107" width="9.7265625" style="34" customWidth="1"/>
    <col min="4108" max="4352" width="9" style="34"/>
    <col min="4353" max="4353" width="3.08984375" style="34" customWidth="1"/>
    <col min="4354" max="4354" width="4.6328125" style="34" customWidth="1"/>
    <col min="4355" max="4355" width="3.08984375" style="34" customWidth="1"/>
    <col min="4356" max="4356" width="12.90625" style="34" customWidth="1"/>
    <col min="4357" max="4357" width="11.08984375" style="34" customWidth="1"/>
    <col min="4358" max="4358" width="12.26953125" style="34" customWidth="1"/>
    <col min="4359" max="4359" width="11.90625" style="34" customWidth="1"/>
    <col min="4360" max="4360" width="9.36328125" style="34" customWidth="1"/>
    <col min="4361" max="4361" width="11.08984375" style="34" customWidth="1"/>
    <col min="4362" max="4362" width="10.453125" style="34" customWidth="1"/>
    <col min="4363" max="4363" width="9.7265625" style="34" customWidth="1"/>
    <col min="4364" max="4608" width="9" style="34"/>
    <col min="4609" max="4609" width="3.08984375" style="34" customWidth="1"/>
    <col min="4610" max="4610" width="4.6328125" style="34" customWidth="1"/>
    <col min="4611" max="4611" width="3.08984375" style="34" customWidth="1"/>
    <col min="4612" max="4612" width="12.90625" style="34" customWidth="1"/>
    <col min="4613" max="4613" width="11.08984375" style="34" customWidth="1"/>
    <col min="4614" max="4614" width="12.26953125" style="34" customWidth="1"/>
    <col min="4615" max="4615" width="11.90625" style="34" customWidth="1"/>
    <col min="4616" max="4616" width="9.36328125" style="34" customWidth="1"/>
    <col min="4617" max="4617" width="11.08984375" style="34" customWidth="1"/>
    <col min="4618" max="4618" width="10.453125" style="34" customWidth="1"/>
    <col min="4619" max="4619" width="9.7265625" style="34" customWidth="1"/>
    <col min="4620" max="4864" width="9" style="34"/>
    <col min="4865" max="4865" width="3.08984375" style="34" customWidth="1"/>
    <col min="4866" max="4866" width="4.6328125" style="34" customWidth="1"/>
    <col min="4867" max="4867" width="3.08984375" style="34" customWidth="1"/>
    <col min="4868" max="4868" width="12.90625" style="34" customWidth="1"/>
    <col min="4869" max="4869" width="11.08984375" style="34" customWidth="1"/>
    <col min="4870" max="4870" width="12.26953125" style="34" customWidth="1"/>
    <col min="4871" max="4871" width="11.90625" style="34" customWidth="1"/>
    <col min="4872" max="4872" width="9.36328125" style="34" customWidth="1"/>
    <col min="4873" max="4873" width="11.08984375" style="34" customWidth="1"/>
    <col min="4874" max="4874" width="10.453125" style="34" customWidth="1"/>
    <col min="4875" max="4875" width="9.7265625" style="34" customWidth="1"/>
    <col min="4876" max="5120" width="9" style="34"/>
    <col min="5121" max="5121" width="3.08984375" style="34" customWidth="1"/>
    <col min="5122" max="5122" width="4.6328125" style="34" customWidth="1"/>
    <col min="5123" max="5123" width="3.08984375" style="34" customWidth="1"/>
    <col min="5124" max="5124" width="12.90625" style="34" customWidth="1"/>
    <col min="5125" max="5125" width="11.08984375" style="34" customWidth="1"/>
    <col min="5126" max="5126" width="12.26953125" style="34" customWidth="1"/>
    <col min="5127" max="5127" width="11.90625" style="34" customWidth="1"/>
    <col min="5128" max="5128" width="9.36328125" style="34" customWidth="1"/>
    <col min="5129" max="5129" width="11.08984375" style="34" customWidth="1"/>
    <col min="5130" max="5130" width="10.453125" style="34" customWidth="1"/>
    <col min="5131" max="5131" width="9.7265625" style="34" customWidth="1"/>
    <col min="5132" max="5376" width="9" style="34"/>
    <col min="5377" max="5377" width="3.08984375" style="34" customWidth="1"/>
    <col min="5378" max="5378" width="4.6328125" style="34" customWidth="1"/>
    <col min="5379" max="5379" width="3.08984375" style="34" customWidth="1"/>
    <col min="5380" max="5380" width="12.90625" style="34" customWidth="1"/>
    <col min="5381" max="5381" width="11.08984375" style="34" customWidth="1"/>
    <col min="5382" max="5382" width="12.26953125" style="34" customWidth="1"/>
    <col min="5383" max="5383" width="11.90625" style="34" customWidth="1"/>
    <col min="5384" max="5384" width="9.36328125" style="34" customWidth="1"/>
    <col min="5385" max="5385" width="11.08984375" style="34" customWidth="1"/>
    <col min="5386" max="5386" width="10.453125" style="34" customWidth="1"/>
    <col min="5387" max="5387" width="9.7265625" style="34" customWidth="1"/>
    <col min="5388" max="5632" width="9" style="34"/>
    <col min="5633" max="5633" width="3.08984375" style="34" customWidth="1"/>
    <col min="5634" max="5634" width="4.6328125" style="34" customWidth="1"/>
    <col min="5635" max="5635" width="3.08984375" style="34" customWidth="1"/>
    <col min="5636" max="5636" width="12.90625" style="34" customWidth="1"/>
    <col min="5637" max="5637" width="11.08984375" style="34" customWidth="1"/>
    <col min="5638" max="5638" width="12.26953125" style="34" customWidth="1"/>
    <col min="5639" max="5639" width="11.90625" style="34" customWidth="1"/>
    <col min="5640" max="5640" width="9.36328125" style="34" customWidth="1"/>
    <col min="5641" max="5641" width="11.08984375" style="34" customWidth="1"/>
    <col min="5642" max="5642" width="10.453125" style="34" customWidth="1"/>
    <col min="5643" max="5643" width="9.7265625" style="34" customWidth="1"/>
    <col min="5644" max="5888" width="9" style="34"/>
    <col min="5889" max="5889" width="3.08984375" style="34" customWidth="1"/>
    <col min="5890" max="5890" width="4.6328125" style="34" customWidth="1"/>
    <col min="5891" max="5891" width="3.08984375" style="34" customWidth="1"/>
    <col min="5892" max="5892" width="12.90625" style="34" customWidth="1"/>
    <col min="5893" max="5893" width="11.08984375" style="34" customWidth="1"/>
    <col min="5894" max="5894" width="12.26953125" style="34" customWidth="1"/>
    <col min="5895" max="5895" width="11.90625" style="34" customWidth="1"/>
    <col min="5896" max="5896" width="9.36328125" style="34" customWidth="1"/>
    <col min="5897" max="5897" width="11.08984375" style="34" customWidth="1"/>
    <col min="5898" max="5898" width="10.453125" style="34" customWidth="1"/>
    <col min="5899" max="5899" width="9.7265625" style="34" customWidth="1"/>
    <col min="5900" max="6144" width="9" style="34"/>
    <col min="6145" max="6145" width="3.08984375" style="34" customWidth="1"/>
    <col min="6146" max="6146" width="4.6328125" style="34" customWidth="1"/>
    <col min="6147" max="6147" width="3.08984375" style="34" customWidth="1"/>
    <col min="6148" max="6148" width="12.90625" style="34" customWidth="1"/>
    <col min="6149" max="6149" width="11.08984375" style="34" customWidth="1"/>
    <col min="6150" max="6150" width="12.26953125" style="34" customWidth="1"/>
    <col min="6151" max="6151" width="11.90625" style="34" customWidth="1"/>
    <col min="6152" max="6152" width="9.36328125" style="34" customWidth="1"/>
    <col min="6153" max="6153" width="11.08984375" style="34" customWidth="1"/>
    <col min="6154" max="6154" width="10.453125" style="34" customWidth="1"/>
    <col min="6155" max="6155" width="9.7265625" style="34" customWidth="1"/>
    <col min="6156" max="6400" width="9" style="34"/>
    <col min="6401" max="6401" width="3.08984375" style="34" customWidth="1"/>
    <col min="6402" max="6402" width="4.6328125" style="34" customWidth="1"/>
    <col min="6403" max="6403" width="3.08984375" style="34" customWidth="1"/>
    <col min="6404" max="6404" width="12.90625" style="34" customWidth="1"/>
    <col min="6405" max="6405" width="11.08984375" style="34" customWidth="1"/>
    <col min="6406" max="6406" width="12.26953125" style="34" customWidth="1"/>
    <col min="6407" max="6407" width="11.90625" style="34" customWidth="1"/>
    <col min="6408" max="6408" width="9.36328125" style="34" customWidth="1"/>
    <col min="6409" max="6409" width="11.08984375" style="34" customWidth="1"/>
    <col min="6410" max="6410" width="10.453125" style="34" customWidth="1"/>
    <col min="6411" max="6411" width="9.7265625" style="34" customWidth="1"/>
    <col min="6412" max="6656" width="9" style="34"/>
    <col min="6657" max="6657" width="3.08984375" style="34" customWidth="1"/>
    <col min="6658" max="6658" width="4.6328125" style="34" customWidth="1"/>
    <col min="6659" max="6659" width="3.08984375" style="34" customWidth="1"/>
    <col min="6660" max="6660" width="12.90625" style="34" customWidth="1"/>
    <col min="6661" max="6661" width="11.08984375" style="34" customWidth="1"/>
    <col min="6662" max="6662" width="12.26953125" style="34" customWidth="1"/>
    <col min="6663" max="6663" width="11.90625" style="34" customWidth="1"/>
    <col min="6664" max="6664" width="9.36328125" style="34" customWidth="1"/>
    <col min="6665" max="6665" width="11.08984375" style="34" customWidth="1"/>
    <col min="6666" max="6666" width="10.453125" style="34" customWidth="1"/>
    <col min="6667" max="6667" width="9.7265625" style="34" customWidth="1"/>
    <col min="6668" max="6912" width="9" style="34"/>
    <col min="6913" max="6913" width="3.08984375" style="34" customWidth="1"/>
    <col min="6914" max="6914" width="4.6328125" style="34" customWidth="1"/>
    <col min="6915" max="6915" width="3.08984375" style="34" customWidth="1"/>
    <col min="6916" max="6916" width="12.90625" style="34" customWidth="1"/>
    <col min="6917" max="6917" width="11.08984375" style="34" customWidth="1"/>
    <col min="6918" max="6918" width="12.26953125" style="34" customWidth="1"/>
    <col min="6919" max="6919" width="11.90625" style="34" customWidth="1"/>
    <col min="6920" max="6920" width="9.36328125" style="34" customWidth="1"/>
    <col min="6921" max="6921" width="11.08984375" style="34" customWidth="1"/>
    <col min="6922" max="6922" width="10.453125" style="34" customWidth="1"/>
    <col min="6923" max="6923" width="9.7265625" style="34" customWidth="1"/>
    <col min="6924" max="7168" width="9" style="34"/>
    <col min="7169" max="7169" width="3.08984375" style="34" customWidth="1"/>
    <col min="7170" max="7170" width="4.6328125" style="34" customWidth="1"/>
    <col min="7171" max="7171" width="3.08984375" style="34" customWidth="1"/>
    <col min="7172" max="7172" width="12.90625" style="34" customWidth="1"/>
    <col min="7173" max="7173" width="11.08984375" style="34" customWidth="1"/>
    <col min="7174" max="7174" width="12.26953125" style="34" customWidth="1"/>
    <col min="7175" max="7175" width="11.90625" style="34" customWidth="1"/>
    <col min="7176" max="7176" width="9.36328125" style="34" customWidth="1"/>
    <col min="7177" max="7177" width="11.08984375" style="34" customWidth="1"/>
    <col min="7178" max="7178" width="10.453125" style="34" customWidth="1"/>
    <col min="7179" max="7179" width="9.7265625" style="34" customWidth="1"/>
    <col min="7180" max="7424" width="9" style="34"/>
    <col min="7425" max="7425" width="3.08984375" style="34" customWidth="1"/>
    <col min="7426" max="7426" width="4.6328125" style="34" customWidth="1"/>
    <col min="7427" max="7427" width="3.08984375" style="34" customWidth="1"/>
    <col min="7428" max="7428" width="12.90625" style="34" customWidth="1"/>
    <col min="7429" max="7429" width="11.08984375" style="34" customWidth="1"/>
    <col min="7430" max="7430" width="12.26953125" style="34" customWidth="1"/>
    <col min="7431" max="7431" width="11.90625" style="34" customWidth="1"/>
    <col min="7432" max="7432" width="9.36328125" style="34" customWidth="1"/>
    <col min="7433" max="7433" width="11.08984375" style="34" customWidth="1"/>
    <col min="7434" max="7434" width="10.453125" style="34" customWidth="1"/>
    <col min="7435" max="7435" width="9.7265625" style="34" customWidth="1"/>
    <col min="7436" max="7680" width="9" style="34"/>
    <col min="7681" max="7681" width="3.08984375" style="34" customWidth="1"/>
    <col min="7682" max="7682" width="4.6328125" style="34" customWidth="1"/>
    <col min="7683" max="7683" width="3.08984375" style="34" customWidth="1"/>
    <col min="7684" max="7684" width="12.90625" style="34" customWidth="1"/>
    <col min="7685" max="7685" width="11.08984375" style="34" customWidth="1"/>
    <col min="7686" max="7686" width="12.26953125" style="34" customWidth="1"/>
    <col min="7687" max="7687" width="11.90625" style="34" customWidth="1"/>
    <col min="7688" max="7688" width="9.36328125" style="34" customWidth="1"/>
    <col min="7689" max="7689" width="11.08984375" style="34" customWidth="1"/>
    <col min="7690" max="7690" width="10.453125" style="34" customWidth="1"/>
    <col min="7691" max="7691" width="9.7265625" style="34" customWidth="1"/>
    <col min="7692" max="7936" width="9" style="34"/>
    <col min="7937" max="7937" width="3.08984375" style="34" customWidth="1"/>
    <col min="7938" max="7938" width="4.6328125" style="34" customWidth="1"/>
    <col min="7939" max="7939" width="3.08984375" style="34" customWidth="1"/>
    <col min="7940" max="7940" width="12.90625" style="34" customWidth="1"/>
    <col min="7941" max="7941" width="11.08984375" style="34" customWidth="1"/>
    <col min="7942" max="7942" width="12.26953125" style="34" customWidth="1"/>
    <col min="7943" max="7943" width="11.90625" style="34" customWidth="1"/>
    <col min="7944" max="7944" width="9.36328125" style="34" customWidth="1"/>
    <col min="7945" max="7945" width="11.08984375" style="34" customWidth="1"/>
    <col min="7946" max="7946" width="10.453125" style="34" customWidth="1"/>
    <col min="7947" max="7947" width="9.7265625" style="34" customWidth="1"/>
    <col min="7948" max="8192" width="9" style="34"/>
    <col min="8193" max="8193" width="3.08984375" style="34" customWidth="1"/>
    <col min="8194" max="8194" width="4.6328125" style="34" customWidth="1"/>
    <col min="8195" max="8195" width="3.08984375" style="34" customWidth="1"/>
    <col min="8196" max="8196" width="12.90625" style="34" customWidth="1"/>
    <col min="8197" max="8197" width="11.08984375" style="34" customWidth="1"/>
    <col min="8198" max="8198" width="12.26953125" style="34" customWidth="1"/>
    <col min="8199" max="8199" width="11.90625" style="34" customWidth="1"/>
    <col min="8200" max="8200" width="9.36328125" style="34" customWidth="1"/>
    <col min="8201" max="8201" width="11.08984375" style="34" customWidth="1"/>
    <col min="8202" max="8202" width="10.453125" style="34" customWidth="1"/>
    <col min="8203" max="8203" width="9.7265625" style="34" customWidth="1"/>
    <col min="8204" max="8448" width="9" style="34"/>
    <col min="8449" max="8449" width="3.08984375" style="34" customWidth="1"/>
    <col min="8450" max="8450" width="4.6328125" style="34" customWidth="1"/>
    <col min="8451" max="8451" width="3.08984375" style="34" customWidth="1"/>
    <col min="8452" max="8452" width="12.90625" style="34" customWidth="1"/>
    <col min="8453" max="8453" width="11.08984375" style="34" customWidth="1"/>
    <col min="8454" max="8454" width="12.26953125" style="34" customWidth="1"/>
    <col min="8455" max="8455" width="11.90625" style="34" customWidth="1"/>
    <col min="8456" max="8456" width="9.36328125" style="34" customWidth="1"/>
    <col min="8457" max="8457" width="11.08984375" style="34" customWidth="1"/>
    <col min="8458" max="8458" width="10.453125" style="34" customWidth="1"/>
    <col min="8459" max="8459" width="9.7265625" style="34" customWidth="1"/>
    <col min="8460" max="8704" width="9" style="34"/>
    <col min="8705" max="8705" width="3.08984375" style="34" customWidth="1"/>
    <col min="8706" max="8706" width="4.6328125" style="34" customWidth="1"/>
    <col min="8707" max="8707" width="3.08984375" style="34" customWidth="1"/>
    <col min="8708" max="8708" width="12.90625" style="34" customWidth="1"/>
    <col min="8709" max="8709" width="11.08984375" style="34" customWidth="1"/>
    <col min="8710" max="8710" width="12.26953125" style="34" customWidth="1"/>
    <col min="8711" max="8711" width="11.90625" style="34" customWidth="1"/>
    <col min="8712" max="8712" width="9.36328125" style="34" customWidth="1"/>
    <col min="8713" max="8713" width="11.08984375" style="34" customWidth="1"/>
    <col min="8714" max="8714" width="10.453125" style="34" customWidth="1"/>
    <col min="8715" max="8715" width="9.7265625" style="34" customWidth="1"/>
    <col min="8716" max="8960" width="9" style="34"/>
    <col min="8961" max="8961" width="3.08984375" style="34" customWidth="1"/>
    <col min="8962" max="8962" width="4.6328125" style="34" customWidth="1"/>
    <col min="8963" max="8963" width="3.08984375" style="34" customWidth="1"/>
    <col min="8964" max="8964" width="12.90625" style="34" customWidth="1"/>
    <col min="8965" max="8965" width="11.08984375" style="34" customWidth="1"/>
    <col min="8966" max="8966" width="12.26953125" style="34" customWidth="1"/>
    <col min="8967" max="8967" width="11.90625" style="34" customWidth="1"/>
    <col min="8968" max="8968" width="9.36328125" style="34" customWidth="1"/>
    <col min="8969" max="8969" width="11.08984375" style="34" customWidth="1"/>
    <col min="8970" max="8970" width="10.453125" style="34" customWidth="1"/>
    <col min="8971" max="8971" width="9.7265625" style="34" customWidth="1"/>
    <col min="8972" max="9216" width="9" style="34"/>
    <col min="9217" max="9217" width="3.08984375" style="34" customWidth="1"/>
    <col min="9218" max="9218" width="4.6328125" style="34" customWidth="1"/>
    <col min="9219" max="9219" width="3.08984375" style="34" customWidth="1"/>
    <col min="9220" max="9220" width="12.90625" style="34" customWidth="1"/>
    <col min="9221" max="9221" width="11.08984375" style="34" customWidth="1"/>
    <col min="9222" max="9222" width="12.26953125" style="34" customWidth="1"/>
    <col min="9223" max="9223" width="11.90625" style="34" customWidth="1"/>
    <col min="9224" max="9224" width="9.36328125" style="34" customWidth="1"/>
    <col min="9225" max="9225" width="11.08984375" style="34" customWidth="1"/>
    <col min="9226" max="9226" width="10.453125" style="34" customWidth="1"/>
    <col min="9227" max="9227" width="9.7265625" style="34" customWidth="1"/>
    <col min="9228" max="9472" width="9" style="34"/>
    <col min="9473" max="9473" width="3.08984375" style="34" customWidth="1"/>
    <col min="9474" max="9474" width="4.6328125" style="34" customWidth="1"/>
    <col min="9475" max="9475" width="3.08984375" style="34" customWidth="1"/>
    <col min="9476" max="9476" width="12.90625" style="34" customWidth="1"/>
    <col min="9477" max="9477" width="11.08984375" style="34" customWidth="1"/>
    <col min="9478" max="9478" width="12.26953125" style="34" customWidth="1"/>
    <col min="9479" max="9479" width="11.90625" style="34" customWidth="1"/>
    <col min="9480" max="9480" width="9.36328125" style="34" customWidth="1"/>
    <col min="9481" max="9481" width="11.08984375" style="34" customWidth="1"/>
    <col min="9482" max="9482" width="10.453125" style="34" customWidth="1"/>
    <col min="9483" max="9483" width="9.7265625" style="34" customWidth="1"/>
    <col min="9484" max="9728" width="9" style="34"/>
    <col min="9729" max="9729" width="3.08984375" style="34" customWidth="1"/>
    <col min="9730" max="9730" width="4.6328125" style="34" customWidth="1"/>
    <col min="9731" max="9731" width="3.08984375" style="34" customWidth="1"/>
    <col min="9732" max="9732" width="12.90625" style="34" customWidth="1"/>
    <col min="9733" max="9733" width="11.08984375" style="34" customWidth="1"/>
    <col min="9734" max="9734" width="12.26953125" style="34" customWidth="1"/>
    <col min="9735" max="9735" width="11.90625" style="34" customWidth="1"/>
    <col min="9736" max="9736" width="9.36328125" style="34" customWidth="1"/>
    <col min="9737" max="9737" width="11.08984375" style="34" customWidth="1"/>
    <col min="9738" max="9738" width="10.453125" style="34" customWidth="1"/>
    <col min="9739" max="9739" width="9.7265625" style="34" customWidth="1"/>
    <col min="9740" max="9984" width="9" style="34"/>
    <col min="9985" max="9985" width="3.08984375" style="34" customWidth="1"/>
    <col min="9986" max="9986" width="4.6328125" style="34" customWidth="1"/>
    <col min="9987" max="9987" width="3.08984375" style="34" customWidth="1"/>
    <col min="9988" max="9988" width="12.90625" style="34" customWidth="1"/>
    <col min="9989" max="9989" width="11.08984375" style="34" customWidth="1"/>
    <col min="9990" max="9990" width="12.26953125" style="34" customWidth="1"/>
    <col min="9991" max="9991" width="11.90625" style="34" customWidth="1"/>
    <col min="9992" max="9992" width="9.36328125" style="34" customWidth="1"/>
    <col min="9993" max="9993" width="11.08984375" style="34" customWidth="1"/>
    <col min="9994" max="9994" width="10.453125" style="34" customWidth="1"/>
    <col min="9995" max="9995" width="9.7265625" style="34" customWidth="1"/>
    <col min="9996" max="10240" width="9" style="34"/>
    <col min="10241" max="10241" width="3.08984375" style="34" customWidth="1"/>
    <col min="10242" max="10242" width="4.6328125" style="34" customWidth="1"/>
    <col min="10243" max="10243" width="3.08984375" style="34" customWidth="1"/>
    <col min="10244" max="10244" width="12.90625" style="34" customWidth="1"/>
    <col min="10245" max="10245" width="11.08984375" style="34" customWidth="1"/>
    <col min="10246" max="10246" width="12.26953125" style="34" customWidth="1"/>
    <col min="10247" max="10247" width="11.90625" style="34" customWidth="1"/>
    <col min="10248" max="10248" width="9.36328125" style="34" customWidth="1"/>
    <col min="10249" max="10249" width="11.08984375" style="34" customWidth="1"/>
    <col min="10250" max="10250" width="10.453125" style="34" customWidth="1"/>
    <col min="10251" max="10251" width="9.7265625" style="34" customWidth="1"/>
    <col min="10252" max="10496" width="9" style="34"/>
    <col min="10497" max="10497" width="3.08984375" style="34" customWidth="1"/>
    <col min="10498" max="10498" width="4.6328125" style="34" customWidth="1"/>
    <col min="10499" max="10499" width="3.08984375" style="34" customWidth="1"/>
    <col min="10500" max="10500" width="12.90625" style="34" customWidth="1"/>
    <col min="10501" max="10501" width="11.08984375" style="34" customWidth="1"/>
    <col min="10502" max="10502" width="12.26953125" style="34" customWidth="1"/>
    <col min="10503" max="10503" width="11.90625" style="34" customWidth="1"/>
    <col min="10504" max="10504" width="9.36328125" style="34" customWidth="1"/>
    <col min="10505" max="10505" width="11.08984375" style="34" customWidth="1"/>
    <col min="10506" max="10506" width="10.453125" style="34" customWidth="1"/>
    <col min="10507" max="10507" width="9.7265625" style="34" customWidth="1"/>
    <col min="10508" max="10752" width="9" style="34"/>
    <col min="10753" max="10753" width="3.08984375" style="34" customWidth="1"/>
    <col min="10754" max="10754" width="4.6328125" style="34" customWidth="1"/>
    <col min="10755" max="10755" width="3.08984375" style="34" customWidth="1"/>
    <col min="10756" max="10756" width="12.90625" style="34" customWidth="1"/>
    <col min="10757" max="10757" width="11.08984375" style="34" customWidth="1"/>
    <col min="10758" max="10758" width="12.26953125" style="34" customWidth="1"/>
    <col min="10759" max="10759" width="11.90625" style="34" customWidth="1"/>
    <col min="10760" max="10760" width="9.36328125" style="34" customWidth="1"/>
    <col min="10761" max="10761" width="11.08984375" style="34" customWidth="1"/>
    <col min="10762" max="10762" width="10.453125" style="34" customWidth="1"/>
    <col min="10763" max="10763" width="9.7265625" style="34" customWidth="1"/>
    <col min="10764" max="11008" width="9" style="34"/>
    <col min="11009" max="11009" width="3.08984375" style="34" customWidth="1"/>
    <col min="11010" max="11010" width="4.6328125" style="34" customWidth="1"/>
    <col min="11011" max="11011" width="3.08984375" style="34" customWidth="1"/>
    <col min="11012" max="11012" width="12.90625" style="34" customWidth="1"/>
    <col min="11013" max="11013" width="11.08984375" style="34" customWidth="1"/>
    <col min="11014" max="11014" width="12.26953125" style="34" customWidth="1"/>
    <col min="11015" max="11015" width="11.90625" style="34" customWidth="1"/>
    <col min="11016" max="11016" width="9.36328125" style="34" customWidth="1"/>
    <col min="11017" max="11017" width="11.08984375" style="34" customWidth="1"/>
    <col min="11018" max="11018" width="10.453125" style="34" customWidth="1"/>
    <col min="11019" max="11019" width="9.7265625" style="34" customWidth="1"/>
    <col min="11020" max="11264" width="9" style="34"/>
    <col min="11265" max="11265" width="3.08984375" style="34" customWidth="1"/>
    <col min="11266" max="11266" width="4.6328125" style="34" customWidth="1"/>
    <col min="11267" max="11267" width="3.08984375" style="34" customWidth="1"/>
    <col min="11268" max="11268" width="12.90625" style="34" customWidth="1"/>
    <col min="11269" max="11269" width="11.08984375" style="34" customWidth="1"/>
    <col min="11270" max="11270" width="12.26953125" style="34" customWidth="1"/>
    <col min="11271" max="11271" width="11.90625" style="34" customWidth="1"/>
    <col min="11272" max="11272" width="9.36328125" style="34" customWidth="1"/>
    <col min="11273" max="11273" width="11.08984375" style="34" customWidth="1"/>
    <col min="11274" max="11274" width="10.453125" style="34" customWidth="1"/>
    <col min="11275" max="11275" width="9.7265625" style="34" customWidth="1"/>
    <col min="11276" max="11520" width="9" style="34"/>
    <col min="11521" max="11521" width="3.08984375" style="34" customWidth="1"/>
    <col min="11522" max="11522" width="4.6328125" style="34" customWidth="1"/>
    <col min="11523" max="11523" width="3.08984375" style="34" customWidth="1"/>
    <col min="11524" max="11524" width="12.90625" style="34" customWidth="1"/>
    <col min="11525" max="11525" width="11.08984375" style="34" customWidth="1"/>
    <col min="11526" max="11526" width="12.26953125" style="34" customWidth="1"/>
    <col min="11527" max="11527" width="11.90625" style="34" customWidth="1"/>
    <col min="11528" max="11528" width="9.36328125" style="34" customWidth="1"/>
    <col min="11529" max="11529" width="11.08984375" style="34" customWidth="1"/>
    <col min="11530" max="11530" width="10.453125" style="34" customWidth="1"/>
    <col min="11531" max="11531" width="9.7265625" style="34" customWidth="1"/>
    <col min="11532" max="11776" width="9" style="34"/>
    <col min="11777" max="11777" width="3.08984375" style="34" customWidth="1"/>
    <col min="11778" max="11778" width="4.6328125" style="34" customWidth="1"/>
    <col min="11779" max="11779" width="3.08984375" style="34" customWidth="1"/>
    <col min="11780" max="11780" width="12.90625" style="34" customWidth="1"/>
    <col min="11781" max="11781" width="11.08984375" style="34" customWidth="1"/>
    <col min="11782" max="11782" width="12.26953125" style="34" customWidth="1"/>
    <col min="11783" max="11783" width="11.90625" style="34" customWidth="1"/>
    <col min="11784" max="11784" width="9.36328125" style="34" customWidth="1"/>
    <col min="11785" max="11785" width="11.08984375" style="34" customWidth="1"/>
    <col min="11786" max="11786" width="10.453125" style="34" customWidth="1"/>
    <col min="11787" max="11787" width="9.7265625" style="34" customWidth="1"/>
    <col min="11788" max="12032" width="9" style="34"/>
    <col min="12033" max="12033" width="3.08984375" style="34" customWidth="1"/>
    <col min="12034" max="12034" width="4.6328125" style="34" customWidth="1"/>
    <col min="12035" max="12035" width="3.08984375" style="34" customWidth="1"/>
    <col min="12036" max="12036" width="12.90625" style="34" customWidth="1"/>
    <col min="12037" max="12037" width="11.08984375" style="34" customWidth="1"/>
    <col min="12038" max="12038" width="12.26953125" style="34" customWidth="1"/>
    <col min="12039" max="12039" width="11.90625" style="34" customWidth="1"/>
    <col min="12040" max="12040" width="9.36328125" style="34" customWidth="1"/>
    <col min="12041" max="12041" width="11.08984375" style="34" customWidth="1"/>
    <col min="12042" max="12042" width="10.453125" style="34" customWidth="1"/>
    <col min="12043" max="12043" width="9.7265625" style="34" customWidth="1"/>
    <col min="12044" max="12288" width="9" style="34"/>
    <col min="12289" max="12289" width="3.08984375" style="34" customWidth="1"/>
    <col min="12290" max="12290" width="4.6328125" style="34" customWidth="1"/>
    <col min="12291" max="12291" width="3.08984375" style="34" customWidth="1"/>
    <col min="12292" max="12292" width="12.90625" style="34" customWidth="1"/>
    <col min="12293" max="12293" width="11.08984375" style="34" customWidth="1"/>
    <col min="12294" max="12294" width="12.26953125" style="34" customWidth="1"/>
    <col min="12295" max="12295" width="11.90625" style="34" customWidth="1"/>
    <col min="12296" max="12296" width="9.36328125" style="34" customWidth="1"/>
    <col min="12297" max="12297" width="11.08984375" style="34" customWidth="1"/>
    <col min="12298" max="12298" width="10.453125" style="34" customWidth="1"/>
    <col min="12299" max="12299" width="9.7265625" style="34" customWidth="1"/>
    <col min="12300" max="12544" width="9" style="34"/>
    <col min="12545" max="12545" width="3.08984375" style="34" customWidth="1"/>
    <col min="12546" max="12546" width="4.6328125" style="34" customWidth="1"/>
    <col min="12547" max="12547" width="3.08984375" style="34" customWidth="1"/>
    <col min="12548" max="12548" width="12.90625" style="34" customWidth="1"/>
    <col min="12549" max="12549" width="11.08984375" style="34" customWidth="1"/>
    <col min="12550" max="12550" width="12.26953125" style="34" customWidth="1"/>
    <col min="12551" max="12551" width="11.90625" style="34" customWidth="1"/>
    <col min="12552" max="12552" width="9.36328125" style="34" customWidth="1"/>
    <col min="12553" max="12553" width="11.08984375" style="34" customWidth="1"/>
    <col min="12554" max="12554" width="10.453125" style="34" customWidth="1"/>
    <col min="12555" max="12555" width="9.7265625" style="34" customWidth="1"/>
    <col min="12556" max="12800" width="9" style="34"/>
    <col min="12801" max="12801" width="3.08984375" style="34" customWidth="1"/>
    <col min="12802" max="12802" width="4.6328125" style="34" customWidth="1"/>
    <col min="12803" max="12803" width="3.08984375" style="34" customWidth="1"/>
    <col min="12804" max="12804" width="12.90625" style="34" customWidth="1"/>
    <col min="12805" max="12805" width="11.08984375" style="34" customWidth="1"/>
    <col min="12806" max="12806" width="12.26953125" style="34" customWidth="1"/>
    <col min="12807" max="12807" width="11.90625" style="34" customWidth="1"/>
    <col min="12808" max="12808" width="9.36328125" style="34" customWidth="1"/>
    <col min="12809" max="12809" width="11.08984375" style="34" customWidth="1"/>
    <col min="12810" max="12810" width="10.453125" style="34" customWidth="1"/>
    <col min="12811" max="12811" width="9.7265625" style="34" customWidth="1"/>
    <col min="12812" max="13056" width="9" style="34"/>
    <col min="13057" max="13057" width="3.08984375" style="34" customWidth="1"/>
    <col min="13058" max="13058" width="4.6328125" style="34" customWidth="1"/>
    <col min="13059" max="13059" width="3.08984375" style="34" customWidth="1"/>
    <col min="13060" max="13060" width="12.90625" style="34" customWidth="1"/>
    <col min="13061" max="13061" width="11.08984375" style="34" customWidth="1"/>
    <col min="13062" max="13062" width="12.26953125" style="34" customWidth="1"/>
    <col min="13063" max="13063" width="11.90625" style="34" customWidth="1"/>
    <col min="13064" max="13064" width="9.36328125" style="34" customWidth="1"/>
    <col min="13065" max="13065" width="11.08984375" style="34" customWidth="1"/>
    <col min="13066" max="13066" width="10.453125" style="34" customWidth="1"/>
    <col min="13067" max="13067" width="9.7265625" style="34" customWidth="1"/>
    <col min="13068" max="13312" width="9" style="34"/>
    <col min="13313" max="13313" width="3.08984375" style="34" customWidth="1"/>
    <col min="13314" max="13314" width="4.6328125" style="34" customWidth="1"/>
    <col min="13315" max="13315" width="3.08984375" style="34" customWidth="1"/>
    <col min="13316" max="13316" width="12.90625" style="34" customWidth="1"/>
    <col min="13317" max="13317" width="11.08984375" style="34" customWidth="1"/>
    <col min="13318" max="13318" width="12.26953125" style="34" customWidth="1"/>
    <col min="13319" max="13319" width="11.90625" style="34" customWidth="1"/>
    <col min="13320" max="13320" width="9.36328125" style="34" customWidth="1"/>
    <col min="13321" max="13321" width="11.08984375" style="34" customWidth="1"/>
    <col min="13322" max="13322" width="10.453125" style="34" customWidth="1"/>
    <col min="13323" max="13323" width="9.7265625" style="34" customWidth="1"/>
    <col min="13324" max="13568" width="9" style="34"/>
    <col min="13569" max="13569" width="3.08984375" style="34" customWidth="1"/>
    <col min="13570" max="13570" width="4.6328125" style="34" customWidth="1"/>
    <col min="13571" max="13571" width="3.08984375" style="34" customWidth="1"/>
    <col min="13572" max="13572" width="12.90625" style="34" customWidth="1"/>
    <col min="13573" max="13573" width="11.08984375" style="34" customWidth="1"/>
    <col min="13574" max="13574" width="12.26953125" style="34" customWidth="1"/>
    <col min="13575" max="13575" width="11.90625" style="34" customWidth="1"/>
    <col min="13576" max="13576" width="9.36328125" style="34" customWidth="1"/>
    <col min="13577" max="13577" width="11.08984375" style="34" customWidth="1"/>
    <col min="13578" max="13578" width="10.453125" style="34" customWidth="1"/>
    <col min="13579" max="13579" width="9.7265625" style="34" customWidth="1"/>
    <col min="13580" max="13824" width="9" style="34"/>
    <col min="13825" max="13825" width="3.08984375" style="34" customWidth="1"/>
    <col min="13826" max="13826" width="4.6328125" style="34" customWidth="1"/>
    <col min="13827" max="13827" width="3.08984375" style="34" customWidth="1"/>
    <col min="13828" max="13828" width="12.90625" style="34" customWidth="1"/>
    <col min="13829" max="13829" width="11.08984375" style="34" customWidth="1"/>
    <col min="13830" max="13830" width="12.26953125" style="34" customWidth="1"/>
    <col min="13831" max="13831" width="11.90625" style="34" customWidth="1"/>
    <col min="13832" max="13832" width="9.36328125" style="34" customWidth="1"/>
    <col min="13833" max="13833" width="11.08984375" style="34" customWidth="1"/>
    <col min="13834" max="13834" width="10.453125" style="34" customWidth="1"/>
    <col min="13835" max="13835" width="9.7265625" style="34" customWidth="1"/>
    <col min="13836" max="14080" width="9" style="34"/>
    <col min="14081" max="14081" width="3.08984375" style="34" customWidth="1"/>
    <col min="14082" max="14082" width="4.6328125" style="34" customWidth="1"/>
    <col min="14083" max="14083" width="3.08984375" style="34" customWidth="1"/>
    <col min="14084" max="14084" width="12.90625" style="34" customWidth="1"/>
    <col min="14085" max="14085" width="11.08984375" style="34" customWidth="1"/>
    <col min="14086" max="14086" width="12.26953125" style="34" customWidth="1"/>
    <col min="14087" max="14087" width="11.90625" style="34" customWidth="1"/>
    <col min="14088" max="14088" width="9.36328125" style="34" customWidth="1"/>
    <col min="14089" max="14089" width="11.08984375" style="34" customWidth="1"/>
    <col min="14090" max="14090" width="10.453125" style="34" customWidth="1"/>
    <col min="14091" max="14091" width="9.7265625" style="34" customWidth="1"/>
    <col min="14092" max="14336" width="9" style="34"/>
    <col min="14337" max="14337" width="3.08984375" style="34" customWidth="1"/>
    <col min="14338" max="14338" width="4.6328125" style="34" customWidth="1"/>
    <col min="14339" max="14339" width="3.08984375" style="34" customWidth="1"/>
    <col min="14340" max="14340" width="12.90625" style="34" customWidth="1"/>
    <col min="14341" max="14341" width="11.08984375" style="34" customWidth="1"/>
    <col min="14342" max="14342" width="12.26953125" style="34" customWidth="1"/>
    <col min="14343" max="14343" width="11.90625" style="34" customWidth="1"/>
    <col min="14344" max="14344" width="9.36328125" style="34" customWidth="1"/>
    <col min="14345" max="14345" width="11.08984375" style="34" customWidth="1"/>
    <col min="14346" max="14346" width="10.453125" style="34" customWidth="1"/>
    <col min="14347" max="14347" width="9.7265625" style="34" customWidth="1"/>
    <col min="14348" max="14592" width="9" style="34"/>
    <col min="14593" max="14593" width="3.08984375" style="34" customWidth="1"/>
    <col min="14594" max="14594" width="4.6328125" style="34" customWidth="1"/>
    <col min="14595" max="14595" width="3.08984375" style="34" customWidth="1"/>
    <col min="14596" max="14596" width="12.90625" style="34" customWidth="1"/>
    <col min="14597" max="14597" width="11.08984375" style="34" customWidth="1"/>
    <col min="14598" max="14598" width="12.26953125" style="34" customWidth="1"/>
    <col min="14599" max="14599" width="11.90625" style="34" customWidth="1"/>
    <col min="14600" max="14600" width="9.36328125" style="34" customWidth="1"/>
    <col min="14601" max="14601" width="11.08984375" style="34" customWidth="1"/>
    <col min="14602" max="14602" width="10.453125" style="34" customWidth="1"/>
    <col min="14603" max="14603" width="9.7265625" style="34" customWidth="1"/>
    <col min="14604" max="14848" width="9" style="34"/>
    <col min="14849" max="14849" width="3.08984375" style="34" customWidth="1"/>
    <col min="14850" max="14850" width="4.6328125" style="34" customWidth="1"/>
    <col min="14851" max="14851" width="3.08984375" style="34" customWidth="1"/>
    <col min="14852" max="14852" width="12.90625" style="34" customWidth="1"/>
    <col min="14853" max="14853" width="11.08984375" style="34" customWidth="1"/>
    <col min="14854" max="14854" width="12.26953125" style="34" customWidth="1"/>
    <col min="14855" max="14855" width="11.90625" style="34" customWidth="1"/>
    <col min="14856" max="14856" width="9.36328125" style="34" customWidth="1"/>
    <col min="14857" max="14857" width="11.08984375" style="34" customWidth="1"/>
    <col min="14858" max="14858" width="10.453125" style="34" customWidth="1"/>
    <col min="14859" max="14859" width="9.7265625" style="34" customWidth="1"/>
    <col min="14860" max="15104" width="9" style="34"/>
    <col min="15105" max="15105" width="3.08984375" style="34" customWidth="1"/>
    <col min="15106" max="15106" width="4.6328125" style="34" customWidth="1"/>
    <col min="15107" max="15107" width="3.08984375" style="34" customWidth="1"/>
    <col min="15108" max="15108" width="12.90625" style="34" customWidth="1"/>
    <col min="15109" max="15109" width="11.08984375" style="34" customWidth="1"/>
    <col min="15110" max="15110" width="12.26953125" style="34" customWidth="1"/>
    <col min="15111" max="15111" width="11.90625" style="34" customWidth="1"/>
    <col min="15112" max="15112" width="9.36328125" style="34" customWidth="1"/>
    <col min="15113" max="15113" width="11.08984375" style="34" customWidth="1"/>
    <col min="15114" max="15114" width="10.453125" style="34" customWidth="1"/>
    <col min="15115" max="15115" width="9.7265625" style="34" customWidth="1"/>
    <col min="15116" max="15360" width="9" style="34"/>
    <col min="15361" max="15361" width="3.08984375" style="34" customWidth="1"/>
    <col min="15362" max="15362" width="4.6328125" style="34" customWidth="1"/>
    <col min="15363" max="15363" width="3.08984375" style="34" customWidth="1"/>
    <col min="15364" max="15364" width="12.90625" style="34" customWidth="1"/>
    <col min="15365" max="15365" width="11.08984375" style="34" customWidth="1"/>
    <col min="15366" max="15366" width="12.26953125" style="34" customWidth="1"/>
    <col min="15367" max="15367" width="11.90625" style="34" customWidth="1"/>
    <col min="15368" max="15368" width="9.36328125" style="34" customWidth="1"/>
    <col min="15369" max="15369" width="11.08984375" style="34" customWidth="1"/>
    <col min="15370" max="15370" width="10.453125" style="34" customWidth="1"/>
    <col min="15371" max="15371" width="9.7265625" style="34" customWidth="1"/>
    <col min="15372" max="15616" width="9" style="34"/>
    <col min="15617" max="15617" width="3.08984375" style="34" customWidth="1"/>
    <col min="15618" max="15618" width="4.6328125" style="34" customWidth="1"/>
    <col min="15619" max="15619" width="3.08984375" style="34" customWidth="1"/>
    <col min="15620" max="15620" width="12.90625" style="34" customWidth="1"/>
    <col min="15621" max="15621" width="11.08984375" style="34" customWidth="1"/>
    <col min="15622" max="15622" width="12.26953125" style="34" customWidth="1"/>
    <col min="15623" max="15623" width="11.90625" style="34" customWidth="1"/>
    <col min="15624" max="15624" width="9.36328125" style="34" customWidth="1"/>
    <col min="15625" max="15625" width="11.08984375" style="34" customWidth="1"/>
    <col min="15626" max="15626" width="10.453125" style="34" customWidth="1"/>
    <col min="15627" max="15627" width="9.7265625" style="34" customWidth="1"/>
    <col min="15628" max="15872" width="9" style="34"/>
    <col min="15873" max="15873" width="3.08984375" style="34" customWidth="1"/>
    <col min="15874" max="15874" width="4.6328125" style="34" customWidth="1"/>
    <col min="15875" max="15875" width="3.08984375" style="34" customWidth="1"/>
    <col min="15876" max="15876" width="12.90625" style="34" customWidth="1"/>
    <col min="15877" max="15877" width="11.08984375" style="34" customWidth="1"/>
    <col min="15878" max="15878" width="12.26953125" style="34" customWidth="1"/>
    <col min="15879" max="15879" width="11.90625" style="34" customWidth="1"/>
    <col min="15880" max="15880" width="9.36328125" style="34" customWidth="1"/>
    <col min="15881" max="15881" width="11.08984375" style="34" customWidth="1"/>
    <col min="15882" max="15882" width="10.453125" style="34" customWidth="1"/>
    <col min="15883" max="15883" width="9.7265625" style="34" customWidth="1"/>
    <col min="15884" max="16128" width="9" style="34"/>
    <col min="16129" max="16129" width="3.08984375" style="34" customWidth="1"/>
    <col min="16130" max="16130" width="4.6328125" style="34" customWidth="1"/>
    <col min="16131" max="16131" width="3.08984375" style="34" customWidth="1"/>
    <col min="16132" max="16132" width="12.90625" style="34" customWidth="1"/>
    <col min="16133" max="16133" width="11.08984375" style="34" customWidth="1"/>
    <col min="16134" max="16134" width="12.26953125" style="34" customWidth="1"/>
    <col min="16135" max="16135" width="11.90625" style="34" customWidth="1"/>
    <col min="16136" max="16136" width="9.36328125" style="34" customWidth="1"/>
    <col min="16137" max="16137" width="11.08984375" style="34" customWidth="1"/>
    <col min="16138" max="16138" width="10.453125" style="34" customWidth="1"/>
    <col min="16139" max="16139" width="9.7265625" style="34" customWidth="1"/>
    <col min="16140" max="16384" width="9" style="34"/>
  </cols>
  <sheetData>
    <row r="1" spans="1:41">
      <c r="A1" s="93" t="s">
        <v>83</v>
      </c>
    </row>
    <row r="2" spans="1:41" s="62" customFormat="1" ht="24" customHeight="1" thickBot="1">
      <c r="A2" s="61"/>
      <c r="B2" s="207" t="s">
        <v>96</v>
      </c>
      <c r="C2" s="207"/>
      <c r="D2" s="207"/>
      <c r="E2" s="207"/>
      <c r="F2" s="207"/>
      <c r="G2" s="207"/>
      <c r="H2" s="207"/>
      <c r="I2" s="207"/>
      <c r="J2" s="207"/>
      <c r="K2" s="207"/>
    </row>
    <row r="3" spans="1:41" s="62" customFormat="1" ht="13.5" customHeight="1" thickTop="1">
      <c r="A3" s="63"/>
      <c r="B3" s="64"/>
      <c r="C3" s="65"/>
      <c r="D3" s="65"/>
      <c r="E3" s="65"/>
      <c r="F3" s="65"/>
      <c r="G3" s="65"/>
      <c r="H3" s="65"/>
      <c r="I3" s="65"/>
      <c r="J3" s="65"/>
    </row>
    <row r="4" spans="1:41" s="62" customFormat="1" ht="13.5" customHeight="1">
      <c r="A4" s="63"/>
      <c r="B4" s="66" t="s">
        <v>97</v>
      </c>
      <c r="C4" s="67"/>
      <c r="D4" s="68" t="s">
        <v>98</v>
      </c>
      <c r="E4" s="69" t="s">
        <v>99</v>
      </c>
      <c r="F4" s="70" t="s">
        <v>100</v>
      </c>
      <c r="G4" s="71" t="s">
        <v>101</v>
      </c>
      <c r="H4" s="71" t="s">
        <v>102</v>
      </c>
      <c r="I4" s="71" t="s">
        <v>103</v>
      </c>
    </row>
    <row r="5" spans="1:41" s="62" customFormat="1" ht="13.5" customHeight="1">
      <c r="A5" s="63"/>
      <c r="B5" s="66"/>
      <c r="C5" s="72"/>
      <c r="D5" s="73"/>
      <c r="E5" s="73"/>
      <c r="F5" s="73"/>
      <c r="G5" s="74"/>
      <c r="H5" s="75"/>
      <c r="I5" s="75"/>
    </row>
    <row r="6" spans="1:41" s="62" customFormat="1" ht="13.5" customHeight="1">
      <c r="A6" s="63"/>
      <c r="B6" s="66"/>
      <c r="C6" s="72"/>
      <c r="D6" s="73"/>
      <c r="E6" s="73"/>
      <c r="F6" s="73"/>
      <c r="G6" s="74"/>
      <c r="H6" s="75"/>
      <c r="I6" s="75"/>
    </row>
    <row r="7" spans="1:41" s="62" customFormat="1" ht="13.5" customHeight="1">
      <c r="A7" s="63"/>
      <c r="B7" s="66"/>
      <c r="C7" s="72"/>
      <c r="D7" s="73"/>
      <c r="E7" s="73"/>
      <c r="F7" s="73"/>
      <c r="G7" s="74"/>
      <c r="H7" s="75"/>
      <c r="I7" s="75"/>
    </row>
    <row r="8" spans="1:41" s="62" customFormat="1" ht="13.5" customHeight="1">
      <c r="A8" s="63"/>
      <c r="B8" s="66"/>
      <c r="C8" s="72"/>
      <c r="D8" s="73"/>
      <c r="E8" s="73"/>
      <c r="F8" s="73"/>
      <c r="G8" s="74"/>
      <c r="H8" s="75"/>
      <c r="I8" s="75"/>
    </row>
    <row r="9" spans="1:41" ht="13.5" customHeight="1">
      <c r="B9" s="39"/>
      <c r="C9" s="39"/>
      <c r="D9" s="39"/>
      <c r="E9" s="40"/>
    </row>
    <row r="10" spans="1:41" ht="15" customHeight="1">
      <c r="A10" s="211" t="s">
        <v>339</v>
      </c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</row>
    <row r="11" spans="1:41" ht="19.5" customHeight="1">
      <c r="A11" s="211"/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78"/>
      <c r="AN11" s="78"/>
      <c r="AO11" s="78"/>
    </row>
    <row r="12" spans="1:41" s="80" customFormat="1" ht="16.5" customHeight="1">
      <c r="A12" s="211"/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</row>
    <row r="13" spans="1:41" s="83" customFormat="1" ht="93.75" customHeight="1">
      <c r="A13" s="211"/>
      <c r="B13" s="211"/>
      <c r="C13" s="211"/>
      <c r="D13" s="211"/>
      <c r="E13" s="211"/>
      <c r="F13" s="211"/>
      <c r="G13" s="211"/>
      <c r="H13" s="211"/>
      <c r="I13" s="211"/>
      <c r="J13" s="211"/>
      <c r="K13" s="211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47"/>
      <c r="AA13" s="147"/>
      <c r="AB13" s="148"/>
      <c r="AC13" s="148"/>
      <c r="AD13" s="148"/>
      <c r="AE13" s="148"/>
      <c r="AF13" s="148"/>
      <c r="AG13" s="148"/>
      <c r="AH13" s="147"/>
      <c r="AI13" s="147"/>
      <c r="AJ13" s="147"/>
      <c r="AK13" s="147"/>
      <c r="AL13" s="147"/>
      <c r="AM13" s="82"/>
      <c r="AN13" s="82"/>
      <c r="AO13" s="82"/>
    </row>
    <row r="14" spans="1:41" s="78" customFormat="1" ht="13.5" customHeight="1">
      <c r="A14" s="149"/>
      <c r="B14" s="150"/>
      <c r="C14" s="151"/>
      <c r="D14" s="152"/>
      <c r="E14" s="153"/>
      <c r="F14" s="153"/>
      <c r="G14" s="153"/>
      <c r="H14" s="153"/>
      <c r="I14" s="153"/>
      <c r="J14" s="152"/>
      <c r="K14" s="153"/>
      <c r="L14" s="152"/>
      <c r="M14" s="152"/>
      <c r="N14" s="152"/>
      <c r="O14" s="153"/>
      <c r="P14" s="153"/>
      <c r="Q14" s="152"/>
      <c r="R14" s="152"/>
      <c r="S14" s="152"/>
      <c r="T14" s="153"/>
      <c r="U14" s="153"/>
      <c r="V14" s="153"/>
      <c r="W14" s="152"/>
      <c r="X14" s="152"/>
      <c r="Y14" s="152"/>
      <c r="Z14" s="152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</row>
    <row r="15" spans="1:41" ht="13.5" customHeight="1">
      <c r="A15" s="154"/>
      <c r="B15" s="155"/>
      <c r="C15" s="156"/>
      <c r="D15" s="152"/>
      <c r="E15" s="152"/>
      <c r="F15" s="152"/>
      <c r="G15" s="152"/>
      <c r="H15" s="157"/>
      <c r="I15" s="152"/>
      <c r="J15" s="152"/>
      <c r="K15" s="152"/>
      <c r="L15" s="152"/>
      <c r="M15" s="152"/>
      <c r="N15" s="152"/>
      <c r="O15" s="152"/>
      <c r="P15" s="158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33"/>
      <c r="AC15" s="159"/>
      <c r="AD15" s="133"/>
      <c r="AE15" s="159"/>
      <c r="AF15" s="133"/>
      <c r="AG15" s="133"/>
      <c r="AH15" s="133"/>
      <c r="AI15" s="159"/>
      <c r="AJ15" s="133"/>
      <c r="AK15" s="159"/>
      <c r="AL15" s="133"/>
      <c r="AM15" s="78"/>
      <c r="AN15" s="78"/>
      <c r="AO15" s="78"/>
    </row>
    <row r="16" spans="1:41" ht="13.5" customHeight="1">
      <c r="A16" s="160"/>
      <c r="B16" s="155"/>
      <c r="C16" s="156"/>
      <c r="D16" s="152"/>
      <c r="E16" s="152"/>
      <c r="F16" s="152"/>
      <c r="G16" s="152"/>
      <c r="H16" s="157"/>
      <c r="I16" s="152"/>
      <c r="J16" s="152"/>
      <c r="K16" s="152"/>
      <c r="L16" s="152"/>
      <c r="M16" s="152"/>
      <c r="N16" s="152"/>
      <c r="O16" s="152"/>
      <c r="P16" s="158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33"/>
      <c r="AC16" s="159"/>
      <c r="AD16" s="133"/>
      <c r="AE16" s="159"/>
      <c r="AF16" s="133"/>
      <c r="AG16" s="133"/>
      <c r="AH16" s="152"/>
      <c r="AI16" s="159"/>
      <c r="AJ16" s="133"/>
      <c r="AK16" s="133"/>
      <c r="AL16" s="133"/>
      <c r="AM16" s="78"/>
      <c r="AN16" s="78"/>
      <c r="AO16" s="78"/>
    </row>
    <row r="17" spans="1:45" ht="13.5" customHeight="1">
      <c r="A17" s="161"/>
      <c r="B17" s="155"/>
      <c r="C17" s="156"/>
      <c r="D17" s="152"/>
      <c r="E17" s="152"/>
      <c r="F17" s="152"/>
      <c r="G17" s="152"/>
      <c r="H17" s="157"/>
      <c r="I17" s="152"/>
      <c r="J17" s="152"/>
      <c r="K17" s="152"/>
      <c r="L17" s="152"/>
      <c r="M17" s="152"/>
      <c r="N17" s="152"/>
      <c r="O17" s="152"/>
      <c r="P17" s="158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33"/>
      <c r="AC17" s="159"/>
      <c r="AD17" s="133"/>
      <c r="AE17" s="159"/>
      <c r="AF17" s="133"/>
      <c r="AG17" s="133"/>
      <c r="AH17" s="152"/>
      <c r="AI17" s="159"/>
      <c r="AJ17" s="133"/>
      <c r="AK17" s="133"/>
      <c r="AL17" s="133"/>
      <c r="AM17" s="78"/>
      <c r="AN17" s="78"/>
      <c r="AO17" s="78"/>
    </row>
    <row r="18" spans="1:45" ht="13.5" customHeight="1">
      <c r="A18" s="161"/>
      <c r="B18" s="155"/>
      <c r="C18" s="156"/>
      <c r="D18" s="152"/>
      <c r="E18" s="152"/>
      <c r="F18" s="152"/>
      <c r="G18" s="152"/>
      <c r="H18" s="157"/>
      <c r="I18" s="152"/>
      <c r="J18" s="152"/>
      <c r="K18" s="152"/>
      <c r="L18" s="152"/>
      <c r="M18" s="152"/>
      <c r="N18" s="152"/>
      <c r="O18" s="152"/>
      <c r="P18" s="158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33"/>
      <c r="AC18" s="159"/>
      <c r="AD18" s="133"/>
      <c r="AE18" s="159"/>
      <c r="AF18" s="133"/>
      <c r="AG18" s="133"/>
      <c r="AH18" s="152"/>
      <c r="AI18" s="159"/>
      <c r="AJ18" s="133"/>
      <c r="AK18" s="133"/>
      <c r="AL18" s="133"/>
      <c r="AM18" s="78"/>
      <c r="AN18" s="78"/>
      <c r="AO18" s="78"/>
    </row>
    <row r="19" spans="1:45" ht="13.5" customHeight="1">
      <c r="A19" s="160"/>
      <c r="B19" s="155"/>
      <c r="C19" s="156"/>
      <c r="D19" s="152"/>
      <c r="E19" s="152"/>
      <c r="F19" s="152"/>
      <c r="G19" s="152"/>
      <c r="H19" s="157"/>
      <c r="I19" s="152"/>
      <c r="J19" s="152"/>
      <c r="K19" s="152"/>
      <c r="L19" s="152"/>
      <c r="M19" s="152"/>
      <c r="N19" s="152"/>
      <c r="O19" s="152"/>
      <c r="P19" s="158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33"/>
      <c r="AC19" s="159"/>
      <c r="AD19" s="133"/>
      <c r="AE19" s="159"/>
      <c r="AF19" s="133"/>
      <c r="AG19" s="133"/>
      <c r="AH19" s="152"/>
      <c r="AI19" s="159"/>
      <c r="AJ19" s="133"/>
      <c r="AK19" s="133"/>
      <c r="AL19" s="133"/>
      <c r="AM19" s="78"/>
      <c r="AN19" s="78"/>
      <c r="AO19" s="78"/>
    </row>
    <row r="20" spans="1:45" ht="13.5" customHeight="1">
      <c r="A20" s="154"/>
      <c r="B20" s="155"/>
      <c r="C20" s="156"/>
      <c r="D20" s="152"/>
      <c r="E20" s="152"/>
      <c r="F20" s="152"/>
      <c r="G20" s="152"/>
      <c r="H20" s="157"/>
      <c r="I20" s="152"/>
      <c r="J20" s="152"/>
      <c r="K20" s="152"/>
      <c r="L20" s="152"/>
      <c r="M20" s="152"/>
      <c r="N20" s="152"/>
      <c r="O20" s="152"/>
      <c r="P20" s="158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33"/>
      <c r="AC20" s="159"/>
      <c r="AD20" s="133"/>
      <c r="AE20" s="159"/>
      <c r="AF20" s="133"/>
      <c r="AG20" s="133"/>
      <c r="AH20" s="133"/>
      <c r="AI20" s="159"/>
      <c r="AJ20" s="133"/>
      <c r="AK20" s="159"/>
      <c r="AL20" s="133"/>
      <c r="AM20" s="78"/>
      <c r="AN20" s="78"/>
      <c r="AO20" s="78"/>
    </row>
    <row r="21" spans="1:45" ht="13.5" customHeight="1">
      <c r="A21" s="161"/>
      <c r="B21" s="155"/>
      <c r="C21" s="156"/>
      <c r="D21" s="152"/>
      <c r="E21" s="152"/>
      <c r="F21" s="152"/>
      <c r="G21" s="152"/>
      <c r="H21" s="157"/>
      <c r="I21" s="152"/>
      <c r="J21" s="152"/>
      <c r="K21" s="152"/>
      <c r="L21" s="152"/>
      <c r="M21" s="152"/>
      <c r="N21" s="152"/>
      <c r="O21" s="152"/>
      <c r="P21" s="158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33"/>
      <c r="AC21" s="159"/>
      <c r="AD21" s="133"/>
      <c r="AE21" s="159"/>
      <c r="AF21" s="133"/>
      <c r="AG21" s="133"/>
      <c r="AH21" s="133"/>
      <c r="AI21" s="159"/>
      <c r="AJ21" s="133"/>
      <c r="AK21" s="159"/>
      <c r="AL21" s="133"/>
      <c r="AM21" s="78"/>
      <c r="AN21" s="78"/>
      <c r="AO21" s="78"/>
    </row>
    <row r="22" spans="1:45" ht="13.5" customHeight="1">
      <c r="A22" s="161"/>
      <c r="B22" s="155"/>
      <c r="C22" s="156"/>
      <c r="D22" s="152"/>
      <c r="E22" s="152"/>
      <c r="F22" s="152"/>
      <c r="G22" s="152"/>
      <c r="H22" s="157"/>
      <c r="I22" s="152"/>
      <c r="J22" s="152"/>
      <c r="K22" s="152"/>
      <c r="L22" s="152"/>
      <c r="M22" s="152"/>
      <c r="N22" s="152"/>
      <c r="O22" s="152"/>
      <c r="P22" s="158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33"/>
      <c r="AC22" s="159"/>
      <c r="AD22" s="133"/>
      <c r="AE22" s="159"/>
      <c r="AF22" s="133"/>
      <c r="AG22" s="133"/>
      <c r="AH22" s="133"/>
      <c r="AI22" s="159"/>
      <c r="AJ22" s="133"/>
      <c r="AK22" s="159"/>
      <c r="AL22" s="133"/>
      <c r="AM22" s="78"/>
      <c r="AN22" s="78"/>
      <c r="AO22" s="78"/>
    </row>
    <row r="23" spans="1:45" ht="13.5" customHeight="1">
      <c r="A23" s="160"/>
      <c r="B23" s="155"/>
      <c r="C23" s="156"/>
      <c r="D23" s="152"/>
      <c r="E23" s="152"/>
      <c r="F23" s="152"/>
      <c r="G23" s="152"/>
      <c r="H23" s="157"/>
      <c r="I23" s="152"/>
      <c r="J23" s="152"/>
      <c r="K23" s="152"/>
      <c r="L23" s="152"/>
      <c r="M23" s="152"/>
      <c r="N23" s="152"/>
      <c r="O23" s="152"/>
      <c r="P23" s="158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33"/>
      <c r="AC23" s="159"/>
      <c r="AD23" s="133"/>
      <c r="AE23" s="159"/>
      <c r="AF23" s="133"/>
      <c r="AG23" s="133"/>
      <c r="AH23" s="133"/>
      <c r="AI23" s="159"/>
      <c r="AJ23" s="133"/>
      <c r="AK23" s="159"/>
      <c r="AL23" s="133"/>
      <c r="AM23" s="78"/>
      <c r="AN23" s="78"/>
      <c r="AO23" s="78"/>
    </row>
    <row r="24" spans="1:45" ht="13.5" customHeight="1">
      <c r="A24" s="160"/>
      <c r="B24" s="155"/>
      <c r="C24" s="156"/>
      <c r="D24" s="152"/>
      <c r="E24" s="152"/>
      <c r="F24" s="152"/>
      <c r="G24" s="152"/>
      <c r="H24" s="157"/>
      <c r="I24" s="152"/>
      <c r="J24" s="152"/>
      <c r="K24" s="152"/>
      <c r="L24" s="152"/>
      <c r="M24" s="152"/>
      <c r="N24" s="152"/>
      <c r="O24" s="152"/>
      <c r="P24" s="158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33"/>
      <c r="AC24" s="159"/>
      <c r="AD24" s="133"/>
      <c r="AE24" s="159"/>
      <c r="AF24" s="133"/>
      <c r="AG24" s="133"/>
      <c r="AH24" s="152"/>
      <c r="AI24" s="159"/>
      <c r="AJ24" s="133"/>
      <c r="AK24" s="133"/>
      <c r="AL24" s="133"/>
      <c r="AM24" s="78"/>
      <c r="AN24" s="78"/>
      <c r="AO24" s="78"/>
    </row>
    <row r="25" spans="1:45" ht="13.5" customHeight="1">
      <c r="A25" s="154"/>
      <c r="B25" s="155"/>
      <c r="C25" s="156"/>
      <c r="D25" s="152"/>
      <c r="E25" s="152"/>
      <c r="F25" s="152"/>
      <c r="G25" s="152"/>
      <c r="H25" s="157"/>
      <c r="I25" s="152"/>
      <c r="J25" s="152"/>
      <c r="K25" s="152"/>
      <c r="L25" s="152"/>
      <c r="M25" s="152"/>
      <c r="N25" s="152"/>
      <c r="O25" s="152"/>
      <c r="P25" s="158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33"/>
      <c r="AC25" s="159"/>
      <c r="AD25" s="133"/>
      <c r="AE25" s="159"/>
      <c r="AF25" s="133"/>
      <c r="AG25" s="133"/>
      <c r="AH25" s="152"/>
      <c r="AI25" s="159"/>
      <c r="AJ25" s="133"/>
      <c r="AK25" s="133"/>
      <c r="AL25" s="133"/>
      <c r="AM25" s="78"/>
      <c r="AN25" s="78"/>
      <c r="AO25" s="78"/>
    </row>
    <row r="26" spans="1:45" ht="13.5" customHeight="1">
      <c r="A26" s="154"/>
      <c r="B26" s="155"/>
      <c r="C26" s="156"/>
      <c r="D26" s="152"/>
      <c r="E26" s="152"/>
      <c r="F26" s="152"/>
      <c r="G26" s="152"/>
      <c r="H26" s="157"/>
      <c r="I26" s="152"/>
      <c r="J26" s="152"/>
      <c r="K26" s="152"/>
      <c r="L26" s="152"/>
      <c r="M26" s="152"/>
      <c r="N26" s="152"/>
      <c r="O26" s="152"/>
      <c r="P26" s="158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33"/>
      <c r="AC26" s="159"/>
      <c r="AD26" s="133"/>
      <c r="AE26" s="159"/>
      <c r="AF26" s="133"/>
      <c r="AG26" s="133"/>
      <c r="AH26" s="152"/>
      <c r="AI26" s="159"/>
      <c r="AJ26" s="133"/>
      <c r="AK26" s="133"/>
      <c r="AL26" s="133"/>
      <c r="AM26" s="78"/>
      <c r="AN26" s="78"/>
      <c r="AO26" s="78"/>
    </row>
    <row r="27" spans="1:45" ht="13.5" customHeight="1">
      <c r="A27" s="154"/>
      <c r="B27" s="155"/>
      <c r="C27" s="156"/>
      <c r="D27" s="152"/>
      <c r="E27" s="152"/>
      <c r="F27" s="152"/>
      <c r="G27" s="152"/>
      <c r="H27" s="157"/>
      <c r="I27" s="152"/>
      <c r="J27" s="152"/>
      <c r="K27" s="152"/>
      <c r="L27" s="152"/>
      <c r="M27" s="152"/>
      <c r="N27" s="152"/>
      <c r="O27" s="152"/>
      <c r="P27" s="158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9"/>
      <c r="AD27" s="133"/>
      <c r="AE27" s="159"/>
      <c r="AF27" s="133"/>
      <c r="AG27" s="133"/>
      <c r="AH27" s="152"/>
      <c r="AI27" s="159"/>
      <c r="AJ27" s="133"/>
      <c r="AK27" s="133"/>
      <c r="AL27" s="133"/>
      <c r="AM27" s="78"/>
      <c r="AN27" s="78"/>
      <c r="AO27" s="78"/>
    </row>
    <row r="28" spans="1:45" ht="13.5" customHeight="1">
      <c r="A28" s="149"/>
      <c r="B28" s="155"/>
      <c r="C28" s="156"/>
      <c r="D28" s="152"/>
      <c r="E28" s="152"/>
      <c r="F28" s="152"/>
      <c r="G28" s="158"/>
      <c r="H28" s="157"/>
      <c r="I28" s="152"/>
      <c r="J28" s="152"/>
      <c r="K28" s="152"/>
      <c r="L28" s="152"/>
      <c r="M28" s="152"/>
      <c r="N28" s="152"/>
      <c r="O28" s="152"/>
      <c r="P28" s="158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33"/>
      <c r="AC28" s="159"/>
      <c r="AD28" s="133"/>
      <c r="AE28" s="159"/>
      <c r="AF28" s="133"/>
      <c r="AG28" s="133"/>
      <c r="AH28" s="133"/>
      <c r="AI28" s="159"/>
      <c r="AJ28" s="133"/>
      <c r="AK28" s="159"/>
      <c r="AL28" s="133"/>
      <c r="AM28" s="78"/>
      <c r="AN28" s="78"/>
      <c r="AO28" s="78"/>
    </row>
    <row r="29" spans="1:45" ht="13.5" customHeight="1">
      <c r="A29" s="149"/>
      <c r="B29" s="155"/>
      <c r="C29" s="156"/>
      <c r="D29" s="152"/>
      <c r="E29" s="152"/>
      <c r="F29" s="152"/>
      <c r="G29" s="158"/>
      <c r="H29" s="157"/>
      <c r="I29" s="152"/>
      <c r="J29" s="152"/>
      <c r="K29" s="152"/>
      <c r="L29" s="152"/>
      <c r="M29" s="152"/>
      <c r="N29" s="152"/>
      <c r="O29" s="152"/>
      <c r="P29" s="158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33"/>
      <c r="AC29" s="159"/>
      <c r="AD29" s="133"/>
      <c r="AE29" s="159"/>
      <c r="AF29" s="133"/>
      <c r="AG29" s="133"/>
      <c r="AH29" s="133"/>
      <c r="AI29" s="159"/>
      <c r="AJ29" s="133"/>
      <c r="AK29" s="159"/>
      <c r="AL29" s="133"/>
      <c r="AM29" s="78"/>
      <c r="AN29" s="78"/>
      <c r="AO29" s="78"/>
    </row>
    <row r="30" spans="1:45" ht="12.75" customHeight="1">
      <c r="A30" s="162"/>
      <c r="B30" s="155"/>
      <c r="C30" s="156"/>
      <c r="D30" s="152"/>
      <c r="E30" s="152"/>
      <c r="F30" s="152"/>
      <c r="G30" s="152"/>
      <c r="H30" s="157"/>
      <c r="I30" s="152"/>
      <c r="J30" s="152"/>
      <c r="K30" s="158"/>
      <c r="L30" s="152"/>
      <c r="M30" s="152"/>
      <c r="N30" s="152"/>
      <c r="O30" s="152"/>
      <c r="P30" s="158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33"/>
      <c r="AC30" s="159"/>
      <c r="AD30" s="133"/>
      <c r="AE30" s="159"/>
      <c r="AF30" s="133"/>
      <c r="AG30" s="133"/>
      <c r="AH30" s="133"/>
      <c r="AI30" s="159"/>
      <c r="AJ30" s="133"/>
      <c r="AK30" s="159"/>
      <c r="AL30" s="133"/>
      <c r="AM30" s="78"/>
      <c r="AN30" s="78"/>
      <c r="AO30" s="78"/>
    </row>
    <row r="31" spans="1:45" ht="13.5" customHeight="1">
      <c r="A31" s="162"/>
      <c r="B31" s="155"/>
      <c r="C31" s="156"/>
      <c r="D31" s="152"/>
      <c r="E31" s="152"/>
      <c r="F31" s="152"/>
      <c r="G31" s="152"/>
      <c r="H31" s="157"/>
      <c r="I31" s="152"/>
      <c r="J31" s="152"/>
      <c r="K31" s="158"/>
      <c r="L31" s="152"/>
      <c r="M31" s="152"/>
      <c r="N31" s="152"/>
      <c r="O31" s="152"/>
      <c r="P31" s="158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33"/>
      <c r="AC31" s="159"/>
      <c r="AD31" s="133"/>
      <c r="AE31" s="159"/>
      <c r="AF31" s="133"/>
      <c r="AG31" s="133"/>
      <c r="AH31" s="133"/>
      <c r="AI31" s="159"/>
      <c r="AJ31" s="133"/>
      <c r="AK31" s="159"/>
      <c r="AL31" s="133"/>
      <c r="AM31" s="133"/>
      <c r="AN31" s="133"/>
      <c r="AO31" s="133"/>
      <c r="AP31" s="127"/>
      <c r="AQ31" s="127"/>
      <c r="AR31" s="127"/>
      <c r="AS31" s="127"/>
    </row>
    <row r="32" spans="1:45" ht="13.5" customHeight="1">
      <c r="A32" s="162"/>
      <c r="B32" s="155"/>
      <c r="C32" s="156"/>
      <c r="D32" s="152"/>
      <c r="E32" s="152"/>
      <c r="F32" s="152"/>
      <c r="G32" s="152"/>
      <c r="H32" s="157"/>
      <c r="I32" s="152"/>
      <c r="J32" s="152"/>
      <c r="K32" s="152"/>
      <c r="L32" s="152"/>
      <c r="M32" s="152"/>
      <c r="N32" s="152"/>
      <c r="O32" s="152"/>
      <c r="P32" s="158"/>
      <c r="Q32" s="152"/>
      <c r="R32" s="152"/>
      <c r="S32" s="152"/>
      <c r="T32" s="152"/>
      <c r="U32" s="152"/>
      <c r="V32" s="152"/>
      <c r="W32" s="163"/>
      <c r="X32" s="152"/>
      <c r="Y32" s="152"/>
      <c r="Z32" s="152"/>
      <c r="AA32" s="133"/>
      <c r="AB32" s="133"/>
      <c r="AC32" s="159"/>
      <c r="AD32" s="133"/>
      <c r="AE32" s="159"/>
      <c r="AF32" s="133"/>
      <c r="AG32" s="133"/>
      <c r="AH32" s="133"/>
      <c r="AI32" s="159"/>
      <c r="AJ32" s="133"/>
      <c r="AK32" s="133"/>
      <c r="AL32" s="133"/>
      <c r="AM32" s="133"/>
      <c r="AN32" s="133"/>
      <c r="AO32" s="133"/>
      <c r="AP32" s="127"/>
      <c r="AQ32" s="127"/>
      <c r="AR32" s="127"/>
      <c r="AS32" s="127"/>
    </row>
    <row r="33" spans="1:45" ht="13.5" customHeight="1">
      <c r="A33" s="162"/>
      <c r="B33" s="155"/>
      <c r="C33" s="156"/>
      <c r="D33" s="152"/>
      <c r="E33" s="152"/>
      <c r="F33" s="152"/>
      <c r="G33" s="152"/>
      <c r="H33" s="157"/>
      <c r="I33" s="152"/>
      <c r="J33" s="152"/>
      <c r="K33" s="152"/>
      <c r="L33" s="152"/>
      <c r="M33" s="152"/>
      <c r="N33" s="152"/>
      <c r="O33" s="152"/>
      <c r="P33" s="158"/>
      <c r="Q33" s="152"/>
      <c r="R33" s="152"/>
      <c r="S33" s="152"/>
      <c r="T33" s="152"/>
      <c r="U33" s="152"/>
      <c r="V33" s="152"/>
      <c r="W33" s="163"/>
      <c r="X33" s="152"/>
      <c r="Y33" s="152"/>
      <c r="Z33" s="152"/>
      <c r="AA33" s="133"/>
      <c r="AB33" s="133"/>
      <c r="AC33" s="159"/>
      <c r="AD33" s="133"/>
      <c r="AE33" s="159"/>
      <c r="AF33" s="133"/>
      <c r="AG33" s="133"/>
      <c r="AH33" s="133"/>
      <c r="AI33" s="159"/>
      <c r="AJ33" s="133"/>
      <c r="AK33" s="133"/>
      <c r="AL33" s="133"/>
      <c r="AM33" s="133"/>
      <c r="AN33" s="133"/>
      <c r="AO33" s="133"/>
      <c r="AP33" s="127"/>
      <c r="AQ33" s="127"/>
      <c r="AR33" s="127"/>
      <c r="AS33" s="127"/>
    </row>
    <row r="34" spans="1:45" ht="13.5" customHeight="1">
      <c r="A34" s="149"/>
      <c r="B34" s="155"/>
      <c r="C34" s="156"/>
      <c r="D34" s="152"/>
      <c r="E34" s="158"/>
      <c r="F34" s="152"/>
      <c r="G34" s="152"/>
      <c r="H34" s="157"/>
      <c r="I34" s="152"/>
      <c r="J34" s="152"/>
      <c r="K34" s="152"/>
      <c r="L34" s="152"/>
      <c r="M34" s="152"/>
      <c r="N34" s="152"/>
      <c r="O34" s="152"/>
      <c r="P34" s="158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33"/>
      <c r="AC34" s="159"/>
      <c r="AD34" s="133"/>
      <c r="AE34" s="159"/>
      <c r="AF34" s="133"/>
      <c r="AG34" s="133"/>
      <c r="AH34" s="133"/>
      <c r="AI34" s="159"/>
      <c r="AJ34" s="133"/>
      <c r="AK34" s="159"/>
      <c r="AL34" s="133"/>
      <c r="AM34" s="133"/>
      <c r="AN34" s="133"/>
      <c r="AO34" s="133"/>
      <c r="AP34" s="127"/>
      <c r="AQ34" s="127"/>
      <c r="AR34" s="127"/>
      <c r="AS34" s="127"/>
    </row>
    <row r="35" spans="1:45" ht="13.5" customHeight="1">
      <c r="A35" s="149"/>
      <c r="B35" s="155"/>
      <c r="C35" s="156"/>
      <c r="D35" s="152"/>
      <c r="E35" s="158"/>
      <c r="F35" s="152"/>
      <c r="G35" s="152"/>
      <c r="H35" s="157"/>
      <c r="I35" s="152"/>
      <c r="J35" s="152"/>
      <c r="K35" s="152"/>
      <c r="L35" s="152"/>
      <c r="M35" s="152"/>
      <c r="N35" s="152"/>
      <c r="O35" s="152"/>
      <c r="P35" s="158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33"/>
      <c r="AC35" s="159"/>
      <c r="AD35" s="133"/>
      <c r="AE35" s="159"/>
      <c r="AF35" s="133"/>
      <c r="AG35" s="133"/>
      <c r="AH35" s="133"/>
      <c r="AI35" s="159"/>
      <c r="AJ35" s="133"/>
      <c r="AK35" s="159"/>
      <c r="AL35" s="133"/>
      <c r="AM35" s="133"/>
      <c r="AN35" s="133"/>
      <c r="AO35" s="133"/>
      <c r="AP35" s="127"/>
      <c r="AQ35" s="127"/>
      <c r="AR35" s="127"/>
      <c r="AS35" s="127"/>
    </row>
    <row r="36" spans="1:45">
      <c r="A36" s="127"/>
      <c r="B36" s="131"/>
      <c r="C36" s="15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59"/>
      <c r="U36" s="159"/>
      <c r="V36" s="159"/>
      <c r="W36" s="164"/>
      <c r="X36" s="159"/>
      <c r="Y36" s="159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27"/>
      <c r="AQ36" s="127"/>
      <c r="AR36" s="127"/>
      <c r="AS36" s="127"/>
    </row>
    <row r="37" spans="1:45">
      <c r="A37" s="127"/>
      <c r="B37" s="131"/>
      <c r="C37" s="15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59"/>
      <c r="U37" s="159"/>
      <c r="V37" s="159"/>
      <c r="W37" s="165"/>
      <c r="X37" s="159"/>
      <c r="Y37" s="159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27"/>
      <c r="AQ37" s="127"/>
      <c r="AR37" s="127"/>
      <c r="AS37" s="127"/>
    </row>
    <row r="38" spans="1:45" ht="19.5" customHeight="1">
      <c r="A38" s="127"/>
      <c r="B38" s="131"/>
      <c r="C38" s="132"/>
      <c r="D38" s="208"/>
      <c r="E38" s="208"/>
      <c r="F38" s="208"/>
      <c r="G38" s="208"/>
      <c r="H38" s="208"/>
      <c r="I38" s="208"/>
      <c r="J38" s="208"/>
      <c r="K38" s="208"/>
      <c r="L38" s="208"/>
      <c r="M38" s="208"/>
      <c r="N38" s="208"/>
      <c r="O38" s="208"/>
      <c r="P38" s="208"/>
      <c r="Q38" s="208"/>
      <c r="R38" s="208"/>
      <c r="S38" s="208"/>
      <c r="T38" s="166"/>
      <c r="U38" s="166"/>
      <c r="V38" s="166"/>
      <c r="W38" s="166"/>
      <c r="X38" s="166"/>
      <c r="Y38" s="166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22"/>
      <c r="AQ38" s="127"/>
      <c r="AR38" s="127"/>
      <c r="AS38" s="127"/>
    </row>
    <row r="39" spans="1:45" s="80" customFormat="1" ht="16.5" customHeight="1">
      <c r="A39" s="206"/>
      <c r="B39" s="206"/>
      <c r="C39" s="206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9"/>
      <c r="AA39" s="169"/>
      <c r="AB39" s="169"/>
      <c r="AC39" s="169"/>
      <c r="AD39" s="169"/>
      <c r="AE39" s="169"/>
      <c r="AF39" s="169"/>
      <c r="AG39" s="169"/>
      <c r="AH39" s="169"/>
      <c r="AI39" s="169"/>
      <c r="AJ39" s="169"/>
      <c r="AK39" s="169"/>
      <c r="AL39" s="169"/>
      <c r="AM39" s="169"/>
      <c r="AN39" s="169"/>
      <c r="AO39" s="169"/>
      <c r="AP39" s="169"/>
      <c r="AQ39" s="136"/>
      <c r="AR39" s="136"/>
      <c r="AS39" s="136"/>
    </row>
    <row r="40" spans="1:45" s="83" customFormat="1" ht="105" customHeight="1">
      <c r="A40" s="170"/>
      <c r="B40" s="138"/>
      <c r="C40" s="171"/>
      <c r="D40" s="142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2"/>
      <c r="R40" s="142"/>
      <c r="S40" s="145"/>
      <c r="T40" s="144"/>
      <c r="U40" s="144"/>
      <c r="V40" s="145"/>
      <c r="W40" s="145"/>
      <c r="X40" s="145"/>
      <c r="Y40" s="145"/>
      <c r="Z40" s="147"/>
      <c r="AA40" s="147"/>
      <c r="AB40" s="148"/>
      <c r="AC40" s="148"/>
      <c r="AD40" s="148"/>
      <c r="AE40" s="148"/>
      <c r="AF40" s="148"/>
      <c r="AG40" s="148"/>
      <c r="AH40" s="147"/>
      <c r="AI40" s="148"/>
      <c r="AJ40" s="147"/>
      <c r="AK40" s="148"/>
      <c r="AL40" s="147"/>
      <c r="AM40" s="147"/>
      <c r="AN40" s="147"/>
      <c r="AO40" s="147"/>
      <c r="AP40" s="176"/>
      <c r="AQ40" s="170"/>
      <c r="AR40" s="170"/>
      <c r="AS40" s="170"/>
    </row>
    <row r="41" spans="1:45" s="78" customFormat="1" ht="13.5" customHeight="1">
      <c r="A41" s="133"/>
      <c r="B41" s="150"/>
      <c r="C41" s="151"/>
      <c r="D41" s="152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2"/>
      <c r="R41" s="152"/>
      <c r="S41" s="152"/>
      <c r="T41" s="152"/>
      <c r="U41" s="153"/>
      <c r="V41" s="153"/>
      <c r="W41" s="152"/>
      <c r="X41" s="153"/>
      <c r="Y41" s="167"/>
      <c r="Z41" s="153"/>
      <c r="AA41" s="167"/>
      <c r="AB41" s="167"/>
      <c r="AC41" s="153"/>
      <c r="AD41" s="167"/>
      <c r="AE41" s="167"/>
      <c r="AF41" s="167"/>
      <c r="AG41" s="167"/>
      <c r="AH41" s="167"/>
      <c r="AI41" s="167"/>
      <c r="AJ41" s="167"/>
      <c r="AK41" s="167"/>
      <c r="AL41" s="167"/>
      <c r="AM41" s="167"/>
      <c r="AN41" s="167"/>
      <c r="AO41" s="167"/>
      <c r="AP41" s="167"/>
      <c r="AQ41" s="133"/>
      <c r="AR41" s="133"/>
      <c r="AS41" s="133"/>
    </row>
    <row r="42" spans="1:45" ht="13.5" customHeight="1">
      <c r="A42" s="127"/>
      <c r="B42" s="155"/>
      <c r="C42" s="156"/>
      <c r="D42" s="152"/>
      <c r="E42" s="152"/>
      <c r="F42" s="152"/>
      <c r="G42" s="152"/>
      <c r="H42" s="152"/>
      <c r="I42" s="172"/>
      <c r="J42" s="152"/>
      <c r="K42" s="152"/>
      <c r="L42" s="152"/>
      <c r="M42" s="152"/>
      <c r="N42" s="152"/>
      <c r="O42" s="152"/>
      <c r="P42" s="158"/>
      <c r="Q42" s="152"/>
      <c r="R42" s="152"/>
      <c r="S42" s="152"/>
      <c r="T42" s="152"/>
      <c r="U42" s="152"/>
      <c r="V42" s="152"/>
      <c r="W42" s="152"/>
      <c r="X42" s="152"/>
      <c r="Y42" s="152"/>
      <c r="Z42" s="167"/>
      <c r="AA42" s="167"/>
      <c r="AB42" s="167"/>
      <c r="AC42" s="167"/>
      <c r="AD42" s="152"/>
      <c r="AE42" s="152"/>
      <c r="AF42" s="152"/>
      <c r="AG42" s="152"/>
      <c r="AH42" s="167"/>
      <c r="AI42" s="167"/>
      <c r="AJ42" s="167"/>
      <c r="AK42" s="167"/>
      <c r="AL42" s="167"/>
      <c r="AM42" s="152"/>
      <c r="AN42" s="167"/>
      <c r="AO42" s="152"/>
      <c r="AP42" s="167"/>
      <c r="AQ42" s="127"/>
      <c r="AR42" s="127"/>
      <c r="AS42" s="127"/>
    </row>
    <row r="43" spans="1:45" ht="13.5" customHeight="1">
      <c r="A43" s="127"/>
      <c r="B43" s="155"/>
      <c r="C43" s="156"/>
      <c r="D43" s="152"/>
      <c r="E43" s="152"/>
      <c r="F43" s="152"/>
      <c r="G43" s="152"/>
      <c r="H43" s="152"/>
      <c r="I43" s="172"/>
      <c r="J43" s="152"/>
      <c r="K43" s="152"/>
      <c r="L43" s="152"/>
      <c r="M43" s="152"/>
      <c r="N43" s="152"/>
      <c r="O43" s="152"/>
      <c r="P43" s="158"/>
      <c r="Q43" s="152"/>
      <c r="R43" s="152"/>
      <c r="S43" s="152"/>
      <c r="T43" s="152"/>
      <c r="U43" s="152"/>
      <c r="V43" s="152"/>
      <c r="W43" s="152"/>
      <c r="X43" s="152"/>
      <c r="Y43" s="152"/>
      <c r="Z43" s="167"/>
      <c r="AA43" s="167"/>
      <c r="AB43" s="167"/>
      <c r="AC43" s="167"/>
      <c r="AD43" s="152"/>
      <c r="AE43" s="152"/>
      <c r="AF43" s="152"/>
      <c r="AG43" s="152"/>
      <c r="AH43" s="167"/>
      <c r="AI43" s="167"/>
      <c r="AJ43" s="167"/>
      <c r="AK43" s="167"/>
      <c r="AL43" s="167"/>
      <c r="AM43" s="152"/>
      <c r="AN43" s="167"/>
      <c r="AO43" s="152"/>
      <c r="AP43" s="167"/>
      <c r="AQ43" s="127"/>
      <c r="AR43" s="127"/>
      <c r="AS43" s="127"/>
    </row>
    <row r="44" spans="1:45" ht="13.5" customHeight="1">
      <c r="A44" s="127"/>
      <c r="B44" s="155"/>
      <c r="C44" s="156"/>
      <c r="D44" s="152"/>
      <c r="E44" s="152"/>
      <c r="F44" s="152"/>
      <c r="G44" s="152"/>
      <c r="H44" s="152"/>
      <c r="I44" s="172"/>
      <c r="J44" s="152"/>
      <c r="K44" s="152"/>
      <c r="L44" s="152"/>
      <c r="M44" s="152"/>
      <c r="N44" s="152"/>
      <c r="O44" s="152"/>
      <c r="P44" s="158"/>
      <c r="Q44" s="152"/>
      <c r="R44" s="152"/>
      <c r="S44" s="152"/>
      <c r="T44" s="152"/>
      <c r="U44" s="152"/>
      <c r="V44" s="152"/>
      <c r="W44" s="152"/>
      <c r="X44" s="152"/>
      <c r="Y44" s="152"/>
      <c r="Z44" s="167"/>
      <c r="AA44" s="167"/>
      <c r="AB44" s="167"/>
      <c r="AC44" s="167"/>
      <c r="AD44" s="152"/>
      <c r="AE44" s="152"/>
      <c r="AF44" s="152"/>
      <c r="AG44" s="152"/>
      <c r="AH44" s="167"/>
      <c r="AI44" s="167"/>
      <c r="AJ44" s="167"/>
      <c r="AK44" s="167"/>
      <c r="AL44" s="167"/>
      <c r="AM44" s="152"/>
      <c r="AN44" s="167"/>
      <c r="AO44" s="152"/>
      <c r="AP44" s="167"/>
      <c r="AQ44" s="127"/>
      <c r="AR44" s="127"/>
      <c r="AS44" s="127"/>
    </row>
    <row r="45" spans="1:45" ht="13.5" customHeight="1">
      <c r="A45" s="127"/>
      <c r="B45" s="155"/>
      <c r="C45" s="156"/>
      <c r="D45" s="152"/>
      <c r="E45" s="152"/>
      <c r="F45" s="152"/>
      <c r="G45" s="152"/>
      <c r="H45" s="152"/>
      <c r="I45" s="173"/>
      <c r="J45" s="152"/>
      <c r="K45" s="152"/>
      <c r="L45" s="152"/>
      <c r="M45" s="152"/>
      <c r="N45" s="152"/>
      <c r="O45" s="152"/>
      <c r="P45" s="158"/>
      <c r="Q45" s="152"/>
      <c r="R45" s="152"/>
      <c r="S45" s="152"/>
      <c r="T45" s="152"/>
      <c r="U45" s="152"/>
      <c r="V45" s="152"/>
      <c r="W45" s="152"/>
      <c r="X45" s="152"/>
      <c r="Y45" s="152"/>
      <c r="Z45" s="167"/>
      <c r="AA45" s="167"/>
      <c r="AB45" s="167"/>
      <c r="AC45" s="167"/>
      <c r="AD45" s="152"/>
      <c r="AE45" s="152"/>
      <c r="AF45" s="152"/>
      <c r="AG45" s="152"/>
      <c r="AH45" s="167"/>
      <c r="AI45" s="167"/>
      <c r="AJ45" s="167"/>
      <c r="AK45" s="167"/>
      <c r="AL45" s="167"/>
      <c r="AM45" s="152"/>
      <c r="AN45" s="167"/>
      <c r="AO45" s="152"/>
      <c r="AP45" s="167"/>
      <c r="AQ45" s="127"/>
      <c r="AR45" s="127"/>
      <c r="AS45" s="127"/>
    </row>
    <row r="46" spans="1:45" ht="13.5" customHeight="1">
      <c r="A46" s="127"/>
      <c r="B46" s="155"/>
      <c r="C46" s="156"/>
      <c r="D46" s="152"/>
      <c r="E46" s="152"/>
      <c r="F46" s="152"/>
      <c r="G46" s="152"/>
      <c r="H46" s="152"/>
      <c r="I46" s="173"/>
      <c r="J46" s="152"/>
      <c r="K46" s="152"/>
      <c r="L46" s="152"/>
      <c r="M46" s="152"/>
      <c r="N46" s="152"/>
      <c r="O46" s="152"/>
      <c r="P46" s="158"/>
      <c r="Q46" s="152"/>
      <c r="R46" s="152"/>
      <c r="S46" s="152"/>
      <c r="T46" s="152"/>
      <c r="U46" s="152"/>
      <c r="V46" s="152"/>
      <c r="W46" s="152"/>
      <c r="X46" s="152"/>
      <c r="Y46" s="152"/>
      <c r="Z46" s="167"/>
      <c r="AA46" s="167"/>
      <c r="AB46" s="167"/>
      <c r="AC46" s="167"/>
      <c r="AD46" s="152"/>
      <c r="AE46" s="152"/>
      <c r="AF46" s="152"/>
      <c r="AG46" s="152"/>
      <c r="AH46" s="167"/>
      <c r="AI46" s="167"/>
      <c r="AJ46" s="167"/>
      <c r="AK46" s="167"/>
      <c r="AL46" s="167"/>
      <c r="AM46" s="152"/>
      <c r="AN46" s="167"/>
      <c r="AO46" s="152"/>
      <c r="AP46" s="167"/>
      <c r="AQ46" s="127"/>
      <c r="AR46" s="127"/>
      <c r="AS46" s="127"/>
    </row>
    <row r="47" spans="1:45" ht="13.5" customHeight="1">
      <c r="A47" s="127"/>
      <c r="B47" s="155"/>
      <c r="C47" s="156"/>
      <c r="D47" s="158"/>
      <c r="E47" s="152"/>
      <c r="F47" s="152"/>
      <c r="G47" s="152"/>
      <c r="H47" s="152"/>
      <c r="I47" s="173"/>
      <c r="J47" s="152"/>
      <c r="K47" s="152"/>
      <c r="L47" s="152"/>
      <c r="M47" s="152"/>
      <c r="N47" s="152"/>
      <c r="O47" s="152"/>
      <c r="P47" s="158"/>
      <c r="Q47" s="152"/>
      <c r="R47" s="152"/>
      <c r="S47" s="152"/>
      <c r="T47" s="152"/>
      <c r="U47" s="152"/>
      <c r="V47" s="152"/>
      <c r="W47" s="152"/>
      <c r="X47" s="152"/>
      <c r="Y47" s="152"/>
      <c r="Z47" s="167"/>
      <c r="AA47" s="167"/>
      <c r="AB47" s="167"/>
      <c r="AC47" s="167"/>
      <c r="AD47" s="152"/>
      <c r="AE47" s="152"/>
      <c r="AF47" s="152"/>
      <c r="AG47" s="152"/>
      <c r="AH47" s="167"/>
      <c r="AI47" s="167"/>
      <c r="AJ47" s="167"/>
      <c r="AK47" s="167"/>
      <c r="AL47" s="167"/>
      <c r="AM47" s="152"/>
      <c r="AN47" s="167"/>
      <c r="AO47" s="152"/>
      <c r="AP47" s="167"/>
      <c r="AQ47" s="127"/>
      <c r="AR47" s="127"/>
      <c r="AS47" s="127"/>
    </row>
    <row r="48" spans="1:45" ht="13.5" customHeight="1">
      <c r="A48" s="127"/>
      <c r="B48" s="155"/>
      <c r="C48" s="156"/>
      <c r="D48" s="158"/>
      <c r="E48" s="152"/>
      <c r="F48" s="152"/>
      <c r="G48" s="152"/>
      <c r="H48" s="152"/>
      <c r="I48" s="172"/>
      <c r="J48" s="152"/>
      <c r="K48" s="152"/>
      <c r="L48" s="152"/>
      <c r="M48" s="152"/>
      <c r="N48" s="152"/>
      <c r="O48" s="152"/>
      <c r="P48" s="158"/>
      <c r="Q48" s="152"/>
      <c r="R48" s="152"/>
      <c r="S48" s="152"/>
      <c r="T48" s="152"/>
      <c r="U48" s="152"/>
      <c r="V48" s="152"/>
      <c r="W48" s="152"/>
      <c r="X48" s="152"/>
      <c r="Y48" s="152"/>
      <c r="Z48" s="167"/>
      <c r="AA48" s="167"/>
      <c r="AB48" s="167"/>
      <c r="AC48" s="167"/>
      <c r="AD48" s="152"/>
      <c r="AE48" s="152"/>
      <c r="AF48" s="152"/>
      <c r="AG48" s="152"/>
      <c r="AH48" s="167"/>
      <c r="AI48" s="167"/>
      <c r="AJ48" s="167"/>
      <c r="AK48" s="167"/>
      <c r="AL48" s="167"/>
      <c r="AM48" s="152"/>
      <c r="AN48" s="167"/>
      <c r="AO48" s="152"/>
      <c r="AP48" s="167"/>
      <c r="AQ48" s="127"/>
      <c r="AR48" s="127"/>
      <c r="AS48" s="127"/>
    </row>
    <row r="49" spans="1:45" ht="13.5" customHeight="1">
      <c r="A49" s="127"/>
      <c r="B49" s="155"/>
      <c r="C49" s="156"/>
      <c r="D49" s="158"/>
      <c r="E49" s="152"/>
      <c r="F49" s="152"/>
      <c r="G49" s="152"/>
      <c r="H49" s="152"/>
      <c r="I49" s="173"/>
      <c r="J49" s="152"/>
      <c r="K49" s="152"/>
      <c r="L49" s="152"/>
      <c r="M49" s="152"/>
      <c r="N49" s="152"/>
      <c r="O49" s="152"/>
      <c r="P49" s="158"/>
      <c r="Q49" s="152"/>
      <c r="R49" s="152"/>
      <c r="S49" s="152"/>
      <c r="T49" s="152"/>
      <c r="U49" s="152"/>
      <c r="V49" s="158"/>
      <c r="W49" s="152"/>
      <c r="X49" s="152"/>
      <c r="Y49" s="152"/>
      <c r="Z49" s="167"/>
      <c r="AA49" s="167"/>
      <c r="AB49" s="167"/>
      <c r="AC49" s="167"/>
      <c r="AD49" s="152"/>
      <c r="AE49" s="152"/>
      <c r="AF49" s="152"/>
      <c r="AG49" s="152"/>
      <c r="AH49" s="167"/>
      <c r="AI49" s="167"/>
      <c r="AJ49" s="167"/>
      <c r="AK49" s="167"/>
      <c r="AL49" s="174"/>
      <c r="AM49" s="152"/>
      <c r="AN49" s="167"/>
      <c r="AO49" s="152"/>
      <c r="AP49" s="167"/>
      <c r="AQ49" s="127"/>
      <c r="AR49" s="127"/>
      <c r="AS49" s="127"/>
    </row>
    <row r="50" spans="1:45" ht="13.5" customHeight="1">
      <c r="A50" s="127"/>
      <c r="B50" s="155"/>
      <c r="C50" s="156"/>
      <c r="D50" s="158"/>
      <c r="E50" s="152"/>
      <c r="F50" s="152"/>
      <c r="G50" s="152"/>
      <c r="H50" s="152"/>
      <c r="I50" s="172"/>
      <c r="J50" s="152"/>
      <c r="K50" s="152"/>
      <c r="L50" s="152"/>
      <c r="M50" s="152"/>
      <c r="N50" s="152"/>
      <c r="O50" s="152"/>
      <c r="P50" s="158"/>
      <c r="Q50" s="152"/>
      <c r="R50" s="152"/>
      <c r="S50" s="152"/>
      <c r="T50" s="152"/>
      <c r="U50" s="152"/>
      <c r="V50" s="158"/>
      <c r="W50" s="152"/>
      <c r="X50" s="152"/>
      <c r="Y50" s="152"/>
      <c r="Z50" s="167"/>
      <c r="AA50" s="167"/>
      <c r="AB50" s="167"/>
      <c r="AC50" s="167"/>
      <c r="AD50" s="152"/>
      <c r="AE50" s="152"/>
      <c r="AF50" s="152"/>
      <c r="AG50" s="152"/>
      <c r="AH50" s="167"/>
      <c r="AI50" s="167"/>
      <c r="AJ50" s="167"/>
      <c r="AK50" s="167"/>
      <c r="AL50" s="167"/>
      <c r="AM50" s="152"/>
      <c r="AN50" s="167"/>
      <c r="AO50" s="152"/>
      <c r="AP50" s="167"/>
      <c r="AQ50" s="127"/>
      <c r="AR50" s="127"/>
      <c r="AS50" s="127"/>
    </row>
    <row r="51" spans="1:45">
      <c r="A51" s="127"/>
      <c r="B51" s="131"/>
      <c r="C51" s="151"/>
      <c r="D51" s="131"/>
      <c r="E51" s="131"/>
      <c r="F51" s="131"/>
      <c r="G51" s="175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59"/>
      <c r="U51" s="159"/>
      <c r="V51" s="164"/>
      <c r="W51" s="159"/>
      <c r="X51" s="159"/>
      <c r="Y51" s="159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27"/>
      <c r="AQ51" s="127"/>
      <c r="AR51" s="127"/>
      <c r="AS51" s="127"/>
    </row>
    <row r="52" spans="1:45">
      <c r="B52" s="76"/>
      <c r="C52" s="84"/>
      <c r="D52" s="76"/>
      <c r="E52" s="76"/>
      <c r="F52" s="76"/>
      <c r="G52" s="87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86"/>
      <c r="U52" s="86"/>
      <c r="V52" s="86"/>
      <c r="W52" s="86"/>
      <c r="X52" s="86"/>
      <c r="Y52" s="86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133"/>
      <c r="AK52" s="133"/>
      <c r="AL52" s="133"/>
      <c r="AM52" s="133"/>
      <c r="AN52" s="133"/>
      <c r="AO52" s="133"/>
      <c r="AP52" s="127"/>
      <c r="AQ52" s="127"/>
      <c r="AR52" s="127"/>
      <c r="AS52" s="127"/>
    </row>
    <row r="53" spans="1:45">
      <c r="B53" s="76"/>
      <c r="C53" s="84"/>
      <c r="D53" s="76"/>
      <c r="E53" s="76"/>
      <c r="F53" s="76"/>
      <c r="G53" s="87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86"/>
      <c r="U53" s="86"/>
      <c r="V53" s="86"/>
      <c r="W53" s="86"/>
      <c r="X53" s="86"/>
      <c r="Y53" s="86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133"/>
      <c r="AK53" s="133"/>
      <c r="AL53" s="133"/>
      <c r="AM53" s="133"/>
      <c r="AN53" s="133"/>
      <c r="AO53" s="133"/>
      <c r="AP53" s="127"/>
      <c r="AQ53" s="127"/>
      <c r="AR53" s="127"/>
      <c r="AS53" s="127"/>
    </row>
    <row r="54" spans="1:45">
      <c r="B54" s="76"/>
      <c r="C54" s="84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86"/>
      <c r="U54" s="86"/>
      <c r="V54" s="86"/>
      <c r="W54" s="86"/>
      <c r="X54" s="86"/>
      <c r="Y54" s="86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</row>
    <row r="55" spans="1:45">
      <c r="A55" s="127"/>
      <c r="B55" s="127"/>
      <c r="C55" s="127"/>
      <c r="D55" s="124"/>
      <c r="E55" s="124"/>
      <c r="F55" s="124"/>
      <c r="G55" s="124"/>
      <c r="H55" s="124"/>
      <c r="I55" s="124"/>
      <c r="J55" s="124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</row>
    <row r="56" spans="1:45">
      <c r="A56" s="127"/>
      <c r="B56" s="131"/>
      <c r="C56" s="15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59"/>
      <c r="U56" s="159"/>
      <c r="V56" s="159"/>
      <c r="W56" s="159"/>
      <c r="X56" s="159"/>
      <c r="Y56" s="159"/>
      <c r="Z56" s="133"/>
      <c r="AA56" s="133"/>
      <c r="AB56" s="133"/>
      <c r="AC56" s="133"/>
      <c r="AD56" s="133"/>
      <c r="AE56" s="133"/>
      <c r="AF56" s="133"/>
      <c r="AG56" s="133"/>
      <c r="AH56" s="78"/>
      <c r="AI56" s="78"/>
      <c r="AJ56" s="78"/>
      <c r="AK56" s="78"/>
      <c r="AL56" s="78"/>
      <c r="AM56" s="78"/>
      <c r="AN56" s="78"/>
      <c r="AO56" s="78"/>
    </row>
    <row r="57" spans="1:45">
      <c r="A57" s="127"/>
      <c r="B57" s="131"/>
      <c r="C57" s="15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59"/>
      <c r="U57" s="159"/>
      <c r="V57" s="159"/>
      <c r="W57" s="159"/>
      <c r="X57" s="159"/>
      <c r="Y57" s="159"/>
      <c r="Z57" s="133"/>
      <c r="AA57" s="133"/>
      <c r="AB57" s="133"/>
      <c r="AC57" s="133"/>
      <c r="AD57" s="133"/>
      <c r="AE57" s="133"/>
      <c r="AF57" s="133"/>
      <c r="AG57" s="133"/>
      <c r="AH57" s="78"/>
      <c r="AI57" s="78"/>
      <c r="AJ57" s="78"/>
      <c r="AK57" s="78"/>
      <c r="AL57" s="78"/>
      <c r="AM57" s="78"/>
      <c r="AN57" s="78"/>
      <c r="AO57" s="78"/>
    </row>
    <row r="58" spans="1:45">
      <c r="A58" s="209"/>
      <c r="B58" s="210"/>
      <c r="C58" s="210"/>
      <c r="D58" s="210"/>
      <c r="E58" s="210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59"/>
      <c r="U58" s="159"/>
      <c r="V58" s="159"/>
      <c r="W58" s="159"/>
      <c r="X58" s="159"/>
      <c r="Y58" s="159"/>
      <c r="Z58" s="133"/>
      <c r="AA58" s="133"/>
      <c r="AB58" s="133"/>
      <c r="AC58" s="133"/>
      <c r="AD58" s="133"/>
      <c r="AE58" s="133"/>
      <c r="AF58" s="133"/>
      <c r="AG58" s="133"/>
      <c r="AH58" s="78"/>
      <c r="AI58" s="78"/>
      <c r="AJ58" s="78"/>
      <c r="AK58" s="78"/>
      <c r="AL58" s="78"/>
      <c r="AM58" s="78"/>
      <c r="AN58" s="78"/>
      <c r="AO58" s="78"/>
    </row>
    <row r="59" spans="1:45">
      <c r="A59" s="210"/>
      <c r="B59" s="210"/>
      <c r="C59" s="210"/>
      <c r="D59" s="210"/>
      <c r="E59" s="210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59"/>
      <c r="U59" s="159"/>
      <c r="V59" s="159"/>
      <c r="W59" s="159"/>
      <c r="X59" s="159"/>
      <c r="Y59" s="159"/>
      <c r="Z59" s="133"/>
      <c r="AA59" s="133"/>
      <c r="AB59" s="133"/>
      <c r="AC59" s="133"/>
      <c r="AD59" s="133"/>
      <c r="AE59" s="133"/>
      <c r="AF59" s="133"/>
      <c r="AG59" s="133"/>
      <c r="AH59" s="78"/>
      <c r="AI59" s="78"/>
      <c r="AJ59" s="78"/>
      <c r="AK59" s="78"/>
      <c r="AL59" s="78"/>
      <c r="AM59" s="78"/>
      <c r="AN59" s="78"/>
      <c r="AO59" s="78"/>
    </row>
    <row r="60" spans="1:45">
      <c r="A60" s="127"/>
      <c r="B60" s="131"/>
      <c r="C60" s="15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59"/>
      <c r="U60" s="159"/>
      <c r="V60" s="159"/>
      <c r="W60" s="159"/>
      <c r="X60" s="159"/>
      <c r="Y60" s="159"/>
      <c r="Z60" s="133"/>
      <c r="AA60" s="133"/>
      <c r="AB60" s="133"/>
      <c r="AC60" s="133"/>
      <c r="AD60" s="133"/>
      <c r="AE60" s="133"/>
      <c r="AF60" s="133"/>
      <c r="AG60" s="133"/>
      <c r="AH60" s="78"/>
      <c r="AI60" s="78"/>
      <c r="AJ60" s="78"/>
      <c r="AK60" s="78"/>
      <c r="AL60" s="78"/>
      <c r="AM60" s="78"/>
      <c r="AN60" s="78"/>
      <c r="AO60" s="78"/>
    </row>
    <row r="61" spans="1:45" ht="19.5" customHeight="1">
      <c r="A61" s="127"/>
      <c r="B61" s="131"/>
      <c r="C61" s="132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133"/>
      <c r="AA61" s="133"/>
      <c r="AB61" s="133"/>
      <c r="AC61" s="133"/>
      <c r="AD61" s="133"/>
      <c r="AE61" s="133"/>
      <c r="AF61" s="133"/>
      <c r="AG61" s="133"/>
      <c r="AH61" s="77"/>
      <c r="AI61" s="77"/>
      <c r="AJ61" s="77"/>
      <c r="AK61" s="77"/>
      <c r="AL61" s="77"/>
      <c r="AM61" s="78"/>
      <c r="AN61" s="78"/>
      <c r="AO61" s="78"/>
    </row>
    <row r="62" spans="1:45" s="80" customFormat="1" ht="16.5" customHeight="1">
      <c r="A62" s="206"/>
      <c r="B62" s="206"/>
      <c r="C62" s="206"/>
      <c r="D62" s="134"/>
      <c r="E62" s="134"/>
      <c r="F62" s="134"/>
      <c r="G62" s="134"/>
      <c r="H62" s="134"/>
      <c r="I62" s="134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4"/>
      <c r="W62" s="134"/>
      <c r="X62" s="134"/>
      <c r="Y62" s="134"/>
      <c r="Z62" s="136"/>
      <c r="AA62" s="136"/>
      <c r="AB62" s="136"/>
      <c r="AC62" s="136"/>
      <c r="AD62" s="136"/>
      <c r="AE62" s="136"/>
      <c r="AF62" s="136"/>
      <c r="AG62" s="136"/>
      <c r="AH62" s="79"/>
      <c r="AI62" s="79"/>
      <c r="AJ62" s="79"/>
      <c r="AK62" s="79"/>
      <c r="AL62" s="79"/>
    </row>
    <row r="63" spans="1:45" s="83" customFormat="1" ht="93.75" customHeight="1">
      <c r="A63" s="137"/>
      <c r="B63" s="138"/>
      <c r="C63" s="139"/>
      <c r="D63" s="140"/>
      <c r="E63" s="141"/>
      <c r="F63" s="142"/>
      <c r="G63" s="140"/>
      <c r="H63" s="141"/>
      <c r="I63" s="140"/>
      <c r="J63" s="142"/>
      <c r="K63" s="143"/>
      <c r="L63" s="141"/>
      <c r="M63" s="143"/>
      <c r="N63" s="144"/>
      <c r="O63" s="143"/>
      <c r="P63" s="142"/>
      <c r="Q63" s="140"/>
      <c r="R63" s="142"/>
      <c r="S63" s="145"/>
      <c r="T63" s="144"/>
      <c r="U63" s="144"/>
      <c r="V63" s="145"/>
      <c r="W63" s="146"/>
      <c r="X63" s="146"/>
      <c r="Y63" s="145"/>
      <c r="Z63" s="147"/>
      <c r="AA63" s="147"/>
      <c r="AB63" s="148"/>
      <c r="AC63" s="148"/>
      <c r="AD63" s="148"/>
      <c r="AE63" s="148"/>
      <c r="AF63" s="148"/>
      <c r="AG63" s="148"/>
      <c r="AH63" s="81"/>
      <c r="AI63" s="81"/>
      <c r="AJ63" s="81"/>
      <c r="AK63" s="81"/>
      <c r="AL63" s="81"/>
      <c r="AM63" s="82"/>
      <c r="AN63" s="82"/>
      <c r="AO63" s="82"/>
    </row>
    <row r="64" spans="1:45" s="78" customFormat="1" ht="13.5" customHeight="1">
      <c r="A64" s="149"/>
      <c r="B64" s="150"/>
      <c r="C64" s="151"/>
      <c r="D64" s="152"/>
      <c r="E64" s="153"/>
      <c r="F64" s="153"/>
      <c r="G64" s="153"/>
      <c r="H64" s="153"/>
      <c r="I64" s="153"/>
      <c r="J64" s="152"/>
      <c r="K64" s="153"/>
      <c r="L64" s="152"/>
      <c r="M64" s="152"/>
      <c r="N64" s="152"/>
      <c r="O64" s="153"/>
      <c r="P64" s="153"/>
      <c r="Q64" s="152"/>
      <c r="R64" s="152"/>
      <c r="S64" s="152"/>
      <c r="T64" s="153"/>
      <c r="U64" s="153"/>
      <c r="V64" s="153"/>
      <c r="W64" s="152"/>
      <c r="X64" s="152"/>
      <c r="Y64" s="152"/>
      <c r="Z64" s="152"/>
      <c r="AA64" s="133"/>
      <c r="AB64" s="133"/>
      <c r="AC64" s="133"/>
      <c r="AD64" s="133"/>
      <c r="AE64" s="133"/>
      <c r="AF64" s="133"/>
      <c r="AG64" s="133"/>
      <c r="AH64" s="77"/>
      <c r="AI64" s="77"/>
      <c r="AJ64" s="77"/>
      <c r="AK64" s="77"/>
      <c r="AL64" s="77"/>
    </row>
    <row r="65" spans="1:41" ht="13.5" customHeight="1">
      <c r="A65" s="160"/>
      <c r="B65" s="155"/>
      <c r="C65" s="156"/>
      <c r="D65" s="152"/>
      <c r="E65" s="152"/>
      <c r="F65" s="152"/>
      <c r="G65" s="152"/>
      <c r="H65" s="157"/>
      <c r="I65" s="152"/>
      <c r="J65" s="152"/>
      <c r="K65" s="152"/>
      <c r="L65" s="152"/>
      <c r="M65" s="152"/>
      <c r="N65" s="152"/>
      <c r="O65" s="152"/>
      <c r="P65" s="158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33"/>
      <c r="AC65" s="159"/>
      <c r="AD65" s="133"/>
      <c r="AE65" s="159"/>
      <c r="AF65" s="133"/>
      <c r="AG65" s="133"/>
      <c r="AH65" s="73"/>
      <c r="AI65" s="85"/>
      <c r="AJ65" s="77"/>
      <c r="AK65" s="77"/>
      <c r="AL65" s="77"/>
      <c r="AM65" s="78"/>
      <c r="AN65" s="78"/>
      <c r="AO65" s="78"/>
    </row>
    <row r="66" spans="1:41" ht="13.5" customHeight="1">
      <c r="A66" s="160"/>
      <c r="B66" s="155"/>
      <c r="C66" s="156"/>
      <c r="D66" s="152"/>
      <c r="E66" s="152"/>
      <c r="F66" s="152"/>
      <c r="G66" s="152"/>
      <c r="H66" s="157"/>
      <c r="I66" s="152"/>
      <c r="J66" s="152"/>
      <c r="K66" s="152"/>
      <c r="L66" s="152"/>
      <c r="M66" s="152"/>
      <c r="N66" s="152"/>
      <c r="O66" s="152"/>
      <c r="P66" s="158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33"/>
      <c r="AC66" s="159"/>
      <c r="AD66" s="133"/>
      <c r="AE66" s="159"/>
      <c r="AF66" s="133"/>
      <c r="AG66" s="133"/>
      <c r="AH66" s="73"/>
      <c r="AI66" s="85"/>
      <c r="AJ66" s="77"/>
      <c r="AK66" s="77"/>
      <c r="AL66" s="77"/>
      <c r="AM66" s="78"/>
      <c r="AN66" s="78"/>
      <c r="AO66" s="78"/>
    </row>
    <row r="67" spans="1:41" ht="13.5" customHeight="1">
      <c r="A67" s="160"/>
      <c r="B67" s="155"/>
      <c r="C67" s="156"/>
      <c r="D67" s="152"/>
      <c r="E67" s="152"/>
      <c r="F67" s="152"/>
      <c r="G67" s="152"/>
      <c r="H67" s="157"/>
      <c r="I67" s="152"/>
      <c r="J67" s="152"/>
      <c r="K67" s="152"/>
      <c r="L67" s="152"/>
      <c r="M67" s="152"/>
      <c r="N67" s="152"/>
      <c r="O67" s="152"/>
      <c r="P67" s="158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33"/>
      <c r="AC67" s="159"/>
      <c r="AD67" s="133"/>
      <c r="AE67" s="159"/>
      <c r="AF67" s="133"/>
      <c r="AG67" s="133"/>
      <c r="AH67" s="77"/>
      <c r="AI67" s="85"/>
      <c r="AJ67" s="77"/>
      <c r="AK67" s="85"/>
      <c r="AL67" s="77"/>
      <c r="AM67" s="78"/>
      <c r="AN67" s="78"/>
      <c r="AO67" s="78"/>
    </row>
    <row r="68" spans="1:41">
      <c r="A68" s="127"/>
      <c r="B68" s="131"/>
      <c r="C68" s="15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59"/>
      <c r="U68" s="159"/>
      <c r="V68" s="159"/>
      <c r="W68" s="159"/>
      <c r="X68" s="159"/>
      <c r="Y68" s="159"/>
      <c r="Z68" s="133"/>
      <c r="AA68" s="133"/>
      <c r="AB68" s="133"/>
      <c r="AC68" s="133"/>
      <c r="AD68" s="133"/>
      <c r="AE68" s="133"/>
      <c r="AF68" s="133"/>
      <c r="AG68" s="133"/>
      <c r="AH68" s="78"/>
      <c r="AI68" s="78"/>
      <c r="AJ68" s="78"/>
      <c r="AK68" s="78"/>
      <c r="AL68" s="78"/>
      <c r="AM68" s="78"/>
      <c r="AN68" s="78"/>
      <c r="AO68" s="78"/>
    </row>
    <row r="69" spans="1:41">
      <c r="A69" s="127"/>
      <c r="B69" s="131"/>
      <c r="C69" s="15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59"/>
      <c r="U69" s="159"/>
      <c r="V69" s="159"/>
      <c r="W69" s="159"/>
      <c r="X69" s="159"/>
      <c r="Y69" s="159"/>
      <c r="Z69" s="133"/>
      <c r="AA69" s="133"/>
      <c r="AB69" s="133"/>
      <c r="AC69" s="133"/>
      <c r="AD69" s="133"/>
      <c r="AE69" s="133"/>
      <c r="AF69" s="133"/>
      <c r="AG69" s="133"/>
      <c r="AH69" s="78"/>
      <c r="AI69" s="78"/>
      <c r="AJ69" s="78"/>
      <c r="AK69" s="78"/>
      <c r="AL69" s="78"/>
      <c r="AM69" s="78"/>
      <c r="AN69" s="78"/>
      <c r="AO69" s="78"/>
    </row>
    <row r="70" spans="1:41">
      <c r="A70" s="127"/>
      <c r="B70" s="131"/>
      <c r="C70" s="15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59"/>
      <c r="U70" s="159"/>
      <c r="V70" s="159"/>
      <c r="W70" s="159"/>
      <c r="X70" s="159"/>
      <c r="Y70" s="159"/>
      <c r="Z70" s="133"/>
      <c r="AA70" s="133"/>
      <c r="AB70" s="133"/>
      <c r="AC70" s="133"/>
      <c r="AD70" s="133"/>
      <c r="AE70" s="133"/>
      <c r="AF70" s="133"/>
      <c r="AG70" s="133"/>
      <c r="AH70" s="78"/>
      <c r="AI70" s="78"/>
      <c r="AJ70" s="78"/>
      <c r="AK70" s="78"/>
      <c r="AL70" s="78"/>
      <c r="AM70" s="78"/>
      <c r="AN70" s="78"/>
      <c r="AO70" s="78"/>
    </row>
    <row r="71" spans="1:41">
      <c r="A71" s="127"/>
      <c r="B71" s="131"/>
      <c r="C71" s="15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59"/>
      <c r="U71" s="159"/>
      <c r="V71" s="159"/>
      <c r="W71" s="159"/>
      <c r="X71" s="159"/>
      <c r="Y71" s="159"/>
      <c r="Z71" s="133"/>
      <c r="AA71" s="133"/>
      <c r="AB71" s="133"/>
      <c r="AC71" s="133"/>
      <c r="AD71" s="133"/>
      <c r="AE71" s="133"/>
      <c r="AF71" s="133"/>
      <c r="AG71" s="133"/>
      <c r="AH71" s="78"/>
      <c r="AI71" s="78"/>
      <c r="AJ71" s="78"/>
      <c r="AK71" s="78"/>
      <c r="AL71" s="78"/>
      <c r="AM71" s="78"/>
      <c r="AN71" s="78"/>
      <c r="AO71" s="78"/>
    </row>
    <row r="72" spans="1:41">
      <c r="B72" s="76"/>
      <c r="C72" s="84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86"/>
      <c r="U72" s="86"/>
      <c r="V72" s="86"/>
      <c r="W72" s="86"/>
      <c r="X72" s="86"/>
      <c r="Y72" s="86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</row>
  </sheetData>
  <mergeCells count="7">
    <mergeCell ref="D61:Y61"/>
    <mergeCell ref="A62:C62"/>
    <mergeCell ref="B2:K2"/>
    <mergeCell ref="D38:S38"/>
    <mergeCell ref="A39:C39"/>
    <mergeCell ref="A58:E59"/>
    <mergeCell ref="A10:K13"/>
  </mergeCells>
  <phoneticPr fontId="26" type="noConversion"/>
  <hyperlinks>
    <hyperlink ref="A1" location="TCS!A1" display="戻る" xr:uid="{1A881F22-1537-41F5-8DD8-CEAA91C71CC7}"/>
  </hyperlinks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9945-C4E5-45FD-83DC-8615F970A8F6}">
  <dimension ref="A1:Z324"/>
  <sheetViews>
    <sheetView showGridLines="0" workbookViewId="0">
      <pane ySplit="3" topLeftCell="A4" activePane="bottomLeft" state="frozen"/>
      <selection pane="bottomLeft"/>
    </sheetView>
  </sheetViews>
  <sheetFormatPr defaultColWidth="9" defaultRowHeight="15"/>
  <cols>
    <col min="1" max="1" width="9.7265625" style="34" customWidth="1"/>
    <col min="2" max="2" width="7.453125" style="34" customWidth="1"/>
    <col min="3" max="3" width="9" style="34"/>
    <col min="4" max="4" width="16.54296875" style="35" customWidth="1"/>
    <col min="5" max="5" width="22.54296875" style="35" customWidth="1"/>
    <col min="6" max="6" width="34.81640625" style="35" customWidth="1"/>
    <col min="7" max="7" width="11.7265625" style="35" customWidth="1"/>
    <col min="8" max="11" width="9" style="35"/>
    <col min="12" max="12" width="29.453125" style="35" customWidth="1"/>
    <col min="13" max="13" width="13.54296875" style="35" customWidth="1"/>
    <col min="14" max="16384" width="9" style="34"/>
  </cols>
  <sheetData>
    <row r="1" spans="1:13">
      <c r="A1" s="93" t="s">
        <v>83</v>
      </c>
    </row>
    <row r="2" spans="1:13" ht="33" thickBot="1">
      <c r="A2" s="36"/>
      <c r="B2" s="37" t="s">
        <v>84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ht="16" thickTop="1" thickBot="1">
      <c r="B3" s="39" t="s">
        <v>85</v>
      </c>
      <c r="C3" s="39" t="s">
        <v>86</v>
      </c>
      <c r="D3" s="39"/>
      <c r="E3" s="40"/>
    </row>
    <row r="4" spans="1:13">
      <c r="A4"/>
      <c r="B4" s="92" t="s">
        <v>105</v>
      </c>
      <c r="C4" s="41" t="s">
        <v>107</v>
      </c>
      <c r="D4" s="41"/>
      <c r="E4" s="41"/>
      <c r="F4" s="41"/>
      <c r="G4" s="41"/>
      <c r="H4" s="41"/>
      <c r="I4" s="41"/>
      <c r="J4" s="41"/>
      <c r="K4" s="41"/>
      <c r="L4" s="41"/>
      <c r="M4" s="42"/>
    </row>
    <row r="5" spans="1:13">
      <c r="B5" s="43"/>
      <c r="C5" s="44"/>
      <c r="D5" s="44"/>
      <c r="E5" s="44"/>
      <c r="F5" s="44"/>
      <c r="G5" s="44"/>
      <c r="H5" s="44"/>
      <c r="I5" s="44"/>
      <c r="J5" s="44"/>
      <c r="K5" s="44"/>
      <c r="L5" s="44"/>
      <c r="M5" s="45"/>
    </row>
    <row r="6" spans="1:13">
      <c r="B6" s="46"/>
      <c r="C6" s="47" t="s">
        <v>87</v>
      </c>
      <c r="D6" s="48" t="s">
        <v>109</v>
      </c>
      <c r="E6" s="49"/>
      <c r="F6" s="50"/>
      <c r="G6" s="50"/>
      <c r="H6" s="50"/>
      <c r="I6" s="50"/>
      <c r="J6" s="50"/>
      <c r="K6" s="50"/>
      <c r="L6" s="50"/>
      <c r="M6" s="51"/>
    </row>
    <row r="7" spans="1:13" s="52" customFormat="1" ht="13.5">
      <c r="B7" s="43"/>
      <c r="C7" s="94" t="s">
        <v>88</v>
      </c>
      <c r="D7" s="44"/>
      <c r="E7" s="44"/>
      <c r="F7" s="44"/>
      <c r="G7" s="44"/>
      <c r="H7" s="44"/>
      <c r="I7" s="44"/>
      <c r="J7" s="44"/>
      <c r="K7" s="44"/>
      <c r="L7" s="44"/>
      <c r="M7" s="45"/>
    </row>
    <row r="8" spans="1:13" s="52" customFormat="1" ht="13.5">
      <c r="B8" s="43"/>
      <c r="C8" s="94" t="s">
        <v>113</v>
      </c>
      <c r="D8" s="94"/>
      <c r="E8" s="94"/>
      <c r="F8" s="94"/>
      <c r="G8" s="94"/>
      <c r="H8" s="94"/>
      <c r="I8" s="94"/>
      <c r="J8" s="94"/>
      <c r="K8" s="94"/>
      <c r="L8" s="94"/>
      <c r="M8" s="45"/>
    </row>
    <row r="9" spans="1:13" s="52" customFormat="1" ht="13.5">
      <c r="B9" s="43"/>
      <c r="C9" s="94"/>
      <c r="D9" s="94"/>
      <c r="E9" s="94"/>
      <c r="F9" s="94"/>
      <c r="G9" s="94"/>
      <c r="H9" s="94"/>
      <c r="I9" s="94"/>
      <c r="J9" s="94"/>
      <c r="K9" s="94"/>
      <c r="L9" s="94"/>
      <c r="M9" s="45"/>
    </row>
    <row r="10" spans="1:13" s="52" customFormat="1" ht="13.5">
      <c r="B10" s="43"/>
      <c r="C10" s="94" t="s">
        <v>89</v>
      </c>
      <c r="D10" s="94"/>
      <c r="E10" s="94"/>
      <c r="F10" s="94"/>
      <c r="G10" s="94"/>
      <c r="H10" s="94"/>
      <c r="I10" s="94"/>
      <c r="J10" s="94"/>
      <c r="K10" s="94"/>
      <c r="L10" s="94"/>
      <c r="M10" s="45"/>
    </row>
    <row r="11" spans="1:13" s="52" customFormat="1" ht="13.5">
      <c r="B11" s="43"/>
      <c r="C11" s="183" t="s">
        <v>90</v>
      </c>
      <c r="D11" s="183" t="s">
        <v>91</v>
      </c>
      <c r="E11" s="183" t="s">
        <v>93</v>
      </c>
      <c r="F11" s="183" t="s">
        <v>94</v>
      </c>
      <c r="G11" s="183" t="s">
        <v>114</v>
      </c>
      <c r="H11" s="94"/>
      <c r="I11" s="94"/>
      <c r="J11" s="94"/>
      <c r="K11" s="94"/>
      <c r="L11" s="94"/>
      <c r="M11" s="45"/>
    </row>
    <row r="12" spans="1:13" s="52" customFormat="1" ht="13.5">
      <c r="B12" s="43"/>
      <c r="C12" s="183">
        <v>0</v>
      </c>
      <c r="D12" s="183"/>
      <c r="E12" s="183"/>
      <c r="F12" s="183"/>
      <c r="G12" s="183"/>
      <c r="H12" s="94"/>
      <c r="I12" s="94"/>
      <c r="J12" s="94"/>
      <c r="K12" s="94"/>
      <c r="L12" s="94"/>
      <c r="M12" s="45"/>
    </row>
    <row r="13" spans="1:13" s="52" customFormat="1" ht="13.5">
      <c r="B13" s="43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45"/>
    </row>
    <row r="14" spans="1:13">
      <c r="B14" s="46"/>
      <c r="C14" s="47" t="s">
        <v>87</v>
      </c>
      <c r="D14" s="48" t="s">
        <v>111</v>
      </c>
      <c r="E14" s="49"/>
      <c r="F14" s="50"/>
      <c r="G14" s="50"/>
      <c r="H14" s="50"/>
      <c r="I14" s="50"/>
      <c r="J14" s="50"/>
      <c r="K14" s="50"/>
      <c r="L14" s="50"/>
      <c r="M14" s="51"/>
    </row>
    <row r="15" spans="1:13" s="52" customFormat="1" ht="13.5">
      <c r="B15" s="43"/>
      <c r="C15" s="53" t="s">
        <v>88</v>
      </c>
      <c r="D15" s="44"/>
      <c r="E15" s="44"/>
      <c r="F15" s="44"/>
      <c r="G15" s="44"/>
      <c r="H15" s="44"/>
      <c r="I15" s="44"/>
      <c r="J15" s="44"/>
      <c r="K15" s="44"/>
      <c r="L15" s="44"/>
      <c r="M15" s="45"/>
    </row>
    <row r="16" spans="1:13" s="52" customFormat="1" ht="13.5">
      <c r="B16" s="43"/>
      <c r="C16" s="94" t="s">
        <v>117</v>
      </c>
      <c r="D16" s="121"/>
      <c r="E16" s="122"/>
      <c r="F16" s="122"/>
      <c r="G16" s="121"/>
      <c r="H16" s="121"/>
      <c r="I16" s="121"/>
      <c r="J16" s="121"/>
      <c r="K16" s="121"/>
      <c r="L16" s="121"/>
      <c r="M16" s="45"/>
    </row>
    <row r="17" spans="1:13" s="52" customFormat="1" ht="13.5">
      <c r="B17" s="43"/>
      <c r="C17" s="120"/>
      <c r="D17" s="121"/>
      <c r="E17" s="122"/>
      <c r="F17" s="122"/>
      <c r="G17" s="121"/>
      <c r="H17" s="121"/>
      <c r="I17" s="121"/>
      <c r="J17" s="121"/>
      <c r="K17" s="121"/>
      <c r="L17" s="121"/>
      <c r="M17" s="45"/>
    </row>
    <row r="18" spans="1:13" s="52" customFormat="1" ht="13.5">
      <c r="B18" s="43"/>
      <c r="C18" s="94" t="s">
        <v>89</v>
      </c>
      <c r="D18" s="121"/>
      <c r="E18" s="122"/>
      <c r="F18" s="122"/>
      <c r="G18" s="121"/>
      <c r="H18" s="121"/>
      <c r="I18" s="121"/>
      <c r="J18" s="121"/>
      <c r="K18" s="121"/>
      <c r="L18" s="121"/>
      <c r="M18" s="45"/>
    </row>
    <row r="19" spans="1:13" s="52" customFormat="1" ht="13.5">
      <c r="B19" s="43"/>
      <c r="C19" s="183" t="s">
        <v>118</v>
      </c>
      <c r="D19" s="183" t="s">
        <v>119</v>
      </c>
      <c r="E19" s="183" t="s">
        <v>95</v>
      </c>
      <c r="F19" s="183" t="s">
        <v>120</v>
      </c>
      <c r="G19" s="183" t="s">
        <v>121</v>
      </c>
      <c r="H19" s="94"/>
      <c r="I19" s="94"/>
      <c r="J19" s="121"/>
      <c r="K19" s="121"/>
      <c r="L19" s="121"/>
      <c r="M19" s="45"/>
    </row>
    <row r="20" spans="1:13" s="52" customFormat="1" ht="13.5">
      <c r="B20" s="43"/>
      <c r="C20" s="183">
        <v>-2</v>
      </c>
      <c r="D20" s="183" t="s">
        <v>92</v>
      </c>
      <c r="E20" s="183" t="s">
        <v>239</v>
      </c>
      <c r="F20" s="183" t="s">
        <v>115</v>
      </c>
      <c r="G20" s="183" t="s">
        <v>116</v>
      </c>
      <c r="H20" s="94"/>
      <c r="I20" s="94"/>
      <c r="J20" s="121"/>
      <c r="K20" s="121"/>
      <c r="L20" s="121"/>
      <c r="M20" s="45"/>
    </row>
    <row r="21" spans="1:13" s="52" customFormat="1" ht="13.5">
      <c r="B21" s="43"/>
      <c r="C21" s="94"/>
      <c r="D21" s="94"/>
      <c r="E21" s="94"/>
      <c r="F21" s="94"/>
      <c r="G21" s="94"/>
      <c r="H21" s="94"/>
      <c r="I21" s="94"/>
      <c r="J21" s="121"/>
      <c r="K21" s="121"/>
      <c r="L21" s="121"/>
      <c r="M21" s="45"/>
    </row>
    <row r="22" spans="1:13" s="52" customFormat="1" ht="14" thickBot="1">
      <c r="B22" s="43"/>
      <c r="C22" s="94"/>
      <c r="D22" s="94"/>
      <c r="E22" s="94"/>
      <c r="F22" s="94"/>
      <c r="G22" s="94"/>
      <c r="H22" s="94"/>
      <c r="I22" s="94"/>
      <c r="J22" s="121"/>
      <c r="K22" s="121"/>
      <c r="L22" s="121"/>
      <c r="M22" s="45"/>
    </row>
    <row r="23" spans="1:13">
      <c r="A23"/>
      <c r="B23" s="92" t="s">
        <v>133</v>
      </c>
      <c r="C23" s="41" t="s">
        <v>124</v>
      </c>
      <c r="D23" s="41"/>
      <c r="E23" s="41"/>
      <c r="F23" s="41"/>
      <c r="G23" s="41"/>
      <c r="H23" s="41"/>
      <c r="I23" s="41"/>
      <c r="J23" s="41"/>
      <c r="K23" s="41"/>
      <c r="L23" s="41"/>
      <c r="M23" s="42"/>
    </row>
    <row r="24" spans="1:13" s="52" customFormat="1" ht="13.5">
      <c r="B24" s="43"/>
      <c r="C24" s="121"/>
      <c r="D24" s="121"/>
      <c r="E24" s="122"/>
      <c r="F24" s="122"/>
      <c r="G24" s="121"/>
      <c r="H24" s="121"/>
      <c r="I24" s="121"/>
      <c r="J24" s="121"/>
      <c r="K24" s="121"/>
      <c r="L24" s="121"/>
      <c r="M24" s="45"/>
    </row>
    <row r="25" spans="1:13" s="52" customFormat="1" ht="13.5">
      <c r="B25" s="43"/>
      <c r="C25" s="47" t="s">
        <v>87</v>
      </c>
      <c r="D25" s="48" t="s">
        <v>126</v>
      </c>
      <c r="E25" s="49"/>
      <c r="F25" s="50"/>
      <c r="G25" s="50"/>
      <c r="H25" s="50"/>
      <c r="I25" s="50"/>
      <c r="J25" s="50"/>
      <c r="K25" s="50"/>
      <c r="L25" s="50"/>
      <c r="M25" s="45"/>
    </row>
    <row r="26" spans="1:13" s="52" customFormat="1" ht="13.5">
      <c r="B26" s="43"/>
      <c r="C26" s="94" t="s">
        <v>88</v>
      </c>
      <c r="D26" s="94"/>
      <c r="E26" s="94"/>
      <c r="F26" s="94"/>
      <c r="G26" s="94"/>
      <c r="H26" s="94"/>
      <c r="I26" s="94"/>
      <c r="J26" s="94"/>
      <c r="K26" s="121"/>
      <c r="L26" s="121"/>
      <c r="M26" s="45"/>
    </row>
    <row r="27" spans="1:13" s="52" customFormat="1" ht="13.5">
      <c r="B27" s="43"/>
      <c r="C27" s="94" t="s">
        <v>113</v>
      </c>
      <c r="D27" s="94"/>
      <c r="E27" s="94"/>
      <c r="F27" s="94"/>
      <c r="G27" s="94"/>
      <c r="H27" s="94"/>
      <c r="I27" s="94"/>
      <c r="J27" s="94"/>
      <c r="K27" s="121"/>
      <c r="L27" s="121"/>
      <c r="M27" s="45"/>
    </row>
    <row r="28" spans="1:13" s="52" customFormat="1" ht="13.5">
      <c r="B28" s="43"/>
      <c r="C28" s="94"/>
      <c r="D28" s="94"/>
      <c r="E28" s="94"/>
      <c r="F28" s="94"/>
      <c r="G28" s="94"/>
      <c r="H28" s="94"/>
      <c r="I28" s="94"/>
      <c r="J28" s="94"/>
      <c r="K28" s="121"/>
      <c r="L28" s="121"/>
      <c r="M28" s="45"/>
    </row>
    <row r="29" spans="1:13" s="52" customFormat="1" ht="13.5">
      <c r="B29" s="43"/>
      <c r="C29" s="94" t="s">
        <v>89</v>
      </c>
      <c r="D29" s="94"/>
      <c r="E29" s="94"/>
      <c r="F29" s="94"/>
      <c r="G29" s="94"/>
      <c r="H29" s="94"/>
      <c r="I29" s="94"/>
      <c r="J29" s="94"/>
      <c r="K29" s="121"/>
      <c r="L29" s="121"/>
      <c r="M29" s="45"/>
    </row>
    <row r="30" spans="1:13">
      <c r="B30" s="54"/>
      <c r="C30" s="183" t="s">
        <v>90</v>
      </c>
      <c r="D30" s="183" t="s">
        <v>91</v>
      </c>
      <c r="E30" s="183" t="s">
        <v>93</v>
      </c>
      <c r="F30" s="183" t="s">
        <v>94</v>
      </c>
      <c r="G30" s="183" t="s">
        <v>114</v>
      </c>
      <c r="H30" s="94"/>
      <c r="I30" s="94"/>
      <c r="J30" s="94"/>
      <c r="K30" s="123"/>
      <c r="L30" s="123"/>
      <c r="M30" s="51"/>
    </row>
    <row r="31" spans="1:13">
      <c r="B31" s="54"/>
      <c r="C31" s="183">
        <v>0</v>
      </c>
      <c r="D31" s="183"/>
      <c r="E31" s="183"/>
      <c r="F31" s="183"/>
      <c r="G31" s="183"/>
      <c r="H31" s="94"/>
      <c r="I31" s="94"/>
      <c r="J31" s="94"/>
      <c r="K31" s="123"/>
      <c r="L31" s="123"/>
      <c r="M31" s="51"/>
    </row>
    <row r="32" spans="1:13">
      <c r="B32" s="54"/>
      <c r="C32" s="94"/>
      <c r="D32" s="94"/>
      <c r="E32" s="94"/>
      <c r="F32" s="94"/>
      <c r="G32" s="94"/>
      <c r="H32" s="94"/>
      <c r="I32" s="94"/>
      <c r="J32" s="94"/>
      <c r="K32" s="123"/>
      <c r="L32" s="123"/>
      <c r="M32" s="51"/>
    </row>
    <row r="33" spans="2:13">
      <c r="B33" s="54"/>
      <c r="C33" s="47" t="s">
        <v>87</v>
      </c>
      <c r="D33" s="48" t="s">
        <v>127</v>
      </c>
      <c r="E33" s="49"/>
      <c r="F33" s="50"/>
      <c r="G33" s="50"/>
      <c r="H33" s="50"/>
      <c r="I33" s="50"/>
      <c r="J33" s="50"/>
      <c r="K33" s="50"/>
      <c r="L33" s="50"/>
      <c r="M33" s="51"/>
    </row>
    <row r="34" spans="2:13">
      <c r="B34" s="54"/>
      <c r="C34" s="94" t="s">
        <v>88</v>
      </c>
      <c r="D34" s="94"/>
      <c r="E34" s="94"/>
      <c r="F34" s="94"/>
      <c r="G34" s="94"/>
      <c r="H34" s="94"/>
      <c r="I34" s="94"/>
      <c r="J34" s="94"/>
      <c r="K34" s="94"/>
      <c r="L34" s="94"/>
      <c r="M34" s="51"/>
    </row>
    <row r="35" spans="2:13">
      <c r="B35" s="54"/>
      <c r="C35" s="94" t="s">
        <v>130</v>
      </c>
      <c r="D35" s="94"/>
      <c r="E35" s="94"/>
      <c r="F35" s="94"/>
      <c r="G35" s="94"/>
      <c r="H35" s="94"/>
      <c r="I35" s="94"/>
      <c r="J35" s="94"/>
      <c r="K35" s="94"/>
      <c r="L35" s="94"/>
      <c r="M35" s="51"/>
    </row>
    <row r="36" spans="2:13">
      <c r="B36" s="5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51"/>
    </row>
    <row r="37" spans="2:13">
      <c r="B37" s="46"/>
      <c r="C37" s="94" t="s">
        <v>89</v>
      </c>
      <c r="D37" s="94"/>
      <c r="E37" s="94"/>
      <c r="F37" s="94"/>
      <c r="G37" s="94"/>
      <c r="H37" s="94"/>
      <c r="I37" s="94"/>
      <c r="J37" s="94"/>
      <c r="K37" s="94"/>
      <c r="L37" s="94"/>
      <c r="M37" s="51"/>
    </row>
    <row r="38" spans="2:13" s="52" customFormat="1" ht="13.5">
      <c r="B38" s="43"/>
      <c r="C38" s="183" t="s">
        <v>118</v>
      </c>
      <c r="D38" s="183" t="s">
        <v>119</v>
      </c>
      <c r="E38" s="183" t="s">
        <v>95</v>
      </c>
      <c r="F38" s="183" t="s">
        <v>120</v>
      </c>
      <c r="G38" s="183" t="s">
        <v>121</v>
      </c>
      <c r="H38" s="94"/>
      <c r="I38" s="94"/>
      <c r="J38" s="94"/>
      <c r="K38" s="94"/>
      <c r="L38" s="94"/>
      <c r="M38" s="45"/>
    </row>
    <row r="39" spans="2:13" s="52" customFormat="1" ht="13.5">
      <c r="B39" s="43"/>
      <c r="C39" s="183">
        <v>-2</v>
      </c>
      <c r="D39" s="183" t="s">
        <v>122</v>
      </c>
      <c r="E39" s="183" t="s">
        <v>131</v>
      </c>
      <c r="F39" s="183" t="s">
        <v>132</v>
      </c>
      <c r="G39" s="183" t="s">
        <v>79</v>
      </c>
      <c r="H39" s="94"/>
      <c r="I39" s="94"/>
      <c r="J39" s="94"/>
      <c r="K39" s="94"/>
      <c r="L39" s="94"/>
      <c r="M39" s="45"/>
    </row>
    <row r="40" spans="2:13" s="52" customFormat="1" ht="13.5">
      <c r="B40" s="43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45"/>
    </row>
    <row r="41" spans="2:13" s="52" customFormat="1" ht="13.5">
      <c r="B41" s="43"/>
      <c r="C41" s="47" t="s">
        <v>87</v>
      </c>
      <c r="D41" s="48" t="s">
        <v>134</v>
      </c>
      <c r="E41" s="49"/>
      <c r="F41" s="50"/>
      <c r="G41" s="50"/>
      <c r="H41" s="50"/>
      <c r="I41" s="50"/>
      <c r="J41" s="50"/>
      <c r="K41" s="50"/>
      <c r="L41" s="50"/>
      <c r="M41" s="45"/>
    </row>
    <row r="42" spans="2:13" s="52" customFormat="1" ht="13.5">
      <c r="B42" s="43"/>
      <c r="C42" s="94" t="s">
        <v>88</v>
      </c>
      <c r="D42" s="94"/>
      <c r="E42" s="94"/>
      <c r="F42" s="94"/>
      <c r="G42" s="94"/>
      <c r="H42" s="94"/>
      <c r="I42" s="94"/>
      <c r="J42" s="94"/>
      <c r="K42" s="94"/>
      <c r="L42" s="94"/>
      <c r="M42" s="45"/>
    </row>
    <row r="43" spans="2:13" s="52" customFormat="1" ht="13.5">
      <c r="B43" s="43"/>
      <c r="C43" s="94" t="s">
        <v>135</v>
      </c>
      <c r="D43" s="94"/>
      <c r="E43" s="94"/>
      <c r="F43" s="94"/>
      <c r="G43" s="94"/>
      <c r="H43" s="94"/>
      <c r="I43" s="94"/>
      <c r="J43" s="94"/>
      <c r="K43" s="94"/>
      <c r="L43" s="94"/>
      <c r="M43" s="45"/>
    </row>
    <row r="44" spans="2:13" s="52" customFormat="1" ht="13.5">
      <c r="B44" s="43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45"/>
    </row>
    <row r="45" spans="2:13" s="52" customFormat="1" ht="13.5">
      <c r="B45" s="43"/>
      <c r="C45" s="94" t="s">
        <v>89</v>
      </c>
      <c r="D45" s="94"/>
      <c r="E45" s="94"/>
      <c r="F45" s="94"/>
      <c r="G45" s="94"/>
      <c r="H45" s="94"/>
      <c r="I45" s="94"/>
      <c r="J45" s="94"/>
      <c r="K45" s="94"/>
      <c r="L45" s="94"/>
      <c r="M45" s="45"/>
    </row>
    <row r="46" spans="2:13" s="52" customFormat="1" ht="13.5">
      <c r="B46" s="43"/>
      <c r="C46" s="183" t="s">
        <v>90</v>
      </c>
      <c r="D46" s="183" t="s">
        <v>91</v>
      </c>
      <c r="E46" s="183" t="s">
        <v>93</v>
      </c>
      <c r="F46" s="183" t="s">
        <v>94</v>
      </c>
      <c r="G46" s="183" t="s">
        <v>114</v>
      </c>
      <c r="H46" s="94"/>
      <c r="I46" s="94"/>
      <c r="J46" s="94"/>
      <c r="K46" s="94"/>
      <c r="L46" s="94"/>
      <c r="M46" s="45"/>
    </row>
    <row r="47" spans="2:13" s="52" customFormat="1" ht="13.5">
      <c r="B47" s="43"/>
      <c r="C47" s="183">
        <v>-2</v>
      </c>
      <c r="D47" s="183" t="s">
        <v>92</v>
      </c>
      <c r="E47" s="183" t="s">
        <v>128</v>
      </c>
      <c r="F47" s="183" t="s">
        <v>129</v>
      </c>
      <c r="G47" s="183" t="s">
        <v>116</v>
      </c>
      <c r="H47" s="94"/>
      <c r="I47" s="94"/>
      <c r="J47" s="94"/>
      <c r="K47" s="94"/>
      <c r="L47" s="94"/>
      <c r="M47" s="45"/>
    </row>
    <row r="48" spans="2:13" s="52" customFormat="1" ht="14" thickBot="1">
      <c r="B48" s="43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45"/>
    </row>
    <row r="49" spans="2:13" s="52" customFormat="1" ht="13.5">
      <c r="B49" s="92" t="s">
        <v>136</v>
      </c>
      <c r="C49" s="41" t="s">
        <v>138</v>
      </c>
      <c r="D49" s="41"/>
      <c r="E49" s="41"/>
      <c r="F49" s="41"/>
      <c r="G49" s="41"/>
      <c r="H49" s="41"/>
      <c r="I49" s="41"/>
      <c r="J49" s="41"/>
      <c r="K49" s="41"/>
      <c r="L49" s="41"/>
      <c r="M49" s="42"/>
    </row>
    <row r="50" spans="2:13" s="52" customFormat="1" ht="13.5">
      <c r="B50" s="43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45"/>
    </row>
    <row r="51" spans="2:13" s="52" customFormat="1" ht="13.5">
      <c r="B51" s="43"/>
      <c r="C51" s="47" t="s">
        <v>87</v>
      </c>
      <c r="D51" s="48" t="s">
        <v>139</v>
      </c>
      <c r="E51" s="49"/>
      <c r="F51" s="50"/>
      <c r="G51" s="50"/>
      <c r="H51" s="50"/>
      <c r="I51" s="50"/>
      <c r="J51" s="50"/>
      <c r="K51" s="50"/>
      <c r="L51" s="50"/>
      <c r="M51" s="45"/>
    </row>
    <row r="52" spans="2:13">
      <c r="B52" s="54"/>
      <c r="C52" s="94" t="s">
        <v>88</v>
      </c>
      <c r="D52" s="94"/>
      <c r="E52" s="94"/>
      <c r="F52" s="94"/>
      <c r="G52" s="94"/>
      <c r="H52" s="94"/>
      <c r="I52" s="94"/>
      <c r="J52" s="94"/>
      <c r="K52" s="94"/>
      <c r="L52" s="94"/>
      <c r="M52" s="51"/>
    </row>
    <row r="53" spans="2:13">
      <c r="B53" s="54"/>
      <c r="C53" s="94" t="s">
        <v>112</v>
      </c>
      <c r="D53" s="94"/>
      <c r="E53" s="94"/>
      <c r="F53" s="94"/>
      <c r="G53" s="94"/>
      <c r="H53" s="94"/>
      <c r="I53" s="94"/>
      <c r="J53" s="94"/>
      <c r="K53" s="94"/>
      <c r="L53" s="94"/>
      <c r="M53" s="51"/>
    </row>
    <row r="54" spans="2:13">
      <c r="B54" s="5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51"/>
    </row>
    <row r="55" spans="2:13">
      <c r="B55" s="54"/>
      <c r="C55" s="94" t="s">
        <v>89</v>
      </c>
      <c r="D55" s="94"/>
      <c r="E55" s="94"/>
      <c r="F55" s="94"/>
      <c r="G55" s="94"/>
      <c r="H55" s="94"/>
      <c r="I55" s="94"/>
      <c r="J55" s="94"/>
      <c r="K55" s="94"/>
      <c r="L55" s="94"/>
      <c r="M55" s="51"/>
    </row>
    <row r="56" spans="2:13">
      <c r="B56" s="54"/>
      <c r="C56" s="183" t="s">
        <v>90</v>
      </c>
      <c r="D56" s="183" t="s">
        <v>91</v>
      </c>
      <c r="E56" s="183" t="s">
        <v>93</v>
      </c>
      <c r="F56" s="183" t="s">
        <v>94</v>
      </c>
      <c r="G56" s="183" t="s">
        <v>114</v>
      </c>
      <c r="H56" s="94"/>
      <c r="I56" s="94"/>
      <c r="J56" s="94"/>
      <c r="K56" s="94"/>
      <c r="L56" s="94"/>
      <c r="M56" s="51"/>
    </row>
    <row r="57" spans="2:13">
      <c r="B57" s="54"/>
      <c r="C57" s="183">
        <v>0</v>
      </c>
      <c r="D57" s="183"/>
      <c r="E57" s="183"/>
      <c r="F57" s="183"/>
      <c r="G57" s="183"/>
      <c r="H57" s="94"/>
      <c r="I57" s="94"/>
      <c r="J57" s="94"/>
      <c r="K57" s="94"/>
      <c r="L57" s="94"/>
      <c r="M57" s="51"/>
    </row>
    <row r="58" spans="2:13">
      <c r="B58" s="5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51"/>
    </row>
    <row r="59" spans="2:13">
      <c r="B59" s="46"/>
      <c r="C59" s="47" t="s">
        <v>87</v>
      </c>
      <c r="D59" s="48" t="s">
        <v>140</v>
      </c>
      <c r="E59" s="49"/>
      <c r="F59" s="50"/>
      <c r="G59" s="50"/>
      <c r="H59" s="50"/>
      <c r="I59" s="50"/>
      <c r="J59" s="50"/>
      <c r="K59" s="50"/>
      <c r="L59" s="50"/>
      <c r="M59" s="51"/>
    </row>
    <row r="60" spans="2:13" s="52" customFormat="1" ht="13.5">
      <c r="B60" s="43"/>
      <c r="C60" s="94" t="s">
        <v>88</v>
      </c>
      <c r="D60" s="94"/>
      <c r="E60" s="94"/>
      <c r="F60" s="94"/>
      <c r="G60" s="94"/>
      <c r="H60" s="94"/>
      <c r="I60" s="94"/>
      <c r="J60" s="94"/>
      <c r="K60" s="94"/>
      <c r="L60" s="94"/>
      <c r="M60" s="45"/>
    </row>
    <row r="61" spans="2:13" s="52" customFormat="1" ht="13.5">
      <c r="B61" s="43"/>
      <c r="C61" s="94" t="s">
        <v>142</v>
      </c>
      <c r="D61" s="94"/>
      <c r="E61" s="94"/>
      <c r="F61" s="94"/>
      <c r="G61" s="94"/>
      <c r="H61" s="94"/>
      <c r="I61" s="94"/>
      <c r="J61" s="94"/>
      <c r="K61" s="94"/>
      <c r="L61" s="94"/>
      <c r="M61" s="45"/>
    </row>
    <row r="62" spans="2:13" s="52" customFormat="1" ht="13.5">
      <c r="B62" s="43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45"/>
    </row>
    <row r="63" spans="2:13" s="52" customFormat="1" ht="13.5">
      <c r="B63" s="43"/>
      <c r="C63" s="94" t="s">
        <v>89</v>
      </c>
      <c r="D63" s="94"/>
      <c r="E63" s="94"/>
      <c r="F63" s="94"/>
      <c r="G63" s="94"/>
      <c r="H63" s="94"/>
      <c r="I63" s="94"/>
      <c r="J63" s="94"/>
      <c r="K63" s="94"/>
      <c r="L63" s="94"/>
      <c r="M63" s="45"/>
    </row>
    <row r="64" spans="2:13" s="52" customFormat="1" ht="13.5">
      <c r="B64" s="43"/>
      <c r="C64" s="183" t="s">
        <v>90</v>
      </c>
      <c r="D64" s="183" t="s">
        <v>91</v>
      </c>
      <c r="E64" s="183" t="s">
        <v>93</v>
      </c>
      <c r="F64" s="183" t="s">
        <v>94</v>
      </c>
      <c r="G64" s="183" t="s">
        <v>114</v>
      </c>
      <c r="H64" s="94"/>
      <c r="I64" s="94"/>
      <c r="J64" s="94"/>
      <c r="K64" s="94"/>
      <c r="L64" s="94"/>
      <c r="M64" s="45"/>
    </row>
    <row r="65" spans="2:13" s="52" customFormat="1" ht="13.5">
      <c r="B65" s="43"/>
      <c r="C65" s="183">
        <v>-2</v>
      </c>
      <c r="D65" s="183" t="s">
        <v>92</v>
      </c>
      <c r="E65" s="183" t="s">
        <v>242</v>
      </c>
      <c r="F65" s="183" t="s">
        <v>141</v>
      </c>
      <c r="G65" s="183" t="s">
        <v>116</v>
      </c>
      <c r="H65" s="94"/>
      <c r="I65" s="94"/>
      <c r="J65" s="94"/>
      <c r="K65" s="94"/>
      <c r="L65" s="94"/>
      <c r="M65" s="45"/>
    </row>
    <row r="66" spans="2:13" s="52" customFormat="1" ht="14" thickBot="1">
      <c r="B66" s="43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45"/>
    </row>
    <row r="67" spans="2:13" s="52" customFormat="1" ht="13.5">
      <c r="B67" s="92" t="s">
        <v>145</v>
      </c>
      <c r="C67" s="41" t="s">
        <v>144</v>
      </c>
      <c r="D67" s="41"/>
      <c r="E67" s="41"/>
      <c r="F67" s="41"/>
      <c r="G67" s="41"/>
      <c r="H67" s="41"/>
      <c r="I67" s="41"/>
      <c r="J67" s="41"/>
      <c r="K67" s="41"/>
      <c r="L67" s="41"/>
      <c r="M67" s="42"/>
    </row>
    <row r="68" spans="2:13" s="52" customFormat="1" ht="13.5">
      <c r="B68" s="43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45"/>
    </row>
    <row r="69" spans="2:13" s="52" customFormat="1" ht="13.5">
      <c r="B69" s="43"/>
      <c r="C69" s="47" t="s">
        <v>87</v>
      </c>
      <c r="D69" s="48" t="s">
        <v>146</v>
      </c>
      <c r="E69" s="49"/>
      <c r="F69" s="50"/>
      <c r="G69" s="50"/>
      <c r="H69" s="50"/>
      <c r="I69" s="50"/>
      <c r="J69" s="50"/>
      <c r="K69" s="50"/>
      <c r="L69" s="50"/>
      <c r="M69" s="45"/>
    </row>
    <row r="70" spans="2:13" s="52" customFormat="1" ht="13.5">
      <c r="B70" s="43"/>
      <c r="C70" s="94" t="s">
        <v>88</v>
      </c>
      <c r="D70" s="94"/>
      <c r="E70" s="94"/>
      <c r="F70" s="94"/>
      <c r="G70" s="94"/>
      <c r="H70" s="94"/>
      <c r="I70" s="94"/>
      <c r="J70" s="94"/>
      <c r="K70" s="94"/>
      <c r="L70" s="94"/>
      <c r="M70" s="45"/>
    </row>
    <row r="71" spans="2:13" s="52" customFormat="1" ht="13.5">
      <c r="B71" s="43"/>
      <c r="C71" s="94" t="s">
        <v>112</v>
      </c>
      <c r="D71" s="94"/>
      <c r="E71" s="94"/>
      <c r="F71" s="94"/>
      <c r="G71" s="94"/>
      <c r="H71" s="94"/>
      <c r="I71" s="94"/>
      <c r="J71" s="94"/>
      <c r="K71" s="94"/>
      <c r="L71" s="94"/>
      <c r="M71" s="45"/>
    </row>
    <row r="72" spans="2:13" s="52" customFormat="1" ht="13.5">
      <c r="B72" s="43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45"/>
    </row>
    <row r="73" spans="2:13" s="52" customFormat="1" ht="13.5">
      <c r="B73" s="43"/>
      <c r="C73" s="94" t="s">
        <v>89</v>
      </c>
      <c r="D73" s="94"/>
      <c r="E73" s="94"/>
      <c r="F73" s="94"/>
      <c r="G73" s="94"/>
      <c r="H73" s="94"/>
      <c r="I73" s="94"/>
      <c r="J73" s="94"/>
      <c r="K73" s="94"/>
      <c r="L73" s="94"/>
      <c r="M73" s="45"/>
    </row>
    <row r="74" spans="2:13" s="52" customFormat="1" ht="13.5">
      <c r="B74" s="43"/>
      <c r="C74" s="183" t="s">
        <v>90</v>
      </c>
      <c r="D74" s="183" t="s">
        <v>91</v>
      </c>
      <c r="E74" s="183" t="s">
        <v>93</v>
      </c>
      <c r="F74" s="183" t="s">
        <v>94</v>
      </c>
      <c r="G74" s="183" t="s">
        <v>114</v>
      </c>
      <c r="H74" s="94"/>
      <c r="I74" s="94"/>
      <c r="J74" s="94"/>
      <c r="K74" s="94"/>
      <c r="L74" s="94"/>
      <c r="M74" s="45"/>
    </row>
    <row r="75" spans="2:13">
      <c r="B75" s="54"/>
      <c r="C75" s="183">
        <v>0</v>
      </c>
      <c r="D75" s="183"/>
      <c r="E75" s="183"/>
      <c r="F75" s="183"/>
      <c r="G75" s="183"/>
      <c r="H75" s="94"/>
      <c r="I75" s="94"/>
      <c r="J75" s="94"/>
      <c r="K75" s="94"/>
      <c r="L75" s="94"/>
      <c r="M75" s="51"/>
    </row>
    <row r="76" spans="2:13">
      <c r="B76" s="46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51"/>
    </row>
    <row r="77" spans="2:13" s="52" customFormat="1" ht="13.5">
      <c r="B77" s="43"/>
      <c r="C77" s="47" t="s">
        <v>87</v>
      </c>
      <c r="D77" s="48" t="s">
        <v>147</v>
      </c>
      <c r="E77" s="49"/>
      <c r="F77" s="50"/>
      <c r="G77" s="50"/>
      <c r="H77" s="50"/>
      <c r="I77" s="50"/>
      <c r="J77" s="50"/>
      <c r="K77" s="50"/>
      <c r="L77" s="50"/>
      <c r="M77" s="45"/>
    </row>
    <row r="78" spans="2:13" s="52" customFormat="1" ht="13.5">
      <c r="B78" s="43"/>
      <c r="C78" s="94" t="s">
        <v>88</v>
      </c>
      <c r="D78" s="94"/>
      <c r="E78" s="94"/>
      <c r="F78" s="94"/>
      <c r="G78" s="94"/>
      <c r="H78" s="94"/>
      <c r="I78" s="94"/>
      <c r="J78" s="94"/>
      <c r="K78" s="94"/>
      <c r="L78" s="94"/>
      <c r="M78" s="45"/>
    </row>
    <row r="79" spans="2:13" s="52" customFormat="1" ht="13.5">
      <c r="B79" s="43"/>
      <c r="C79" s="94" t="s">
        <v>149</v>
      </c>
      <c r="D79" s="94"/>
      <c r="E79" s="94"/>
      <c r="F79" s="94"/>
      <c r="G79" s="94"/>
      <c r="H79" s="94"/>
      <c r="I79" s="94"/>
      <c r="J79" s="94"/>
      <c r="K79" s="94"/>
      <c r="L79" s="94"/>
      <c r="M79" s="45"/>
    </row>
    <row r="80" spans="2:13" s="52" customFormat="1" ht="13.5">
      <c r="B80" s="43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45"/>
    </row>
    <row r="81" spans="2:13" s="52" customFormat="1" ht="13.5">
      <c r="B81" s="43"/>
      <c r="C81" s="94" t="s">
        <v>89</v>
      </c>
      <c r="D81" s="94"/>
      <c r="E81" s="94"/>
      <c r="F81" s="94"/>
      <c r="G81" s="94"/>
      <c r="H81" s="94"/>
      <c r="I81" s="94"/>
      <c r="J81" s="94"/>
      <c r="K81" s="94"/>
      <c r="L81" s="94"/>
      <c r="M81" s="45"/>
    </row>
    <row r="82" spans="2:13" s="52" customFormat="1" ht="13.5">
      <c r="B82" s="43"/>
      <c r="C82" s="183" t="s">
        <v>90</v>
      </c>
      <c r="D82" s="183" t="s">
        <v>91</v>
      </c>
      <c r="E82" s="183" t="s">
        <v>93</v>
      </c>
      <c r="F82" s="183" t="s">
        <v>94</v>
      </c>
      <c r="G82" s="183" t="s">
        <v>114</v>
      </c>
      <c r="H82" s="94"/>
      <c r="I82" s="94"/>
      <c r="J82" s="94"/>
      <c r="K82" s="94"/>
      <c r="L82" s="94"/>
      <c r="M82" s="45"/>
    </row>
    <row r="83" spans="2:13" s="52" customFormat="1" ht="13.5">
      <c r="B83" s="43"/>
      <c r="C83" s="183">
        <v>-2</v>
      </c>
      <c r="D83" s="183" t="s">
        <v>92</v>
      </c>
      <c r="E83" s="183" t="s">
        <v>243</v>
      </c>
      <c r="F83" s="183" t="s">
        <v>148</v>
      </c>
      <c r="G83" s="183" t="s">
        <v>116</v>
      </c>
      <c r="H83" s="94"/>
      <c r="I83" s="94"/>
      <c r="J83" s="94"/>
      <c r="K83" s="94"/>
      <c r="L83" s="94"/>
      <c r="M83" s="45"/>
    </row>
    <row r="84" spans="2:13" s="52" customFormat="1" ht="14" thickBot="1">
      <c r="B84" s="43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45"/>
    </row>
    <row r="85" spans="2:13" s="52" customFormat="1" ht="13.5">
      <c r="B85" s="92" t="s">
        <v>150</v>
      </c>
      <c r="C85" s="41" t="s">
        <v>152</v>
      </c>
      <c r="D85" s="41"/>
      <c r="E85" s="41"/>
      <c r="F85" s="41"/>
      <c r="G85" s="41"/>
      <c r="H85" s="41"/>
      <c r="I85" s="41"/>
      <c r="J85" s="41"/>
      <c r="K85" s="41"/>
      <c r="L85" s="41"/>
      <c r="M85" s="42"/>
    </row>
    <row r="86" spans="2:13" s="52" customFormat="1" ht="13.5">
      <c r="B86" s="43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45"/>
    </row>
    <row r="87" spans="2:13" s="52" customFormat="1" ht="13.5">
      <c r="B87" s="43"/>
      <c r="C87" s="47" t="s">
        <v>87</v>
      </c>
      <c r="D87" s="48" t="s">
        <v>153</v>
      </c>
      <c r="E87" s="49"/>
      <c r="F87" s="50"/>
      <c r="G87" s="50"/>
      <c r="H87" s="50"/>
      <c r="I87" s="50"/>
      <c r="J87" s="50"/>
      <c r="K87" s="50"/>
      <c r="L87" s="50"/>
      <c r="M87" s="45"/>
    </row>
    <row r="88" spans="2:13" s="52" customFormat="1" ht="13.5">
      <c r="B88" s="43"/>
      <c r="C88" s="94" t="s">
        <v>88</v>
      </c>
      <c r="D88" s="94"/>
      <c r="E88" s="94"/>
      <c r="F88" s="94"/>
      <c r="G88" s="94"/>
      <c r="H88" s="94"/>
      <c r="I88" s="94"/>
      <c r="J88" s="94"/>
      <c r="K88" s="94"/>
      <c r="L88" s="94"/>
      <c r="M88" s="45"/>
    </row>
    <row r="89" spans="2:13" s="52" customFormat="1" ht="13.5">
      <c r="B89" s="43"/>
      <c r="C89" s="94" t="s">
        <v>112</v>
      </c>
      <c r="D89" s="94"/>
      <c r="E89" s="94"/>
      <c r="F89" s="94"/>
      <c r="G89" s="94"/>
      <c r="H89" s="94"/>
      <c r="I89" s="94"/>
      <c r="J89" s="94"/>
      <c r="K89" s="94"/>
      <c r="L89" s="94"/>
      <c r="M89" s="45"/>
    </row>
    <row r="90" spans="2:13" s="52" customFormat="1" ht="13.5">
      <c r="B90" s="43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45"/>
    </row>
    <row r="91" spans="2:13" s="52" customFormat="1" ht="13.5">
      <c r="B91" s="43"/>
      <c r="C91" s="94" t="s">
        <v>89</v>
      </c>
      <c r="D91" s="94"/>
      <c r="E91" s="94"/>
      <c r="F91" s="94"/>
      <c r="G91" s="94"/>
      <c r="H91" s="94"/>
      <c r="I91" s="94"/>
      <c r="J91" s="94"/>
      <c r="K91" s="94"/>
      <c r="L91" s="94"/>
      <c r="M91" s="45"/>
    </row>
    <row r="92" spans="2:13">
      <c r="B92" s="54"/>
      <c r="C92" s="183" t="s">
        <v>90</v>
      </c>
      <c r="D92" s="183" t="s">
        <v>91</v>
      </c>
      <c r="E92" s="183" t="s">
        <v>93</v>
      </c>
      <c r="F92" s="183" t="s">
        <v>94</v>
      </c>
      <c r="G92" s="183" t="s">
        <v>114</v>
      </c>
      <c r="H92" s="94"/>
      <c r="I92" s="94"/>
      <c r="J92" s="94"/>
      <c r="K92" s="94"/>
      <c r="L92" s="94"/>
      <c r="M92" s="51"/>
    </row>
    <row r="93" spans="2:13">
      <c r="B93" s="54"/>
      <c r="C93" s="183">
        <v>0</v>
      </c>
      <c r="D93" s="183"/>
      <c r="E93" s="183"/>
      <c r="F93" s="183"/>
      <c r="G93" s="183"/>
      <c r="H93" s="94"/>
      <c r="I93" s="94"/>
      <c r="J93" s="94"/>
      <c r="K93" s="94"/>
      <c r="L93" s="94"/>
      <c r="M93" s="51"/>
    </row>
    <row r="94" spans="2:13">
      <c r="B94" s="5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51"/>
    </row>
    <row r="95" spans="2:13">
      <c r="B95" s="54"/>
      <c r="C95" s="47" t="s">
        <v>87</v>
      </c>
      <c r="D95" s="48" t="s">
        <v>154</v>
      </c>
      <c r="E95" s="49"/>
      <c r="F95" s="50"/>
      <c r="G95" s="50"/>
      <c r="H95" s="50"/>
      <c r="I95" s="50"/>
      <c r="J95" s="50"/>
      <c r="K95" s="50"/>
      <c r="L95" s="50"/>
      <c r="M95" s="51"/>
    </row>
    <row r="96" spans="2:13">
      <c r="B96" s="54"/>
      <c r="C96" s="94" t="s">
        <v>88</v>
      </c>
      <c r="D96" s="94"/>
      <c r="E96" s="94"/>
      <c r="F96" s="94"/>
      <c r="G96" s="94"/>
      <c r="H96" s="94"/>
      <c r="I96" s="94"/>
      <c r="J96" s="94"/>
      <c r="K96" s="94"/>
      <c r="L96" s="94"/>
      <c r="M96" s="51"/>
    </row>
    <row r="97" spans="2:13">
      <c r="B97" s="46"/>
      <c r="C97" s="94" t="s">
        <v>158</v>
      </c>
      <c r="D97" s="94"/>
      <c r="E97" s="94"/>
      <c r="F97" s="94"/>
      <c r="G97" s="94"/>
      <c r="H97" s="94"/>
      <c r="I97" s="94"/>
      <c r="J97" s="94"/>
      <c r="K97" s="94"/>
      <c r="L97" s="94"/>
      <c r="M97" s="51"/>
    </row>
    <row r="98" spans="2:13" s="52" customFormat="1" ht="13.5">
      <c r="B98" s="43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45"/>
    </row>
    <row r="99" spans="2:13" s="52" customFormat="1" ht="13.5">
      <c r="B99" s="43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45"/>
    </row>
    <row r="100" spans="2:13" s="52" customFormat="1" ht="13.5">
      <c r="B100" s="43"/>
      <c r="C100" s="94" t="s">
        <v>89</v>
      </c>
      <c r="D100" s="94"/>
      <c r="E100" s="94"/>
      <c r="F100" s="94"/>
      <c r="G100" s="94"/>
      <c r="H100" s="94"/>
      <c r="I100" s="94"/>
      <c r="J100" s="94"/>
      <c r="K100" s="94"/>
      <c r="L100" s="94"/>
      <c r="M100" s="45"/>
    </row>
    <row r="101" spans="2:13" s="52" customFormat="1" ht="13.5">
      <c r="B101" s="43"/>
      <c r="C101" s="183" t="s">
        <v>90</v>
      </c>
      <c r="D101" s="183" t="s">
        <v>91</v>
      </c>
      <c r="E101" s="183" t="s">
        <v>93</v>
      </c>
      <c r="F101" s="183" t="s">
        <v>94</v>
      </c>
      <c r="G101" s="183" t="s">
        <v>114</v>
      </c>
      <c r="H101" s="94"/>
      <c r="I101" s="94"/>
      <c r="J101" s="94"/>
      <c r="K101" s="94"/>
      <c r="L101" s="94"/>
      <c r="M101" s="45"/>
    </row>
    <row r="102" spans="2:13" s="52" customFormat="1" ht="13.5">
      <c r="B102" s="43"/>
      <c r="C102" s="183">
        <v>-2</v>
      </c>
      <c r="D102" s="183" t="s">
        <v>92</v>
      </c>
      <c r="E102" s="183" t="s">
        <v>246</v>
      </c>
      <c r="F102" s="183" t="s">
        <v>157</v>
      </c>
      <c r="G102" s="183" t="s">
        <v>116</v>
      </c>
      <c r="H102" s="94"/>
      <c r="I102" s="94"/>
      <c r="J102" s="94"/>
      <c r="K102" s="94"/>
      <c r="L102" s="94"/>
      <c r="M102" s="45"/>
    </row>
    <row r="103" spans="2:13" s="52" customFormat="1" ht="13.5">
      <c r="B103" s="43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45"/>
    </row>
    <row r="104" spans="2:13" s="52" customFormat="1" ht="13.5">
      <c r="B104" s="43"/>
      <c r="C104" s="47" t="s">
        <v>87</v>
      </c>
      <c r="D104" s="48" t="s">
        <v>155</v>
      </c>
      <c r="E104" s="49"/>
      <c r="F104" s="50"/>
      <c r="G104" s="50"/>
      <c r="H104" s="50"/>
      <c r="I104" s="50"/>
      <c r="J104" s="50"/>
      <c r="K104" s="50"/>
      <c r="L104" s="50"/>
      <c r="M104" s="45"/>
    </row>
    <row r="105" spans="2:13" s="52" customFormat="1" ht="13.5">
      <c r="B105" s="43"/>
      <c r="C105" s="94" t="s">
        <v>88</v>
      </c>
      <c r="D105" s="94"/>
      <c r="E105" s="94"/>
      <c r="F105" s="94"/>
      <c r="G105" s="94"/>
      <c r="H105" s="94"/>
      <c r="I105" s="94"/>
      <c r="J105" s="94"/>
      <c r="K105" s="94"/>
      <c r="L105" s="94"/>
      <c r="M105" s="45"/>
    </row>
    <row r="106" spans="2:13" s="52" customFormat="1" ht="13.5">
      <c r="B106" s="43"/>
      <c r="C106" s="94" t="s">
        <v>159</v>
      </c>
      <c r="D106" s="94"/>
      <c r="E106" s="94"/>
      <c r="F106" s="94"/>
      <c r="G106" s="94"/>
      <c r="H106" s="94"/>
      <c r="I106" s="94"/>
      <c r="J106" s="94"/>
      <c r="K106" s="94"/>
      <c r="L106" s="94"/>
      <c r="M106" s="45"/>
    </row>
    <row r="107" spans="2:13" s="52" customFormat="1" ht="13.5">
      <c r="B107" s="43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45"/>
    </row>
    <row r="108" spans="2:13" s="52" customFormat="1" ht="13.5">
      <c r="B108" s="43"/>
      <c r="C108" s="94" t="s">
        <v>89</v>
      </c>
      <c r="D108" s="94"/>
      <c r="E108" s="94"/>
      <c r="F108" s="94"/>
      <c r="G108" s="94"/>
      <c r="H108" s="94"/>
      <c r="I108" s="94"/>
      <c r="J108" s="94"/>
      <c r="K108" s="94"/>
      <c r="L108" s="94"/>
      <c r="M108" s="45"/>
    </row>
    <row r="109" spans="2:13" s="52" customFormat="1" ht="13.5">
      <c r="B109" s="43"/>
      <c r="C109" s="183" t="s">
        <v>90</v>
      </c>
      <c r="D109" s="183" t="s">
        <v>91</v>
      </c>
      <c r="E109" s="183" t="s">
        <v>93</v>
      </c>
      <c r="F109" s="183" t="s">
        <v>94</v>
      </c>
      <c r="G109" s="183" t="s">
        <v>114</v>
      </c>
      <c r="H109" s="94"/>
      <c r="I109" s="94"/>
      <c r="J109" s="94"/>
      <c r="K109" s="94"/>
      <c r="L109" s="94"/>
      <c r="M109" s="45"/>
    </row>
    <row r="110" spans="2:13" s="52" customFormat="1" ht="13.5">
      <c r="B110" s="43"/>
      <c r="C110" s="183">
        <v>-2</v>
      </c>
      <c r="D110" s="183" t="s">
        <v>92</v>
      </c>
      <c r="E110" s="183" t="s">
        <v>156</v>
      </c>
      <c r="F110" s="183" t="s">
        <v>157</v>
      </c>
      <c r="G110" s="183" t="s">
        <v>116</v>
      </c>
      <c r="H110" s="94"/>
      <c r="I110" s="94"/>
      <c r="J110" s="94"/>
      <c r="K110" s="94"/>
      <c r="L110" s="94"/>
      <c r="M110" s="45"/>
    </row>
    <row r="111" spans="2:13" s="52" customFormat="1" ht="14" thickBot="1">
      <c r="B111" s="43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45"/>
    </row>
    <row r="112" spans="2:13" s="52" customFormat="1" ht="13.5">
      <c r="B112" s="92" t="s">
        <v>160</v>
      </c>
      <c r="C112" s="41" t="s">
        <v>162</v>
      </c>
      <c r="D112" s="41"/>
      <c r="E112" s="41"/>
      <c r="F112" s="41"/>
      <c r="G112" s="41"/>
      <c r="H112" s="41"/>
      <c r="I112" s="41"/>
      <c r="J112" s="41"/>
      <c r="K112" s="41"/>
      <c r="L112" s="41"/>
      <c r="M112" s="42"/>
    </row>
    <row r="113" spans="2:13">
      <c r="B113" s="5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51"/>
    </row>
    <row r="114" spans="2:13">
      <c r="B114" s="54"/>
      <c r="C114" s="47" t="s">
        <v>87</v>
      </c>
      <c r="D114" s="48" t="s">
        <v>163</v>
      </c>
      <c r="E114" s="49"/>
      <c r="F114" s="50"/>
      <c r="G114" s="50"/>
      <c r="H114" s="50"/>
      <c r="I114" s="50"/>
      <c r="J114" s="50"/>
      <c r="K114" s="50"/>
      <c r="L114" s="50"/>
      <c r="M114" s="51"/>
    </row>
    <row r="115" spans="2:13">
      <c r="B115" s="54"/>
      <c r="C115" s="94" t="s">
        <v>88</v>
      </c>
      <c r="D115" s="94"/>
      <c r="E115" s="94"/>
      <c r="F115" s="94"/>
      <c r="G115" s="94"/>
      <c r="H115" s="94"/>
      <c r="I115" s="94"/>
      <c r="J115" s="94"/>
      <c r="K115" s="94"/>
      <c r="L115" s="94"/>
      <c r="M115" s="51"/>
    </row>
    <row r="116" spans="2:13">
      <c r="B116" s="54"/>
      <c r="C116" s="94" t="s">
        <v>112</v>
      </c>
      <c r="D116" s="94"/>
      <c r="E116" s="94"/>
      <c r="F116" s="94"/>
      <c r="G116" s="94"/>
      <c r="H116" s="94"/>
      <c r="I116" s="94"/>
      <c r="J116" s="94"/>
      <c r="K116" s="94"/>
      <c r="L116" s="94"/>
      <c r="M116" s="51"/>
    </row>
    <row r="117" spans="2:13">
      <c r="B117" s="5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51"/>
    </row>
    <row r="118" spans="2:13">
      <c r="B118" s="54"/>
      <c r="C118" s="94" t="s">
        <v>89</v>
      </c>
      <c r="D118" s="94"/>
      <c r="E118" s="94"/>
      <c r="F118" s="94"/>
      <c r="G118" s="94"/>
      <c r="H118" s="94"/>
      <c r="I118" s="94"/>
      <c r="J118" s="94"/>
      <c r="K118" s="94"/>
      <c r="L118" s="94"/>
      <c r="M118" s="51"/>
    </row>
    <row r="119" spans="2:13">
      <c r="B119" s="54"/>
      <c r="C119" s="183" t="s">
        <v>90</v>
      </c>
      <c r="D119" s="183" t="s">
        <v>91</v>
      </c>
      <c r="E119" s="183" t="s">
        <v>93</v>
      </c>
      <c r="F119" s="183" t="s">
        <v>94</v>
      </c>
      <c r="G119" s="183" t="s">
        <v>114</v>
      </c>
      <c r="H119" s="94"/>
      <c r="I119" s="94"/>
      <c r="J119" s="94"/>
      <c r="K119" s="94"/>
      <c r="L119" s="94"/>
      <c r="M119" s="51"/>
    </row>
    <row r="120" spans="2:13">
      <c r="B120" s="46"/>
      <c r="C120" s="183">
        <v>0</v>
      </c>
      <c r="D120" s="183"/>
      <c r="E120" s="183"/>
      <c r="F120" s="183"/>
      <c r="G120" s="183"/>
      <c r="H120" s="94"/>
      <c r="I120" s="94"/>
      <c r="J120" s="94"/>
      <c r="K120" s="94"/>
      <c r="L120" s="94"/>
      <c r="M120" s="51"/>
    </row>
    <row r="121" spans="2:13">
      <c r="B121" s="46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51"/>
    </row>
    <row r="122" spans="2:13" s="52" customFormat="1" ht="13.5">
      <c r="B122" s="43"/>
      <c r="C122" s="47" t="s">
        <v>87</v>
      </c>
      <c r="D122" s="48" t="s">
        <v>164</v>
      </c>
      <c r="E122" s="49"/>
      <c r="F122" s="50"/>
      <c r="G122" s="50"/>
      <c r="H122" s="50"/>
      <c r="I122" s="50"/>
      <c r="J122" s="50"/>
      <c r="K122" s="50"/>
      <c r="L122" s="50"/>
      <c r="M122" s="45"/>
    </row>
    <row r="123" spans="2:13" s="52" customFormat="1" ht="13.5">
      <c r="B123" s="43"/>
      <c r="C123" s="94" t="s">
        <v>88</v>
      </c>
      <c r="D123" s="94"/>
      <c r="E123" s="94"/>
      <c r="F123" s="94"/>
      <c r="G123" s="94"/>
      <c r="H123" s="94"/>
      <c r="I123" s="94"/>
      <c r="J123" s="94"/>
      <c r="K123" s="94"/>
      <c r="L123" s="94"/>
      <c r="M123" s="45"/>
    </row>
    <row r="124" spans="2:13" s="52" customFormat="1" ht="13.5">
      <c r="B124" s="43"/>
      <c r="C124" s="94" t="s">
        <v>169</v>
      </c>
      <c r="D124" s="94"/>
      <c r="E124" s="94"/>
      <c r="F124" s="94"/>
      <c r="G124" s="94"/>
      <c r="H124" s="94"/>
      <c r="I124" s="94"/>
      <c r="J124" s="94"/>
      <c r="K124" s="94"/>
      <c r="L124" s="94"/>
      <c r="M124" s="45"/>
    </row>
    <row r="125" spans="2:13" s="52" customFormat="1" ht="13.5">
      <c r="B125" s="43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45"/>
    </row>
    <row r="126" spans="2:13" s="52" customFormat="1" ht="13.5">
      <c r="B126" s="43"/>
      <c r="C126" s="94" t="s">
        <v>89</v>
      </c>
      <c r="D126" s="94"/>
      <c r="E126" s="94"/>
      <c r="F126" s="94"/>
      <c r="G126" s="94"/>
      <c r="H126" s="94"/>
      <c r="I126" s="94"/>
      <c r="J126" s="94"/>
      <c r="K126" s="94"/>
      <c r="L126" s="94"/>
      <c r="M126" s="45"/>
    </row>
    <row r="127" spans="2:13" s="52" customFormat="1" ht="13.5">
      <c r="B127" s="43"/>
      <c r="C127" s="183" t="s">
        <v>90</v>
      </c>
      <c r="D127" s="183" t="s">
        <v>91</v>
      </c>
      <c r="E127" s="183" t="s">
        <v>93</v>
      </c>
      <c r="F127" s="183" t="s">
        <v>94</v>
      </c>
      <c r="G127" s="183" t="s">
        <v>114</v>
      </c>
      <c r="H127" s="94"/>
      <c r="I127" s="94"/>
      <c r="J127" s="94"/>
      <c r="K127" s="94"/>
      <c r="L127" s="94"/>
      <c r="M127" s="45"/>
    </row>
    <row r="128" spans="2:13" s="52" customFormat="1" ht="13.5">
      <c r="B128" s="43"/>
      <c r="C128" s="183">
        <v>-2</v>
      </c>
      <c r="D128" s="183" t="s">
        <v>92</v>
      </c>
      <c r="E128" s="183" t="s">
        <v>248</v>
      </c>
      <c r="F128" s="183" t="s">
        <v>167</v>
      </c>
      <c r="G128" s="183" t="s">
        <v>116</v>
      </c>
      <c r="H128" s="94"/>
      <c r="I128" s="94"/>
      <c r="J128" s="94"/>
      <c r="K128" s="94"/>
      <c r="L128" s="94"/>
      <c r="M128" s="45"/>
    </row>
    <row r="129" spans="2:13" s="52" customFormat="1" ht="13.5">
      <c r="B129" s="43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45"/>
    </row>
    <row r="130" spans="2:13" s="52" customFormat="1" ht="13.5">
      <c r="B130" s="43"/>
      <c r="C130" s="47" t="s">
        <v>87</v>
      </c>
      <c r="D130" s="48" t="s">
        <v>165</v>
      </c>
      <c r="E130" s="49"/>
      <c r="F130" s="50"/>
      <c r="G130" s="50"/>
      <c r="H130" s="50"/>
      <c r="I130" s="50"/>
      <c r="J130" s="50"/>
      <c r="K130" s="50"/>
      <c r="L130" s="50"/>
      <c r="M130" s="45"/>
    </row>
    <row r="131" spans="2:13" s="52" customFormat="1" ht="13.5">
      <c r="B131" s="43"/>
      <c r="C131" s="94" t="s">
        <v>88</v>
      </c>
      <c r="D131" s="94"/>
      <c r="E131" s="94"/>
      <c r="F131" s="94"/>
      <c r="G131" s="94"/>
      <c r="H131" s="94"/>
      <c r="I131" s="94"/>
      <c r="J131" s="94"/>
      <c r="K131" s="94"/>
      <c r="L131" s="94"/>
      <c r="M131" s="45"/>
    </row>
    <row r="132" spans="2:13" s="52" customFormat="1" ht="13.5">
      <c r="B132" s="43"/>
      <c r="C132" s="94" t="s">
        <v>168</v>
      </c>
      <c r="D132" s="94"/>
      <c r="E132" s="94"/>
      <c r="F132" s="94"/>
      <c r="G132" s="94"/>
      <c r="H132" s="94"/>
      <c r="I132" s="94"/>
      <c r="J132" s="94"/>
      <c r="K132" s="94"/>
      <c r="L132" s="94"/>
      <c r="M132" s="45"/>
    </row>
    <row r="133" spans="2:13" s="52" customFormat="1" ht="13.5">
      <c r="B133" s="43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45"/>
    </row>
    <row r="134" spans="2:13" s="52" customFormat="1" ht="13.5">
      <c r="B134" s="43"/>
      <c r="C134" s="94" t="s">
        <v>89</v>
      </c>
      <c r="D134" s="94"/>
      <c r="E134" s="94"/>
      <c r="F134" s="94"/>
      <c r="G134" s="94"/>
      <c r="H134" s="94"/>
      <c r="I134" s="94"/>
      <c r="J134" s="94"/>
      <c r="K134" s="94"/>
      <c r="L134" s="94"/>
      <c r="M134" s="45"/>
    </row>
    <row r="135" spans="2:13" s="52" customFormat="1" ht="13.5">
      <c r="B135" s="43"/>
      <c r="C135" s="183" t="s">
        <v>90</v>
      </c>
      <c r="D135" s="183" t="s">
        <v>91</v>
      </c>
      <c r="E135" s="183" t="s">
        <v>93</v>
      </c>
      <c r="F135" s="183" t="s">
        <v>94</v>
      </c>
      <c r="G135" s="183" t="s">
        <v>114</v>
      </c>
      <c r="H135" s="94"/>
      <c r="I135" s="94"/>
      <c r="J135" s="94"/>
      <c r="K135" s="94"/>
      <c r="L135" s="94"/>
      <c r="M135" s="45"/>
    </row>
    <row r="136" spans="2:13" s="52" customFormat="1" ht="13.5">
      <c r="B136" s="43"/>
      <c r="C136" s="183">
        <v>-2</v>
      </c>
      <c r="D136" s="183" t="s">
        <v>92</v>
      </c>
      <c r="E136" s="183" t="s">
        <v>166</v>
      </c>
      <c r="F136" s="183" t="s">
        <v>167</v>
      </c>
      <c r="G136" s="183" t="s">
        <v>116</v>
      </c>
      <c r="H136" s="94"/>
      <c r="I136" s="94"/>
      <c r="J136" s="94"/>
      <c r="K136" s="94"/>
      <c r="L136" s="94"/>
      <c r="M136" s="45"/>
    </row>
    <row r="137" spans="2:13" ht="15.5" thickBot="1">
      <c r="B137" s="5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51"/>
    </row>
    <row r="138" spans="2:13" s="52" customFormat="1" ht="13.5">
      <c r="B138" s="92" t="s">
        <v>171</v>
      </c>
      <c r="C138" s="41" t="s">
        <v>172</v>
      </c>
      <c r="D138" s="41"/>
      <c r="E138" s="41"/>
      <c r="F138" s="41"/>
      <c r="G138" s="41"/>
      <c r="H138" s="41"/>
      <c r="I138" s="41"/>
      <c r="J138" s="41"/>
      <c r="K138" s="41"/>
      <c r="L138" s="41"/>
      <c r="M138" s="42"/>
    </row>
    <row r="139" spans="2:13">
      <c r="B139" s="5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51"/>
    </row>
    <row r="140" spans="2:13">
      <c r="B140" s="54"/>
      <c r="C140" s="47" t="s">
        <v>87</v>
      </c>
      <c r="D140" s="48" t="s">
        <v>173</v>
      </c>
      <c r="E140" s="49"/>
      <c r="F140" s="50"/>
      <c r="G140" s="50"/>
      <c r="H140" s="50"/>
      <c r="I140" s="50"/>
      <c r="J140" s="50"/>
      <c r="K140" s="50"/>
      <c r="L140" s="50"/>
      <c r="M140" s="51"/>
    </row>
    <row r="141" spans="2:13">
      <c r="B141" s="54"/>
      <c r="C141" s="94" t="s">
        <v>88</v>
      </c>
      <c r="D141" s="94"/>
      <c r="E141" s="94"/>
      <c r="F141" s="94"/>
      <c r="G141" s="94"/>
      <c r="H141" s="94"/>
      <c r="I141" s="94"/>
      <c r="J141" s="94"/>
      <c r="K141" s="94"/>
      <c r="L141" s="94"/>
      <c r="M141" s="51"/>
    </row>
    <row r="142" spans="2:13">
      <c r="B142" s="54"/>
      <c r="C142" s="94" t="s">
        <v>112</v>
      </c>
      <c r="D142" s="94"/>
      <c r="E142" s="94"/>
      <c r="F142" s="94"/>
      <c r="G142" s="94"/>
      <c r="H142" s="94"/>
      <c r="I142" s="94"/>
      <c r="J142" s="94"/>
      <c r="K142" s="94"/>
      <c r="L142" s="94"/>
      <c r="M142" s="51"/>
    </row>
    <row r="143" spans="2:13">
      <c r="B143" s="5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51"/>
    </row>
    <row r="144" spans="2:13">
      <c r="B144" s="46"/>
      <c r="C144" s="94" t="s">
        <v>89</v>
      </c>
      <c r="D144" s="94"/>
      <c r="E144" s="94"/>
      <c r="F144" s="94"/>
      <c r="G144" s="94"/>
      <c r="H144" s="94"/>
      <c r="I144" s="94"/>
      <c r="J144" s="94"/>
      <c r="K144" s="94"/>
      <c r="L144" s="94"/>
      <c r="M144" s="51"/>
    </row>
    <row r="145" spans="2:13" s="52" customFormat="1" ht="13.5">
      <c r="B145" s="43"/>
      <c r="C145" s="183" t="s">
        <v>90</v>
      </c>
      <c r="D145" s="183" t="s">
        <v>91</v>
      </c>
      <c r="E145" s="183" t="s">
        <v>93</v>
      </c>
      <c r="F145" s="183" t="s">
        <v>94</v>
      </c>
      <c r="G145" s="183" t="s">
        <v>114</v>
      </c>
      <c r="H145" s="94"/>
      <c r="I145" s="94"/>
      <c r="J145" s="94"/>
      <c r="K145" s="94"/>
      <c r="L145" s="94"/>
      <c r="M145" s="45"/>
    </row>
    <row r="146" spans="2:13" s="52" customFormat="1" ht="13.5">
      <c r="B146" s="43"/>
      <c r="C146" s="183">
        <v>0</v>
      </c>
      <c r="D146" s="183"/>
      <c r="E146" s="183"/>
      <c r="F146" s="183"/>
      <c r="G146" s="183"/>
      <c r="H146" s="94"/>
      <c r="I146" s="94"/>
      <c r="J146" s="94"/>
      <c r="K146" s="94"/>
      <c r="L146" s="94"/>
      <c r="M146" s="45"/>
    </row>
    <row r="147" spans="2:13" s="52" customFormat="1" ht="13.5">
      <c r="B147" s="43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45"/>
    </row>
    <row r="148" spans="2:13" s="52" customFormat="1" ht="13.5">
      <c r="B148" s="43"/>
      <c r="C148" s="47" t="s">
        <v>87</v>
      </c>
      <c r="D148" s="48" t="s">
        <v>174</v>
      </c>
      <c r="E148" s="49"/>
      <c r="F148" s="50"/>
      <c r="G148" s="50"/>
      <c r="H148" s="50"/>
      <c r="I148" s="50"/>
      <c r="J148" s="50"/>
      <c r="K148" s="50"/>
      <c r="L148" s="50"/>
      <c r="M148" s="45"/>
    </row>
    <row r="149" spans="2:13" s="52" customFormat="1" ht="13.5">
      <c r="B149" s="43"/>
      <c r="C149" s="94" t="s">
        <v>88</v>
      </c>
      <c r="D149" s="94"/>
      <c r="E149" s="94"/>
      <c r="F149" s="94"/>
      <c r="G149" s="94"/>
      <c r="H149" s="94"/>
      <c r="I149" s="94"/>
      <c r="J149" s="94"/>
      <c r="K149" s="94"/>
      <c r="L149" s="94"/>
      <c r="M149" s="45"/>
    </row>
    <row r="150" spans="2:13" s="52" customFormat="1" ht="13.5">
      <c r="B150" s="43"/>
      <c r="C150" s="94" t="s">
        <v>178</v>
      </c>
      <c r="D150" s="94"/>
      <c r="E150" s="94"/>
      <c r="F150" s="94"/>
      <c r="G150" s="94"/>
      <c r="H150" s="94"/>
      <c r="I150" s="94"/>
      <c r="J150" s="94"/>
      <c r="K150" s="94"/>
      <c r="L150" s="94"/>
      <c r="M150" s="45"/>
    </row>
    <row r="151" spans="2:13" s="52" customFormat="1" ht="13.5">
      <c r="B151" s="43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45"/>
    </row>
    <row r="152" spans="2:13" s="52" customFormat="1" ht="13.5">
      <c r="B152" s="43"/>
      <c r="C152" s="94" t="s">
        <v>89</v>
      </c>
      <c r="D152" s="94"/>
      <c r="E152" s="94"/>
      <c r="F152" s="94"/>
      <c r="G152" s="94"/>
      <c r="H152" s="94"/>
      <c r="I152" s="94"/>
      <c r="J152" s="94"/>
      <c r="K152" s="94"/>
      <c r="L152" s="94"/>
      <c r="M152" s="45"/>
    </row>
    <row r="153" spans="2:13" s="52" customFormat="1" ht="13.5">
      <c r="B153" s="43"/>
      <c r="C153" s="183" t="s">
        <v>118</v>
      </c>
      <c r="D153" s="183" t="s">
        <v>119</v>
      </c>
      <c r="E153" s="183" t="s">
        <v>95</v>
      </c>
      <c r="F153" s="183" t="s">
        <v>120</v>
      </c>
      <c r="G153" s="183" t="s">
        <v>121</v>
      </c>
      <c r="H153" s="94"/>
      <c r="I153" s="94"/>
      <c r="J153" s="94"/>
      <c r="K153" s="94"/>
      <c r="L153" s="94"/>
      <c r="M153" s="45"/>
    </row>
    <row r="154" spans="2:13" s="52" customFormat="1" ht="13.5">
      <c r="B154" s="43"/>
      <c r="C154" s="183">
        <v>-2</v>
      </c>
      <c r="D154" s="183" t="s">
        <v>122</v>
      </c>
      <c r="E154" s="183" t="s">
        <v>179</v>
      </c>
      <c r="F154" s="183" t="s">
        <v>180</v>
      </c>
      <c r="G154" s="183" t="s">
        <v>79</v>
      </c>
      <c r="H154" s="94"/>
      <c r="I154" s="94"/>
      <c r="J154" s="94"/>
      <c r="K154" s="94"/>
      <c r="L154" s="94"/>
      <c r="M154" s="45"/>
    </row>
    <row r="155" spans="2:13" s="52" customFormat="1" ht="13.5">
      <c r="B155" s="43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45"/>
    </row>
    <row r="156" spans="2:13" s="52" customFormat="1" ht="13.5">
      <c r="B156" s="43"/>
      <c r="C156" s="47" t="s">
        <v>87</v>
      </c>
      <c r="D156" s="48" t="s">
        <v>72</v>
      </c>
      <c r="E156" s="49"/>
      <c r="F156" s="50"/>
      <c r="G156" s="50"/>
      <c r="H156" s="50"/>
      <c r="I156" s="50"/>
      <c r="J156" s="50"/>
      <c r="K156" s="50"/>
      <c r="L156" s="50"/>
      <c r="M156" s="45"/>
    </row>
    <row r="157" spans="2:13" s="52" customFormat="1" ht="13.5">
      <c r="B157" s="43"/>
      <c r="C157" s="94" t="s">
        <v>88</v>
      </c>
      <c r="D157" s="94"/>
      <c r="E157" s="94"/>
      <c r="F157" s="94"/>
      <c r="G157" s="94"/>
      <c r="H157" s="94"/>
      <c r="I157" s="94"/>
      <c r="J157" s="94"/>
      <c r="K157" s="94"/>
      <c r="L157" s="94"/>
      <c r="M157" s="45"/>
    </row>
    <row r="158" spans="2:13" s="52" customFormat="1" ht="13.5">
      <c r="B158" s="43"/>
      <c r="C158" s="94" t="s">
        <v>181</v>
      </c>
      <c r="D158" s="94"/>
      <c r="E158" s="94"/>
      <c r="F158" s="94"/>
      <c r="G158" s="94"/>
      <c r="H158" s="94"/>
      <c r="I158" s="94"/>
      <c r="J158" s="94"/>
      <c r="K158" s="94"/>
      <c r="L158" s="94"/>
      <c r="M158" s="45"/>
    </row>
    <row r="159" spans="2:13" s="52" customFormat="1" ht="13.5">
      <c r="B159" s="43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45"/>
    </row>
    <row r="160" spans="2:13" s="52" customFormat="1" ht="13.5">
      <c r="B160" s="43"/>
      <c r="C160" s="94" t="s">
        <v>89</v>
      </c>
      <c r="D160" s="94"/>
      <c r="E160" s="94"/>
      <c r="F160" s="94"/>
      <c r="G160" s="94"/>
      <c r="H160" s="94"/>
      <c r="I160" s="94"/>
      <c r="J160" s="94"/>
      <c r="K160" s="94"/>
      <c r="L160" s="94"/>
      <c r="M160" s="45"/>
    </row>
    <row r="161" spans="2:13">
      <c r="B161" s="54"/>
      <c r="C161" s="183" t="s">
        <v>90</v>
      </c>
      <c r="D161" s="183" t="s">
        <v>91</v>
      </c>
      <c r="E161" s="183" t="s">
        <v>93</v>
      </c>
      <c r="F161" s="183" t="s">
        <v>94</v>
      </c>
      <c r="G161" s="183" t="s">
        <v>114</v>
      </c>
      <c r="H161" s="94"/>
      <c r="I161" s="94"/>
      <c r="J161" s="94"/>
      <c r="K161" s="94"/>
      <c r="L161" s="94"/>
      <c r="M161" s="51"/>
    </row>
    <row r="162" spans="2:13">
      <c r="B162" s="54"/>
      <c r="C162" s="183">
        <v>-2</v>
      </c>
      <c r="D162" s="183" t="s">
        <v>92</v>
      </c>
      <c r="E162" s="183" t="s">
        <v>176</v>
      </c>
      <c r="F162" s="183" t="s">
        <v>177</v>
      </c>
      <c r="G162" s="183" t="s">
        <v>116</v>
      </c>
      <c r="H162" s="94"/>
      <c r="I162" s="94"/>
      <c r="J162" s="94"/>
      <c r="K162" s="94"/>
      <c r="L162" s="94"/>
      <c r="M162" s="51"/>
    </row>
    <row r="163" spans="2:13" ht="15.5" thickBot="1">
      <c r="B163" s="5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51"/>
    </row>
    <row r="164" spans="2:13" s="52" customFormat="1" ht="13.5">
      <c r="B164" s="92" t="s">
        <v>184</v>
      </c>
      <c r="C164" s="41" t="s">
        <v>183</v>
      </c>
      <c r="D164" s="41"/>
      <c r="E164" s="41"/>
      <c r="F164" s="41"/>
      <c r="G164" s="41"/>
      <c r="H164" s="41"/>
      <c r="I164" s="41"/>
      <c r="J164" s="41"/>
      <c r="K164" s="41"/>
      <c r="L164" s="41"/>
      <c r="M164" s="42"/>
    </row>
    <row r="165" spans="2:13">
      <c r="B165" s="5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51"/>
    </row>
    <row r="166" spans="2:13">
      <c r="B166" s="54"/>
      <c r="C166" s="47" t="s">
        <v>87</v>
      </c>
      <c r="D166" s="48" t="s">
        <v>185</v>
      </c>
      <c r="E166" s="49"/>
      <c r="F166" s="50"/>
      <c r="G166" s="50"/>
      <c r="H166" s="50"/>
      <c r="I166" s="50"/>
      <c r="J166" s="50"/>
      <c r="K166" s="50"/>
      <c r="L166" s="50"/>
      <c r="M166" s="51"/>
    </row>
    <row r="167" spans="2:13">
      <c r="B167" s="54"/>
      <c r="C167" s="94" t="s">
        <v>88</v>
      </c>
      <c r="D167" s="94"/>
      <c r="E167" s="94"/>
      <c r="F167" s="94"/>
      <c r="G167" s="94"/>
      <c r="H167" s="94"/>
      <c r="I167" s="94"/>
      <c r="J167" s="94"/>
      <c r="K167" s="94"/>
      <c r="L167" s="94"/>
      <c r="M167" s="51"/>
    </row>
    <row r="168" spans="2:13">
      <c r="B168" s="46"/>
      <c r="C168" s="94" t="s">
        <v>112</v>
      </c>
      <c r="D168" s="94"/>
      <c r="E168" s="94"/>
      <c r="F168" s="94"/>
      <c r="G168" s="94"/>
      <c r="H168" s="94"/>
      <c r="I168" s="94"/>
      <c r="J168" s="94"/>
      <c r="K168" s="94"/>
      <c r="L168" s="94"/>
      <c r="M168" s="51"/>
    </row>
    <row r="169" spans="2:13">
      <c r="B169" s="46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51"/>
    </row>
    <row r="170" spans="2:13" s="52" customFormat="1" ht="13.5">
      <c r="B170" s="43"/>
      <c r="C170" s="94" t="s">
        <v>89</v>
      </c>
      <c r="D170" s="94"/>
      <c r="E170" s="94"/>
      <c r="F170" s="94"/>
      <c r="G170" s="94"/>
      <c r="H170" s="94"/>
      <c r="I170" s="94"/>
      <c r="J170" s="94"/>
      <c r="K170" s="94"/>
      <c r="L170" s="94"/>
      <c r="M170" s="45"/>
    </row>
    <row r="171" spans="2:13" s="52" customFormat="1" ht="13.5">
      <c r="B171" s="43"/>
      <c r="C171" s="183" t="s">
        <v>90</v>
      </c>
      <c r="D171" s="183" t="s">
        <v>91</v>
      </c>
      <c r="E171" s="183" t="s">
        <v>93</v>
      </c>
      <c r="F171" s="183" t="s">
        <v>94</v>
      </c>
      <c r="G171" s="183" t="s">
        <v>114</v>
      </c>
      <c r="H171" s="94"/>
      <c r="I171" s="94"/>
      <c r="J171" s="94"/>
      <c r="K171" s="94"/>
      <c r="L171" s="94"/>
      <c r="M171" s="45"/>
    </row>
    <row r="172" spans="2:13" s="52" customFormat="1" ht="13.5">
      <c r="B172" s="43"/>
      <c r="C172" s="183">
        <v>0</v>
      </c>
      <c r="D172" s="183"/>
      <c r="E172" s="183"/>
      <c r="F172" s="183"/>
      <c r="G172" s="183"/>
      <c r="H172" s="94"/>
      <c r="I172" s="94"/>
      <c r="J172" s="94"/>
      <c r="K172" s="94"/>
      <c r="L172" s="94"/>
      <c r="M172" s="45"/>
    </row>
    <row r="173" spans="2:13" s="52" customFormat="1" ht="13.5">
      <c r="B173" s="43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45"/>
    </row>
    <row r="174" spans="2:13" s="52" customFormat="1" ht="13.5">
      <c r="B174" s="43"/>
      <c r="C174" s="47" t="s">
        <v>87</v>
      </c>
      <c r="D174" s="48" t="s">
        <v>186</v>
      </c>
      <c r="E174" s="49"/>
      <c r="F174" s="50"/>
      <c r="G174" s="50"/>
      <c r="H174" s="50"/>
      <c r="I174" s="50"/>
      <c r="J174" s="50"/>
      <c r="K174" s="50"/>
      <c r="L174" s="50"/>
      <c r="M174" s="45"/>
    </row>
    <row r="175" spans="2:13" s="52" customFormat="1" ht="13.5">
      <c r="B175" s="43"/>
      <c r="C175" s="94" t="s">
        <v>88</v>
      </c>
      <c r="D175" s="94"/>
      <c r="E175" s="94"/>
      <c r="F175" s="94"/>
      <c r="G175" s="94"/>
      <c r="H175" s="94"/>
      <c r="I175" s="94"/>
      <c r="J175" s="94"/>
      <c r="K175" s="94"/>
      <c r="L175" s="94"/>
      <c r="M175" s="45"/>
    </row>
    <row r="176" spans="2:13" s="52" customFormat="1" ht="13.5">
      <c r="B176" s="43"/>
      <c r="C176" s="94" t="s">
        <v>192</v>
      </c>
      <c r="D176" s="94"/>
      <c r="E176" s="94"/>
      <c r="F176" s="94"/>
      <c r="G176" s="94"/>
      <c r="H176" s="94"/>
      <c r="I176" s="94"/>
      <c r="J176" s="94"/>
      <c r="K176" s="94"/>
      <c r="L176" s="94"/>
      <c r="M176" s="45"/>
    </row>
    <row r="177" spans="2:13" s="52" customFormat="1" ht="13.5">
      <c r="B177" s="43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45"/>
    </row>
    <row r="178" spans="2:13" s="52" customFormat="1" ht="13.5">
      <c r="B178" s="43"/>
      <c r="C178" s="94" t="s">
        <v>89</v>
      </c>
      <c r="D178" s="94"/>
      <c r="E178" s="94"/>
      <c r="F178" s="94"/>
      <c r="G178" s="94"/>
      <c r="H178" s="94"/>
      <c r="I178" s="94"/>
      <c r="J178" s="94"/>
      <c r="K178" s="94"/>
      <c r="L178" s="94"/>
      <c r="M178" s="45"/>
    </row>
    <row r="179" spans="2:13" s="52" customFormat="1" ht="13.5">
      <c r="B179" s="43"/>
      <c r="C179" s="183" t="s">
        <v>90</v>
      </c>
      <c r="D179" s="183" t="s">
        <v>91</v>
      </c>
      <c r="E179" s="183" t="s">
        <v>93</v>
      </c>
      <c r="F179" s="183" t="s">
        <v>94</v>
      </c>
      <c r="G179" s="183" t="s">
        <v>114</v>
      </c>
      <c r="H179" s="94"/>
      <c r="I179" s="94"/>
      <c r="J179" s="94"/>
      <c r="K179" s="94"/>
      <c r="L179" s="94"/>
      <c r="M179" s="45"/>
    </row>
    <row r="180" spans="2:13" s="52" customFormat="1" ht="13.5">
      <c r="B180" s="43"/>
      <c r="C180" s="183">
        <v>-2</v>
      </c>
      <c r="D180" s="183" t="s">
        <v>92</v>
      </c>
      <c r="E180" s="183" t="s">
        <v>251</v>
      </c>
      <c r="F180" s="183" t="s">
        <v>191</v>
      </c>
      <c r="G180" s="183" t="s">
        <v>116</v>
      </c>
      <c r="H180" s="94"/>
      <c r="I180" s="94"/>
      <c r="J180" s="94"/>
      <c r="K180" s="94"/>
      <c r="L180" s="94"/>
      <c r="M180" s="45"/>
    </row>
    <row r="181" spans="2:13" s="52" customFormat="1" ht="13.5">
      <c r="B181" s="43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45"/>
    </row>
    <row r="182" spans="2:13" s="52" customFormat="1" ht="13.5">
      <c r="B182" s="43"/>
      <c r="C182" s="47" t="s">
        <v>87</v>
      </c>
      <c r="D182" s="48" t="s">
        <v>187</v>
      </c>
      <c r="E182" s="49"/>
      <c r="F182" s="50"/>
      <c r="G182" s="50"/>
      <c r="H182" s="50"/>
      <c r="I182" s="50"/>
      <c r="J182" s="50"/>
      <c r="K182" s="50"/>
      <c r="L182" s="50"/>
      <c r="M182" s="45"/>
    </row>
    <row r="183" spans="2:13" s="52" customFormat="1" ht="13.5">
      <c r="B183" s="43"/>
      <c r="C183" s="94" t="s">
        <v>88</v>
      </c>
      <c r="D183" s="94"/>
      <c r="E183" s="94"/>
      <c r="F183" s="94"/>
      <c r="G183" s="94"/>
      <c r="H183" s="94"/>
      <c r="I183" s="94"/>
      <c r="J183" s="94"/>
      <c r="K183" s="94"/>
      <c r="L183" s="94"/>
      <c r="M183" s="45"/>
    </row>
    <row r="184" spans="2:13" s="52" customFormat="1" ht="13.5">
      <c r="B184" s="43"/>
      <c r="C184" s="94" t="s">
        <v>193</v>
      </c>
      <c r="D184" s="94"/>
      <c r="E184" s="94"/>
      <c r="F184" s="94"/>
      <c r="G184" s="94"/>
      <c r="H184" s="94"/>
      <c r="I184" s="94"/>
      <c r="J184" s="94"/>
      <c r="K184" s="94"/>
      <c r="L184" s="94"/>
      <c r="M184" s="45"/>
    </row>
    <row r="185" spans="2:13">
      <c r="B185" s="5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51"/>
    </row>
    <row r="186" spans="2:13">
      <c r="B186" s="54"/>
      <c r="C186" s="94" t="s">
        <v>89</v>
      </c>
      <c r="D186" s="94"/>
      <c r="E186" s="94"/>
      <c r="F186" s="94"/>
      <c r="G186" s="94"/>
      <c r="H186" s="94"/>
      <c r="I186" s="94"/>
      <c r="J186" s="94"/>
      <c r="K186" s="94"/>
      <c r="L186" s="94"/>
      <c r="M186" s="51"/>
    </row>
    <row r="187" spans="2:13">
      <c r="B187" s="54"/>
      <c r="C187" s="183" t="s">
        <v>90</v>
      </c>
      <c r="D187" s="183" t="s">
        <v>91</v>
      </c>
      <c r="E187" s="183" t="s">
        <v>93</v>
      </c>
      <c r="F187" s="183" t="s">
        <v>94</v>
      </c>
      <c r="G187" s="183" t="s">
        <v>114</v>
      </c>
      <c r="H187" s="94"/>
      <c r="I187" s="94"/>
      <c r="J187" s="94"/>
      <c r="K187" s="94"/>
      <c r="L187" s="94"/>
      <c r="M187" s="51"/>
    </row>
    <row r="188" spans="2:13">
      <c r="B188" s="54"/>
      <c r="C188" s="183">
        <v>-2</v>
      </c>
      <c r="D188" s="183" t="s">
        <v>92</v>
      </c>
      <c r="E188" s="183" t="s">
        <v>190</v>
      </c>
      <c r="F188" s="183" t="s">
        <v>191</v>
      </c>
      <c r="G188" s="183" t="s">
        <v>116</v>
      </c>
      <c r="H188" s="94"/>
      <c r="I188" s="94"/>
      <c r="J188" s="94"/>
      <c r="K188" s="94"/>
      <c r="L188" s="94"/>
      <c r="M188" s="51"/>
    </row>
    <row r="189" spans="2:13">
      <c r="B189" s="5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51"/>
    </row>
    <row r="190" spans="2:13">
      <c r="B190" s="54"/>
      <c r="C190" s="47" t="s">
        <v>87</v>
      </c>
      <c r="D190" s="48" t="s">
        <v>188</v>
      </c>
      <c r="E190" s="49"/>
      <c r="F190" s="50"/>
      <c r="G190" s="50"/>
      <c r="H190" s="50"/>
      <c r="I190" s="50"/>
      <c r="J190" s="50"/>
      <c r="K190" s="50"/>
      <c r="L190" s="50"/>
      <c r="M190" s="51"/>
    </row>
    <row r="191" spans="2:13">
      <c r="B191" s="54"/>
      <c r="C191" s="94" t="s">
        <v>88</v>
      </c>
      <c r="D191" s="94"/>
      <c r="E191" s="94"/>
      <c r="F191" s="94"/>
      <c r="G191" s="94"/>
      <c r="H191" s="94"/>
      <c r="I191" s="94"/>
      <c r="J191" s="94"/>
      <c r="K191" s="94"/>
      <c r="L191" s="94"/>
      <c r="M191" s="51"/>
    </row>
    <row r="192" spans="2:13">
      <c r="B192" s="54"/>
      <c r="C192" s="94" t="s">
        <v>112</v>
      </c>
      <c r="D192" s="94"/>
      <c r="E192" s="94"/>
      <c r="F192" s="94"/>
      <c r="G192" s="94"/>
      <c r="H192" s="94"/>
      <c r="I192" s="94"/>
      <c r="J192" s="94"/>
      <c r="K192" s="94"/>
      <c r="L192" s="94"/>
      <c r="M192" s="51"/>
    </row>
    <row r="193" spans="2:13">
      <c r="B193" s="46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51"/>
    </row>
    <row r="194" spans="2:13" s="52" customFormat="1" ht="13.5">
      <c r="B194" s="43"/>
      <c r="C194" s="94" t="s">
        <v>89</v>
      </c>
      <c r="D194" s="94"/>
      <c r="E194" s="94"/>
      <c r="F194" s="94"/>
      <c r="G194" s="94"/>
      <c r="H194" s="94"/>
      <c r="I194" s="94"/>
      <c r="J194" s="94"/>
      <c r="K194" s="94"/>
      <c r="L194" s="94"/>
      <c r="M194" s="45"/>
    </row>
    <row r="195" spans="2:13" s="52" customFormat="1" ht="13.5">
      <c r="B195" s="43"/>
      <c r="C195" s="183" t="s">
        <v>90</v>
      </c>
      <c r="D195" s="183" t="s">
        <v>91</v>
      </c>
      <c r="E195" s="183" t="s">
        <v>93</v>
      </c>
      <c r="F195" s="183" t="s">
        <v>94</v>
      </c>
      <c r="G195" s="183" t="s">
        <v>114</v>
      </c>
      <c r="H195" s="94"/>
      <c r="I195" s="94"/>
      <c r="J195" s="94"/>
      <c r="K195" s="94"/>
      <c r="L195" s="94"/>
      <c r="M195" s="45"/>
    </row>
    <row r="196" spans="2:13" s="52" customFormat="1" ht="13.5">
      <c r="B196" s="43"/>
      <c r="C196" s="183">
        <v>0</v>
      </c>
      <c r="D196" s="183"/>
      <c r="E196" s="183"/>
      <c r="F196" s="183"/>
      <c r="G196" s="183"/>
      <c r="H196" s="94"/>
      <c r="I196" s="94"/>
      <c r="J196" s="94"/>
      <c r="K196" s="94"/>
      <c r="L196" s="94"/>
      <c r="M196" s="45"/>
    </row>
    <row r="197" spans="2:13" s="52" customFormat="1" ht="13.5">
      <c r="B197" s="43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45"/>
    </row>
    <row r="198" spans="2:13" s="52" customFormat="1" ht="13.5">
      <c r="B198" s="43"/>
      <c r="C198" s="47" t="s">
        <v>87</v>
      </c>
      <c r="D198" s="48" t="s">
        <v>73</v>
      </c>
      <c r="E198" s="49"/>
      <c r="F198" s="50"/>
      <c r="G198" s="50"/>
      <c r="H198" s="50"/>
      <c r="I198" s="50"/>
      <c r="J198" s="50"/>
      <c r="K198" s="50"/>
      <c r="L198" s="50"/>
      <c r="M198" s="45"/>
    </row>
    <row r="199" spans="2:13" s="52" customFormat="1" ht="13.5">
      <c r="B199" s="43"/>
      <c r="C199" s="94" t="s">
        <v>88</v>
      </c>
      <c r="D199" s="94"/>
      <c r="E199" s="94"/>
      <c r="F199" s="94"/>
      <c r="G199" s="94"/>
      <c r="H199" s="94"/>
      <c r="I199" s="94"/>
      <c r="J199" s="94"/>
      <c r="K199" s="94"/>
      <c r="L199" s="94"/>
      <c r="M199" s="45"/>
    </row>
    <row r="200" spans="2:13" s="52" customFormat="1" ht="13.5">
      <c r="B200" s="43"/>
      <c r="C200" s="94" t="s">
        <v>195</v>
      </c>
      <c r="D200" s="94"/>
      <c r="E200" s="94"/>
      <c r="F200" s="94"/>
      <c r="G200" s="94"/>
      <c r="H200" s="94"/>
      <c r="I200" s="94"/>
      <c r="J200" s="94"/>
      <c r="K200" s="94"/>
      <c r="L200" s="94"/>
      <c r="M200" s="45"/>
    </row>
    <row r="201" spans="2:13" s="52" customFormat="1" ht="13.5">
      <c r="B201" s="43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45"/>
    </row>
    <row r="202" spans="2:13" s="52" customFormat="1" ht="13.5">
      <c r="B202" s="43"/>
      <c r="C202" s="94" t="s">
        <v>89</v>
      </c>
      <c r="D202" s="94"/>
      <c r="E202" s="94"/>
      <c r="F202" s="94"/>
      <c r="G202" s="94"/>
      <c r="H202" s="94"/>
      <c r="I202" s="94"/>
      <c r="J202" s="94"/>
      <c r="K202" s="94"/>
      <c r="L202" s="94"/>
      <c r="M202" s="45"/>
    </row>
    <row r="203" spans="2:13" s="52" customFormat="1" ht="13.5">
      <c r="B203" s="43"/>
      <c r="C203" s="183" t="s">
        <v>90</v>
      </c>
      <c r="D203" s="183" t="s">
        <v>91</v>
      </c>
      <c r="E203" s="183" t="s">
        <v>93</v>
      </c>
      <c r="F203" s="183" t="s">
        <v>94</v>
      </c>
      <c r="G203" s="183" t="s">
        <v>114</v>
      </c>
      <c r="H203" s="94"/>
      <c r="I203" s="94"/>
      <c r="J203" s="94"/>
      <c r="K203" s="94"/>
      <c r="L203" s="94"/>
      <c r="M203" s="45"/>
    </row>
    <row r="204" spans="2:13" s="52" customFormat="1" ht="13.5">
      <c r="B204" s="43"/>
      <c r="C204" s="183">
        <v>-2</v>
      </c>
      <c r="D204" s="183" t="s">
        <v>92</v>
      </c>
      <c r="E204" s="183" t="s">
        <v>255</v>
      </c>
      <c r="F204" s="183" t="s">
        <v>194</v>
      </c>
      <c r="G204" s="183" t="s">
        <v>116</v>
      </c>
      <c r="H204" s="94"/>
      <c r="I204" s="94"/>
      <c r="J204" s="94"/>
      <c r="K204" s="94"/>
      <c r="L204" s="94"/>
      <c r="M204" s="45"/>
    </row>
    <row r="205" spans="2:13" s="52" customFormat="1" ht="14" thickBot="1">
      <c r="B205" s="43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45"/>
    </row>
    <row r="206" spans="2:13" s="52" customFormat="1" ht="13.5">
      <c r="B206" s="92" t="s">
        <v>196</v>
      </c>
      <c r="C206" s="41" t="s">
        <v>198</v>
      </c>
      <c r="D206" s="41"/>
      <c r="E206" s="41"/>
      <c r="F206" s="41"/>
      <c r="G206" s="41"/>
      <c r="H206" s="41"/>
      <c r="I206" s="41"/>
      <c r="J206" s="41"/>
      <c r="K206" s="41"/>
      <c r="L206" s="41"/>
      <c r="M206" s="42"/>
    </row>
    <row r="207" spans="2:13" s="52" customFormat="1" ht="13.5">
      <c r="B207" s="43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45"/>
    </row>
    <row r="208" spans="2:13" s="52" customFormat="1" ht="13.5">
      <c r="B208" s="43"/>
      <c r="C208" s="47" t="s">
        <v>87</v>
      </c>
      <c r="D208" s="48" t="s">
        <v>199</v>
      </c>
      <c r="E208" s="49"/>
      <c r="F208" s="50"/>
      <c r="G208" s="50"/>
      <c r="H208" s="50"/>
      <c r="I208" s="50"/>
      <c r="J208" s="50"/>
      <c r="K208" s="50"/>
      <c r="L208" s="50"/>
      <c r="M208" s="45"/>
    </row>
    <row r="209" spans="2:13" s="52" customFormat="1" ht="13.5">
      <c r="B209" s="43"/>
      <c r="C209" s="94" t="s">
        <v>88</v>
      </c>
      <c r="D209" s="94"/>
      <c r="E209" s="94"/>
      <c r="F209" s="94"/>
      <c r="G209" s="94"/>
      <c r="H209" s="94"/>
      <c r="I209" s="94"/>
      <c r="J209" s="94"/>
      <c r="K209" s="94"/>
      <c r="L209" s="94"/>
      <c r="M209" s="45"/>
    </row>
    <row r="210" spans="2:13" s="52" customFormat="1" ht="13.5">
      <c r="B210" s="43"/>
      <c r="C210" s="94" t="s">
        <v>112</v>
      </c>
      <c r="D210" s="94"/>
      <c r="E210" s="94"/>
      <c r="F210" s="94"/>
      <c r="G210" s="94"/>
      <c r="H210" s="94"/>
      <c r="I210" s="94"/>
      <c r="J210" s="94"/>
      <c r="K210" s="94"/>
      <c r="L210" s="94"/>
      <c r="M210" s="45"/>
    </row>
    <row r="211" spans="2:13">
      <c r="B211" s="5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51"/>
    </row>
    <row r="212" spans="2:13">
      <c r="B212" s="54"/>
      <c r="C212" s="94" t="s">
        <v>89</v>
      </c>
      <c r="D212" s="94"/>
      <c r="E212" s="94"/>
      <c r="F212" s="94"/>
      <c r="G212" s="94"/>
      <c r="H212" s="94"/>
      <c r="I212" s="94"/>
      <c r="J212" s="94"/>
      <c r="K212" s="94"/>
      <c r="L212" s="94"/>
      <c r="M212" s="51"/>
    </row>
    <row r="213" spans="2:13">
      <c r="B213" s="54"/>
      <c r="C213" s="183" t="s">
        <v>90</v>
      </c>
      <c r="D213" s="183" t="s">
        <v>91</v>
      </c>
      <c r="E213" s="183" t="s">
        <v>93</v>
      </c>
      <c r="F213" s="183" t="s">
        <v>94</v>
      </c>
      <c r="G213" s="183" t="s">
        <v>114</v>
      </c>
      <c r="H213" s="94"/>
      <c r="I213" s="94"/>
      <c r="J213" s="94"/>
      <c r="K213" s="94"/>
      <c r="L213" s="94"/>
      <c r="M213" s="51"/>
    </row>
    <row r="214" spans="2:13">
      <c r="B214" s="54"/>
      <c r="C214" s="183">
        <v>0</v>
      </c>
      <c r="D214" s="183"/>
      <c r="E214" s="183"/>
      <c r="F214" s="183"/>
      <c r="G214" s="183"/>
      <c r="H214" s="94"/>
      <c r="I214" s="94"/>
      <c r="J214" s="94"/>
      <c r="K214" s="94"/>
      <c r="L214" s="94"/>
      <c r="M214" s="51"/>
    </row>
    <row r="215" spans="2:13">
      <c r="B215" s="5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51"/>
    </row>
    <row r="216" spans="2:13">
      <c r="B216" s="54"/>
      <c r="C216" s="47" t="s">
        <v>87</v>
      </c>
      <c r="D216" s="48" t="s">
        <v>200</v>
      </c>
      <c r="E216" s="49"/>
      <c r="F216" s="50"/>
      <c r="G216" s="50"/>
      <c r="H216" s="50"/>
      <c r="I216" s="50"/>
      <c r="J216" s="50"/>
      <c r="K216" s="50"/>
      <c r="L216" s="50"/>
      <c r="M216" s="51"/>
    </row>
    <row r="217" spans="2:13">
      <c r="B217" s="54"/>
      <c r="C217" s="94" t="s">
        <v>88</v>
      </c>
      <c r="D217" s="94"/>
      <c r="E217" s="94"/>
      <c r="F217" s="94"/>
      <c r="G217" s="94"/>
      <c r="H217" s="94"/>
      <c r="I217" s="94"/>
      <c r="J217" s="94"/>
      <c r="K217" s="94"/>
      <c r="L217" s="94"/>
      <c r="M217" s="51"/>
    </row>
    <row r="218" spans="2:13">
      <c r="B218" s="54"/>
      <c r="C218" s="94" t="s">
        <v>203</v>
      </c>
      <c r="D218" s="94"/>
      <c r="E218" s="94"/>
      <c r="F218" s="94"/>
      <c r="G218" s="94"/>
      <c r="H218" s="94"/>
      <c r="I218" s="94"/>
      <c r="J218" s="94"/>
      <c r="K218" s="94"/>
      <c r="L218" s="94"/>
      <c r="M218" s="51"/>
    </row>
    <row r="219" spans="2:13">
      <c r="B219" s="5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51"/>
    </row>
    <row r="220" spans="2:13">
      <c r="B220" s="54"/>
      <c r="C220" s="94" t="s">
        <v>89</v>
      </c>
      <c r="D220" s="94"/>
      <c r="E220" s="94"/>
      <c r="F220" s="94"/>
      <c r="G220" s="94"/>
      <c r="H220" s="94"/>
      <c r="I220" s="94"/>
      <c r="J220" s="94"/>
      <c r="K220" s="94"/>
      <c r="L220" s="94"/>
      <c r="M220" s="51"/>
    </row>
    <row r="221" spans="2:13">
      <c r="B221" s="54"/>
      <c r="C221" s="183" t="s">
        <v>90</v>
      </c>
      <c r="D221" s="183" t="s">
        <v>91</v>
      </c>
      <c r="E221" s="183" t="s">
        <v>93</v>
      </c>
      <c r="F221" s="183" t="s">
        <v>94</v>
      </c>
      <c r="G221" s="183" t="s">
        <v>114</v>
      </c>
      <c r="H221" s="94"/>
      <c r="I221" s="94"/>
      <c r="J221" s="94"/>
      <c r="K221" s="94"/>
      <c r="L221" s="94"/>
      <c r="M221" s="51"/>
    </row>
    <row r="222" spans="2:13">
      <c r="B222" s="54"/>
      <c r="C222" s="183">
        <v>-2</v>
      </c>
      <c r="D222" s="183" t="s">
        <v>92</v>
      </c>
      <c r="E222" s="183" t="s">
        <v>253</v>
      </c>
      <c r="F222" s="183" t="s">
        <v>204</v>
      </c>
      <c r="G222" s="183" t="s">
        <v>116</v>
      </c>
      <c r="H222" s="94"/>
      <c r="I222" s="94"/>
      <c r="J222" s="94"/>
      <c r="K222" s="94"/>
      <c r="L222" s="94"/>
      <c r="M222" s="51"/>
    </row>
    <row r="223" spans="2:13">
      <c r="B223" s="5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51"/>
    </row>
    <row r="224" spans="2:13">
      <c r="B224" s="54"/>
      <c r="C224" s="47" t="s">
        <v>87</v>
      </c>
      <c r="D224" s="48" t="s">
        <v>201</v>
      </c>
      <c r="E224" s="49"/>
      <c r="F224" s="50"/>
      <c r="G224" s="50"/>
      <c r="H224" s="50"/>
      <c r="I224" s="50"/>
      <c r="J224" s="50"/>
      <c r="K224" s="50"/>
      <c r="L224" s="50"/>
      <c r="M224" s="51"/>
    </row>
    <row r="225" spans="2:13">
      <c r="B225" s="54"/>
      <c r="C225" s="94" t="s">
        <v>88</v>
      </c>
      <c r="D225" s="94"/>
      <c r="E225" s="94"/>
      <c r="F225" s="94"/>
      <c r="G225" s="94"/>
      <c r="H225" s="94"/>
      <c r="I225" s="94"/>
      <c r="J225" s="94"/>
      <c r="K225" s="94"/>
      <c r="L225" s="94"/>
      <c r="M225" s="51"/>
    </row>
    <row r="226" spans="2:13">
      <c r="B226" s="54"/>
      <c r="C226" s="94" t="s">
        <v>205</v>
      </c>
      <c r="D226" s="94"/>
      <c r="E226" s="94"/>
      <c r="F226" s="94"/>
      <c r="G226" s="94"/>
      <c r="H226" s="94"/>
      <c r="I226" s="94"/>
      <c r="J226" s="94"/>
      <c r="K226" s="94"/>
      <c r="L226" s="94"/>
      <c r="M226" s="51"/>
    </row>
    <row r="227" spans="2:13">
      <c r="B227" s="5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51"/>
    </row>
    <row r="228" spans="2:13" s="52" customFormat="1" ht="13.5">
      <c r="B228" s="43"/>
      <c r="C228" s="94" t="s">
        <v>89</v>
      </c>
      <c r="D228" s="94"/>
      <c r="E228" s="94"/>
      <c r="F228" s="94"/>
      <c r="G228" s="94"/>
      <c r="H228" s="94"/>
      <c r="I228" s="94"/>
      <c r="J228" s="94"/>
      <c r="K228" s="94"/>
      <c r="L228" s="94"/>
      <c r="M228" s="45"/>
    </row>
    <row r="229" spans="2:13" s="52" customFormat="1" ht="13.5">
      <c r="B229" s="43"/>
      <c r="C229" s="183" t="s">
        <v>90</v>
      </c>
      <c r="D229" s="183" t="s">
        <v>91</v>
      </c>
      <c r="E229" s="183" t="s">
        <v>93</v>
      </c>
      <c r="F229" s="183" t="s">
        <v>94</v>
      </c>
      <c r="G229" s="183" t="s">
        <v>114</v>
      </c>
      <c r="H229" s="94"/>
      <c r="I229" s="94"/>
      <c r="J229" s="94"/>
      <c r="K229" s="94"/>
      <c r="L229" s="94"/>
      <c r="M229" s="45"/>
    </row>
    <row r="230" spans="2:13" s="52" customFormat="1" ht="13.5">
      <c r="B230" s="43"/>
      <c r="C230" s="183">
        <v>-2</v>
      </c>
      <c r="D230" s="183" t="s">
        <v>92</v>
      </c>
      <c r="E230" s="183" t="s">
        <v>257</v>
      </c>
      <c r="F230" s="183" t="s">
        <v>207</v>
      </c>
      <c r="G230" s="183" t="s">
        <v>116</v>
      </c>
      <c r="H230" s="94"/>
      <c r="I230" s="94"/>
      <c r="J230" s="94"/>
      <c r="K230" s="94"/>
      <c r="L230" s="94"/>
      <c r="M230" s="45"/>
    </row>
    <row r="231" spans="2:13" s="52" customFormat="1" ht="13.5">
      <c r="B231" s="43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45"/>
    </row>
    <row r="232" spans="2:13" s="52" customFormat="1" ht="13.5">
      <c r="B232" s="43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45"/>
    </row>
    <row r="233" spans="2:13" s="52" customFormat="1" ht="13.5">
      <c r="B233" s="43"/>
      <c r="C233" s="47" t="s">
        <v>87</v>
      </c>
      <c r="D233" s="48" t="s">
        <v>202</v>
      </c>
      <c r="E233" s="49"/>
      <c r="F233" s="50"/>
      <c r="G233" s="50"/>
      <c r="H233" s="50"/>
      <c r="I233" s="50"/>
      <c r="J233" s="50"/>
      <c r="K233" s="50"/>
      <c r="L233" s="50"/>
      <c r="M233" s="45"/>
    </row>
    <row r="234" spans="2:13" s="52" customFormat="1" ht="13.5">
      <c r="B234" s="43"/>
      <c r="C234" s="94" t="s">
        <v>88</v>
      </c>
      <c r="D234" s="94"/>
      <c r="E234" s="94"/>
      <c r="F234" s="94"/>
      <c r="G234" s="94"/>
      <c r="H234" s="94"/>
      <c r="I234" s="94"/>
      <c r="J234" s="94"/>
      <c r="K234" s="94"/>
      <c r="L234" s="94"/>
      <c r="M234" s="45"/>
    </row>
    <row r="235" spans="2:13" s="52" customFormat="1" ht="13.5">
      <c r="B235" s="43"/>
      <c r="C235" s="94" t="s">
        <v>208</v>
      </c>
      <c r="D235" s="94"/>
      <c r="E235" s="94"/>
      <c r="F235" s="94"/>
      <c r="G235" s="94"/>
      <c r="H235" s="94"/>
      <c r="I235" s="94"/>
      <c r="J235" s="94"/>
      <c r="K235" s="94"/>
      <c r="L235" s="94"/>
      <c r="M235" s="45"/>
    </row>
    <row r="236" spans="2:13" s="52" customFormat="1" ht="13.5">
      <c r="B236" s="43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45"/>
    </row>
    <row r="237" spans="2:13" s="52" customFormat="1" ht="13.5">
      <c r="B237" s="43"/>
      <c r="C237" s="94" t="s">
        <v>89</v>
      </c>
      <c r="D237" s="94"/>
      <c r="E237" s="94"/>
      <c r="F237" s="94"/>
      <c r="G237" s="94"/>
      <c r="H237" s="94"/>
      <c r="I237" s="94"/>
      <c r="J237" s="94"/>
      <c r="K237" s="94"/>
      <c r="L237" s="94"/>
      <c r="M237" s="45"/>
    </row>
    <row r="238" spans="2:13" s="52" customFormat="1" ht="13.5">
      <c r="B238" s="43"/>
      <c r="C238" s="183" t="s">
        <v>90</v>
      </c>
      <c r="D238" s="183" t="s">
        <v>91</v>
      </c>
      <c r="E238" s="183" t="s">
        <v>93</v>
      </c>
      <c r="F238" s="183" t="s">
        <v>94</v>
      </c>
      <c r="G238" s="183" t="s">
        <v>114</v>
      </c>
      <c r="H238" s="94"/>
      <c r="I238" s="94"/>
      <c r="J238" s="94"/>
      <c r="K238" s="94"/>
      <c r="L238" s="94"/>
      <c r="M238" s="45"/>
    </row>
    <row r="239" spans="2:13" s="52" customFormat="1" ht="13.5">
      <c r="B239" s="43"/>
      <c r="C239" s="183">
        <v>-2</v>
      </c>
      <c r="D239" s="183" t="s">
        <v>92</v>
      </c>
      <c r="E239" s="183" t="s">
        <v>206</v>
      </c>
      <c r="F239" s="183" t="s">
        <v>207</v>
      </c>
      <c r="G239" s="183" t="s">
        <v>116</v>
      </c>
      <c r="H239" s="94"/>
      <c r="I239" s="94"/>
      <c r="J239" s="94"/>
      <c r="K239" s="94"/>
      <c r="L239" s="94"/>
      <c r="M239" s="45"/>
    </row>
    <row r="240" spans="2:13" s="52" customFormat="1" ht="14" thickBot="1">
      <c r="B240" s="43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45"/>
    </row>
    <row r="241" spans="2:13" s="52" customFormat="1" ht="13.5">
      <c r="B241" s="92" t="s">
        <v>211</v>
      </c>
      <c r="C241" s="41" t="s">
        <v>210</v>
      </c>
      <c r="D241" s="41"/>
      <c r="E241" s="41"/>
      <c r="F241" s="41"/>
      <c r="G241" s="41"/>
      <c r="H241" s="41"/>
      <c r="I241" s="41"/>
      <c r="J241" s="41"/>
      <c r="K241" s="41"/>
      <c r="L241" s="41"/>
      <c r="M241" s="42"/>
    </row>
    <row r="242" spans="2:13" s="52" customFormat="1" ht="13.5">
      <c r="B242" s="43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45"/>
    </row>
    <row r="243" spans="2:13">
      <c r="B243" s="54"/>
      <c r="C243" s="47" t="s">
        <v>87</v>
      </c>
      <c r="D243" s="48" t="s">
        <v>212</v>
      </c>
      <c r="E243" s="49"/>
      <c r="F243" s="50"/>
      <c r="G243" s="50"/>
      <c r="H243" s="50"/>
      <c r="I243" s="50"/>
      <c r="J243" s="50"/>
      <c r="K243" s="50"/>
      <c r="L243" s="50"/>
      <c r="M243" s="51"/>
    </row>
    <row r="244" spans="2:13">
      <c r="B244" s="54"/>
      <c r="C244" s="94" t="s">
        <v>88</v>
      </c>
      <c r="D244" s="94"/>
      <c r="E244" s="94"/>
      <c r="F244" s="94"/>
      <c r="G244" s="94"/>
      <c r="H244" s="94"/>
      <c r="I244" s="94"/>
      <c r="J244" s="94"/>
      <c r="K244" s="94"/>
      <c r="L244" s="94"/>
      <c r="M244" s="51"/>
    </row>
    <row r="245" spans="2:13">
      <c r="B245" s="54"/>
      <c r="C245" s="94" t="s">
        <v>112</v>
      </c>
      <c r="D245" s="94"/>
      <c r="E245" s="94"/>
      <c r="F245" s="94"/>
      <c r="G245" s="94"/>
      <c r="H245" s="94"/>
      <c r="I245" s="94"/>
      <c r="J245" s="94"/>
      <c r="K245" s="94"/>
      <c r="L245" s="94"/>
      <c r="M245" s="51"/>
    </row>
    <row r="246" spans="2:13">
      <c r="B246" s="5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51"/>
    </row>
    <row r="247" spans="2:13">
      <c r="B247" s="54"/>
      <c r="C247" s="94" t="s">
        <v>89</v>
      </c>
      <c r="D247" s="94"/>
      <c r="E247" s="94"/>
      <c r="F247" s="94"/>
      <c r="G247" s="94"/>
      <c r="H247" s="94"/>
      <c r="I247" s="94"/>
      <c r="J247" s="94"/>
      <c r="K247" s="94"/>
      <c r="L247" s="94"/>
      <c r="M247" s="51"/>
    </row>
    <row r="248" spans="2:13">
      <c r="B248" s="54"/>
      <c r="C248" s="183" t="s">
        <v>90</v>
      </c>
      <c r="D248" s="183" t="s">
        <v>91</v>
      </c>
      <c r="E248" s="183" t="s">
        <v>93</v>
      </c>
      <c r="F248" s="183" t="s">
        <v>94</v>
      </c>
      <c r="G248" s="183" t="s">
        <v>114</v>
      </c>
      <c r="H248" s="94"/>
      <c r="I248" s="94"/>
      <c r="J248" s="94"/>
      <c r="K248" s="94"/>
      <c r="L248" s="94"/>
      <c r="M248" s="51"/>
    </row>
    <row r="249" spans="2:13">
      <c r="B249" s="54"/>
      <c r="C249" s="183">
        <v>0</v>
      </c>
      <c r="D249" s="183"/>
      <c r="E249" s="183"/>
      <c r="F249" s="183"/>
      <c r="G249" s="183"/>
      <c r="H249" s="94"/>
      <c r="I249" s="94"/>
      <c r="J249" s="94"/>
      <c r="K249" s="94"/>
      <c r="L249" s="94"/>
      <c r="M249" s="51"/>
    </row>
    <row r="250" spans="2:13">
      <c r="B250" s="5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51"/>
    </row>
    <row r="251" spans="2:13">
      <c r="B251" s="46"/>
      <c r="C251" s="47" t="s">
        <v>87</v>
      </c>
      <c r="D251" s="48" t="s">
        <v>213</v>
      </c>
      <c r="E251" s="49"/>
      <c r="F251" s="50"/>
      <c r="G251" s="50"/>
      <c r="H251" s="50"/>
      <c r="I251" s="50"/>
      <c r="J251" s="50"/>
      <c r="K251" s="50"/>
      <c r="L251" s="50"/>
      <c r="M251" s="51"/>
    </row>
    <row r="252" spans="2:13" s="52" customFormat="1" ht="13.5">
      <c r="B252" s="43"/>
      <c r="C252" s="94" t="s">
        <v>88</v>
      </c>
      <c r="D252" s="94"/>
      <c r="E252" s="94"/>
      <c r="F252" s="94"/>
      <c r="G252" s="94"/>
      <c r="H252" s="94"/>
      <c r="I252" s="94"/>
      <c r="J252" s="94"/>
      <c r="K252" s="94"/>
      <c r="L252" s="94"/>
      <c r="M252" s="45"/>
    </row>
    <row r="253" spans="2:13" s="52" customFormat="1" ht="13.5">
      <c r="B253" s="43"/>
      <c r="C253" s="94" t="s">
        <v>215</v>
      </c>
      <c r="D253" s="94"/>
      <c r="E253" s="94"/>
      <c r="F253" s="94"/>
      <c r="G253" s="94"/>
      <c r="H253" s="94"/>
      <c r="I253" s="94"/>
      <c r="J253" s="94"/>
      <c r="K253" s="94"/>
      <c r="L253" s="94"/>
      <c r="M253" s="45"/>
    </row>
    <row r="254" spans="2:13" s="52" customFormat="1" ht="13.5">
      <c r="B254" s="43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45"/>
    </row>
    <row r="255" spans="2:13" s="52" customFormat="1" ht="13.5">
      <c r="B255" s="43"/>
      <c r="C255" s="94" t="s">
        <v>89</v>
      </c>
      <c r="D255" s="94"/>
      <c r="E255" s="94"/>
      <c r="F255" s="94"/>
      <c r="G255" s="94"/>
      <c r="H255" s="94"/>
      <c r="I255" s="94"/>
      <c r="J255" s="94"/>
      <c r="K255" s="94"/>
      <c r="L255" s="94"/>
      <c r="M255" s="45"/>
    </row>
    <row r="256" spans="2:13" s="52" customFormat="1" ht="13.5">
      <c r="B256" s="43"/>
      <c r="C256" s="183" t="s">
        <v>90</v>
      </c>
      <c r="D256" s="183" t="s">
        <v>91</v>
      </c>
      <c r="E256" s="183" t="s">
        <v>93</v>
      </c>
      <c r="F256" s="183" t="s">
        <v>94</v>
      </c>
      <c r="G256" s="183" t="s">
        <v>114</v>
      </c>
      <c r="H256" s="94"/>
      <c r="I256" s="94"/>
      <c r="J256" s="94"/>
      <c r="K256" s="94"/>
      <c r="L256" s="94"/>
      <c r="M256" s="45"/>
    </row>
    <row r="257" spans="2:13" s="52" customFormat="1" ht="13.5">
      <c r="B257" s="43"/>
      <c r="C257" s="183">
        <v>-2</v>
      </c>
      <c r="D257" s="183" t="s">
        <v>92</v>
      </c>
      <c r="E257" s="183" t="s">
        <v>216</v>
      </c>
      <c r="F257" s="183" t="s">
        <v>217</v>
      </c>
      <c r="G257" s="183" t="s">
        <v>116</v>
      </c>
      <c r="H257" s="94"/>
      <c r="I257" s="94"/>
      <c r="J257" s="94"/>
      <c r="K257" s="94"/>
      <c r="L257" s="94"/>
      <c r="M257" s="45"/>
    </row>
    <row r="258" spans="2:13" s="52" customFormat="1" ht="13.5">
      <c r="B258" s="43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45"/>
    </row>
    <row r="259" spans="2:13" s="52" customFormat="1" ht="13.5">
      <c r="B259" s="43"/>
      <c r="C259" s="47" t="s">
        <v>87</v>
      </c>
      <c r="D259" s="48" t="s">
        <v>214</v>
      </c>
      <c r="E259" s="49"/>
      <c r="F259" s="50"/>
      <c r="G259" s="50"/>
      <c r="H259" s="50"/>
      <c r="I259" s="50"/>
      <c r="J259" s="50"/>
      <c r="K259" s="50"/>
      <c r="L259" s="50"/>
      <c r="M259" s="45"/>
    </row>
    <row r="260" spans="2:13" s="52" customFormat="1" ht="13.5">
      <c r="B260" s="43"/>
      <c r="C260" s="94" t="s">
        <v>88</v>
      </c>
      <c r="D260" s="94"/>
      <c r="E260" s="94"/>
      <c r="F260" s="94"/>
      <c r="G260" s="94"/>
      <c r="H260" s="94"/>
      <c r="I260" s="94"/>
      <c r="J260" s="94"/>
      <c r="K260" s="94"/>
      <c r="L260" s="94"/>
      <c r="M260" s="45"/>
    </row>
    <row r="261" spans="2:13" s="52" customFormat="1" ht="13.5">
      <c r="B261" s="43"/>
      <c r="C261" s="94" t="s">
        <v>218</v>
      </c>
      <c r="D261" s="94"/>
      <c r="E261" s="94"/>
      <c r="F261" s="94"/>
      <c r="G261" s="94"/>
      <c r="H261" s="94"/>
      <c r="I261" s="94"/>
      <c r="J261" s="94"/>
      <c r="K261" s="94"/>
      <c r="L261" s="94"/>
      <c r="M261" s="45"/>
    </row>
    <row r="262" spans="2:13" s="52" customFormat="1" ht="13.5">
      <c r="B262" s="43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45"/>
    </row>
    <row r="263" spans="2:13" s="52" customFormat="1" ht="13.5">
      <c r="B263" s="43"/>
      <c r="C263" s="94" t="s">
        <v>89</v>
      </c>
      <c r="D263" s="94"/>
      <c r="E263" s="94"/>
      <c r="F263" s="94"/>
      <c r="G263" s="94"/>
      <c r="H263" s="94"/>
      <c r="I263" s="94"/>
      <c r="J263" s="94"/>
      <c r="K263" s="94"/>
      <c r="L263" s="94"/>
      <c r="M263" s="45"/>
    </row>
    <row r="264" spans="2:13" s="52" customFormat="1" ht="13.5">
      <c r="B264" s="43"/>
      <c r="C264" s="183" t="s">
        <v>90</v>
      </c>
      <c r="D264" s="183" t="s">
        <v>91</v>
      </c>
      <c r="E264" s="183" t="s">
        <v>93</v>
      </c>
      <c r="F264" s="183" t="s">
        <v>94</v>
      </c>
      <c r="G264" s="183" t="s">
        <v>114</v>
      </c>
      <c r="H264" s="94"/>
      <c r="I264" s="94"/>
      <c r="J264" s="94"/>
      <c r="K264" s="94"/>
      <c r="L264" s="94"/>
      <c r="M264" s="45"/>
    </row>
    <row r="265" spans="2:13" s="52" customFormat="1" ht="13.5">
      <c r="B265" s="43"/>
      <c r="C265" s="183">
        <v>-2</v>
      </c>
      <c r="D265" s="183" t="s">
        <v>92</v>
      </c>
      <c r="E265" s="183" t="s">
        <v>216</v>
      </c>
      <c r="F265" s="183" t="s">
        <v>217</v>
      </c>
      <c r="G265" s="183" t="s">
        <v>116</v>
      </c>
      <c r="H265" s="94"/>
      <c r="I265" s="94"/>
      <c r="J265" s="94"/>
      <c r="K265" s="94"/>
      <c r="L265" s="94"/>
      <c r="M265" s="45"/>
    </row>
    <row r="266" spans="2:13" s="52" customFormat="1" ht="14" thickBot="1">
      <c r="B266" s="43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45"/>
    </row>
    <row r="267" spans="2:13" s="52" customFormat="1" ht="13.5">
      <c r="B267" s="92" t="s">
        <v>219</v>
      </c>
      <c r="C267" s="41" t="s">
        <v>221</v>
      </c>
      <c r="D267" s="41"/>
      <c r="E267" s="41"/>
      <c r="F267" s="41"/>
      <c r="G267" s="41"/>
      <c r="H267" s="41"/>
      <c r="I267" s="41"/>
      <c r="J267" s="41"/>
      <c r="K267" s="41"/>
      <c r="L267" s="41"/>
      <c r="M267" s="42"/>
    </row>
    <row r="268" spans="2:13">
      <c r="B268" s="5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51"/>
    </row>
    <row r="269" spans="2:13">
      <c r="B269" s="54"/>
      <c r="C269" s="47" t="s">
        <v>87</v>
      </c>
      <c r="D269" s="48" t="s">
        <v>222</v>
      </c>
      <c r="E269" s="49"/>
      <c r="F269" s="50"/>
      <c r="G269" s="50"/>
      <c r="H269" s="50"/>
      <c r="I269" s="50"/>
      <c r="J269" s="50"/>
      <c r="K269" s="50"/>
      <c r="L269" s="50"/>
      <c r="M269" s="51"/>
    </row>
    <row r="270" spans="2:13">
      <c r="B270" s="54"/>
      <c r="C270" s="94" t="s">
        <v>88</v>
      </c>
      <c r="D270" s="94"/>
      <c r="E270" s="94"/>
      <c r="F270" s="94"/>
      <c r="G270" s="94"/>
      <c r="H270" s="94"/>
      <c r="I270" s="94"/>
      <c r="J270" s="94"/>
      <c r="K270" s="94"/>
      <c r="L270" s="94"/>
      <c r="M270" s="51"/>
    </row>
    <row r="271" spans="2:13">
      <c r="B271" s="54"/>
      <c r="C271" s="94" t="s">
        <v>112</v>
      </c>
      <c r="D271" s="94"/>
      <c r="E271" s="94"/>
      <c r="F271" s="94"/>
      <c r="G271" s="94"/>
      <c r="H271" s="94"/>
      <c r="I271" s="94"/>
      <c r="J271" s="94"/>
      <c r="K271" s="94"/>
      <c r="L271" s="94"/>
      <c r="M271" s="51"/>
    </row>
    <row r="272" spans="2:13">
      <c r="B272" s="5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51"/>
    </row>
    <row r="273" spans="2:26">
      <c r="B273" s="54"/>
      <c r="C273" s="94" t="s">
        <v>89</v>
      </c>
      <c r="D273" s="94"/>
      <c r="E273" s="94"/>
      <c r="F273" s="94"/>
      <c r="G273" s="94"/>
      <c r="H273" s="94"/>
      <c r="I273" s="94"/>
      <c r="J273" s="94"/>
      <c r="K273" s="94"/>
      <c r="L273" s="94"/>
      <c r="M273" s="51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2:26">
      <c r="B274" s="46"/>
      <c r="C274" s="183" t="s">
        <v>90</v>
      </c>
      <c r="D274" s="183" t="s">
        <v>91</v>
      </c>
      <c r="E274" s="183" t="s">
        <v>93</v>
      </c>
      <c r="F274" s="183" t="s">
        <v>94</v>
      </c>
      <c r="G274" s="183" t="s">
        <v>114</v>
      </c>
      <c r="H274" s="94"/>
      <c r="I274" s="94"/>
      <c r="J274" s="94"/>
      <c r="K274" s="94"/>
      <c r="L274" s="94"/>
      <c r="M274" s="51"/>
    </row>
    <row r="275" spans="2:26" s="52" customFormat="1" ht="13.5">
      <c r="B275" s="43"/>
      <c r="C275" s="183">
        <v>0</v>
      </c>
      <c r="D275" s="183"/>
      <c r="E275" s="183"/>
      <c r="F275" s="183"/>
      <c r="G275" s="183"/>
      <c r="H275" s="94"/>
      <c r="I275" s="94"/>
      <c r="J275" s="94"/>
      <c r="K275" s="94"/>
      <c r="L275" s="94"/>
      <c r="M275" s="45"/>
    </row>
    <row r="276" spans="2:26" s="52" customFormat="1" ht="13.5">
      <c r="B276" s="43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45"/>
    </row>
    <row r="277" spans="2:26" s="52" customFormat="1" ht="13.5">
      <c r="B277" s="43"/>
      <c r="C277" s="47" t="s">
        <v>87</v>
      </c>
      <c r="D277" s="48" t="s">
        <v>223</v>
      </c>
      <c r="E277" s="49"/>
      <c r="F277" s="50"/>
      <c r="G277" s="50"/>
      <c r="H277" s="50"/>
      <c r="I277" s="50"/>
      <c r="J277" s="50"/>
      <c r="K277" s="50"/>
      <c r="L277" s="50"/>
      <c r="M277" s="45"/>
    </row>
    <row r="278" spans="2:26" s="52" customFormat="1" ht="13.5">
      <c r="B278" s="43"/>
      <c r="C278" s="94" t="s">
        <v>88</v>
      </c>
      <c r="D278" s="94"/>
      <c r="E278" s="94"/>
      <c r="F278" s="94"/>
      <c r="G278" s="94"/>
      <c r="H278" s="94"/>
      <c r="I278" s="94"/>
      <c r="J278" s="94"/>
      <c r="K278" s="94"/>
      <c r="L278" s="94"/>
      <c r="M278" s="45"/>
    </row>
    <row r="279" spans="2:26" s="52" customFormat="1" ht="13.5">
      <c r="B279" s="43"/>
      <c r="C279" s="94" t="s">
        <v>228</v>
      </c>
      <c r="D279" s="94"/>
      <c r="E279" s="94"/>
      <c r="F279" s="94"/>
      <c r="G279" s="94"/>
      <c r="H279" s="94"/>
      <c r="I279" s="94"/>
      <c r="J279" s="94"/>
      <c r="K279" s="94"/>
      <c r="L279" s="94"/>
      <c r="M279" s="45"/>
    </row>
    <row r="280" spans="2:26" s="52" customFormat="1" ht="13.5">
      <c r="B280" s="43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45"/>
    </row>
    <row r="281" spans="2:26" s="52" customFormat="1" ht="13.5">
      <c r="B281" s="43"/>
      <c r="C281" s="94" t="s">
        <v>89</v>
      </c>
      <c r="D281" s="94"/>
      <c r="E281" s="94"/>
      <c r="F281" s="94"/>
      <c r="G281" s="94"/>
      <c r="H281" s="94"/>
      <c r="I281" s="94"/>
      <c r="J281" s="94"/>
      <c r="K281" s="94"/>
      <c r="L281" s="94"/>
      <c r="M281" s="45"/>
    </row>
    <row r="282" spans="2:26" s="52" customFormat="1" ht="13.5">
      <c r="B282" s="43"/>
      <c r="C282" s="183" t="s">
        <v>90</v>
      </c>
      <c r="D282" s="183" t="s">
        <v>91</v>
      </c>
      <c r="E282" s="183" t="s">
        <v>93</v>
      </c>
      <c r="F282" s="183" t="s">
        <v>94</v>
      </c>
      <c r="G282" s="183" t="s">
        <v>114</v>
      </c>
      <c r="H282" s="94"/>
      <c r="I282" s="94"/>
      <c r="J282" s="94"/>
      <c r="K282" s="94"/>
      <c r="L282" s="94"/>
      <c r="M282" s="45"/>
    </row>
    <row r="283" spans="2:26" s="52" customFormat="1" ht="13.5">
      <c r="B283" s="43"/>
      <c r="C283" s="183">
        <v>-2</v>
      </c>
      <c r="D283" s="183" t="s">
        <v>92</v>
      </c>
      <c r="E283" s="183" t="s">
        <v>226</v>
      </c>
      <c r="F283" s="183" t="s">
        <v>227</v>
      </c>
      <c r="G283" s="183" t="s">
        <v>116</v>
      </c>
      <c r="H283" s="94"/>
      <c r="I283" s="94"/>
      <c r="J283" s="94"/>
      <c r="K283" s="94"/>
      <c r="L283" s="94"/>
      <c r="M283" s="45"/>
    </row>
    <row r="284" spans="2:26" s="52" customFormat="1" ht="13.5">
      <c r="B284" s="43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45"/>
    </row>
    <row r="285" spans="2:26" s="52" customFormat="1" ht="13.5">
      <c r="B285" s="43"/>
      <c r="C285" s="47" t="s">
        <v>87</v>
      </c>
      <c r="D285" s="48" t="s">
        <v>224</v>
      </c>
      <c r="E285" s="49"/>
      <c r="F285" s="50"/>
      <c r="G285" s="50"/>
      <c r="H285" s="50"/>
      <c r="I285" s="50"/>
      <c r="J285" s="50"/>
      <c r="K285" s="50"/>
      <c r="L285" s="50"/>
      <c r="M285" s="45"/>
    </row>
    <row r="286" spans="2:26" s="52" customFormat="1" ht="13.5">
      <c r="B286" s="43"/>
      <c r="C286" s="94" t="s">
        <v>88</v>
      </c>
      <c r="D286" s="94"/>
      <c r="E286" s="94"/>
      <c r="F286" s="94"/>
      <c r="G286" s="94"/>
      <c r="H286" s="94"/>
      <c r="I286" s="94"/>
      <c r="J286" s="94"/>
      <c r="K286" s="94"/>
      <c r="L286" s="94"/>
      <c r="M286" s="45"/>
    </row>
    <row r="287" spans="2:26" s="52" customFormat="1" ht="13.5">
      <c r="B287" s="43"/>
      <c r="C287" s="94" t="s">
        <v>225</v>
      </c>
      <c r="D287" s="94"/>
      <c r="E287" s="94"/>
      <c r="F287" s="94"/>
      <c r="G287" s="94"/>
      <c r="H287" s="94"/>
      <c r="I287" s="94"/>
      <c r="J287" s="94"/>
      <c r="K287" s="94"/>
      <c r="L287" s="94"/>
      <c r="M287" s="45"/>
    </row>
    <row r="288" spans="2:26" s="52" customFormat="1" ht="13.5">
      <c r="B288" s="43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45"/>
    </row>
    <row r="289" spans="2:13" s="52" customFormat="1" ht="13.5">
      <c r="B289" s="43"/>
      <c r="C289" s="94" t="s">
        <v>89</v>
      </c>
      <c r="D289" s="94"/>
      <c r="E289" s="94"/>
      <c r="F289" s="94"/>
      <c r="G289" s="94"/>
      <c r="H289" s="94"/>
      <c r="I289" s="94"/>
      <c r="J289" s="94"/>
      <c r="K289" s="94"/>
      <c r="L289" s="94"/>
      <c r="M289" s="45"/>
    </row>
    <row r="290" spans="2:13">
      <c r="B290" s="54"/>
      <c r="C290" s="183" t="s">
        <v>90</v>
      </c>
      <c r="D290" s="183" t="s">
        <v>91</v>
      </c>
      <c r="E290" s="183" t="s">
        <v>93</v>
      </c>
      <c r="F290" s="183" t="s">
        <v>94</v>
      </c>
      <c r="G290" s="183" t="s">
        <v>114</v>
      </c>
      <c r="H290" s="94"/>
      <c r="I290" s="94"/>
      <c r="J290" s="94"/>
      <c r="K290" s="94"/>
      <c r="L290" s="94"/>
      <c r="M290" s="51"/>
    </row>
    <row r="291" spans="2:13">
      <c r="B291" s="54"/>
      <c r="C291" s="183">
        <v>-2</v>
      </c>
      <c r="D291" s="183" t="s">
        <v>92</v>
      </c>
      <c r="E291" s="183" t="s">
        <v>226</v>
      </c>
      <c r="F291" s="183" t="s">
        <v>227</v>
      </c>
      <c r="G291" s="183" t="s">
        <v>116</v>
      </c>
      <c r="H291" s="94"/>
      <c r="I291" s="94"/>
      <c r="J291" s="94"/>
      <c r="K291" s="94"/>
      <c r="L291" s="94"/>
      <c r="M291" s="51"/>
    </row>
    <row r="292" spans="2:13" ht="15.5" thickBot="1">
      <c r="B292" s="5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51"/>
    </row>
    <row r="293" spans="2:13" s="52" customFormat="1" ht="13.5">
      <c r="B293" s="92" t="s">
        <v>231</v>
      </c>
      <c r="C293" s="41" t="s">
        <v>230</v>
      </c>
      <c r="D293" s="41"/>
      <c r="E293" s="41"/>
      <c r="F293" s="41"/>
      <c r="G293" s="41"/>
      <c r="H293" s="41"/>
      <c r="I293" s="41"/>
      <c r="J293" s="41"/>
      <c r="K293" s="41"/>
      <c r="L293" s="41"/>
      <c r="M293" s="42"/>
    </row>
    <row r="294" spans="2:13">
      <c r="B294" s="5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51"/>
    </row>
    <row r="295" spans="2:13">
      <c r="B295" s="54"/>
      <c r="C295" s="47" t="s">
        <v>87</v>
      </c>
      <c r="D295" s="48" t="s">
        <v>232</v>
      </c>
      <c r="E295" s="49"/>
      <c r="F295" s="50"/>
      <c r="G295" s="50"/>
      <c r="H295" s="50"/>
      <c r="I295" s="50"/>
      <c r="J295" s="50"/>
      <c r="K295" s="50"/>
      <c r="L295" s="50"/>
      <c r="M295" s="51"/>
    </row>
    <row r="296" spans="2:13">
      <c r="B296" s="54"/>
      <c r="C296" s="94" t="s">
        <v>88</v>
      </c>
      <c r="D296" s="94"/>
      <c r="E296" s="94"/>
      <c r="F296" s="94"/>
      <c r="G296" s="94"/>
      <c r="H296" s="94"/>
      <c r="I296" s="94"/>
      <c r="J296" s="94"/>
      <c r="K296" s="94"/>
      <c r="L296" s="94"/>
      <c r="M296" s="51"/>
    </row>
    <row r="297" spans="2:13">
      <c r="B297" s="46"/>
      <c r="C297" s="94" t="s">
        <v>112</v>
      </c>
      <c r="D297" s="94"/>
      <c r="E297" s="94"/>
      <c r="F297" s="94"/>
      <c r="G297" s="94"/>
      <c r="H297" s="94"/>
      <c r="I297" s="94"/>
      <c r="J297" s="94"/>
      <c r="K297" s="94"/>
      <c r="L297" s="94"/>
      <c r="M297" s="51"/>
    </row>
    <row r="298" spans="2:13" s="52" customFormat="1" ht="13.5">
      <c r="B298" s="43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45"/>
    </row>
    <row r="299" spans="2:13" s="52" customFormat="1" ht="13.5">
      <c r="B299" s="43"/>
      <c r="C299" s="94" t="s">
        <v>89</v>
      </c>
      <c r="D299" s="94"/>
      <c r="E299" s="94"/>
      <c r="F299" s="94"/>
      <c r="G299" s="94"/>
      <c r="H299" s="94"/>
      <c r="I299" s="94"/>
      <c r="J299" s="94"/>
      <c r="K299" s="94"/>
      <c r="L299" s="94"/>
      <c r="M299" s="45"/>
    </row>
    <row r="300" spans="2:13" s="52" customFormat="1" ht="13.5">
      <c r="B300" s="43"/>
      <c r="C300" s="183" t="s">
        <v>90</v>
      </c>
      <c r="D300" s="183" t="s">
        <v>91</v>
      </c>
      <c r="E300" s="183" t="s">
        <v>93</v>
      </c>
      <c r="F300" s="183" t="s">
        <v>94</v>
      </c>
      <c r="G300" s="183" t="s">
        <v>114</v>
      </c>
      <c r="H300" s="94"/>
      <c r="I300" s="94"/>
      <c r="J300" s="94"/>
      <c r="K300" s="94"/>
      <c r="L300" s="94"/>
      <c r="M300" s="45"/>
    </row>
    <row r="301" spans="2:13" s="52" customFormat="1" ht="13.5">
      <c r="B301" s="43"/>
      <c r="C301" s="183">
        <v>0</v>
      </c>
      <c r="D301" s="183"/>
      <c r="E301" s="183"/>
      <c r="F301" s="183"/>
      <c r="G301" s="183"/>
      <c r="H301" s="94"/>
      <c r="I301" s="94"/>
      <c r="J301" s="94"/>
      <c r="K301" s="94"/>
      <c r="L301" s="94"/>
      <c r="M301" s="45"/>
    </row>
    <row r="302" spans="2:13" s="52" customFormat="1" ht="13.5">
      <c r="B302" s="43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45"/>
    </row>
    <row r="303" spans="2:13" s="52" customFormat="1" ht="13.5">
      <c r="B303" s="43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45"/>
    </row>
    <row r="304" spans="2:13" s="52" customFormat="1" ht="13.5">
      <c r="B304" s="43"/>
      <c r="C304" s="47" t="s">
        <v>87</v>
      </c>
      <c r="D304" s="48" t="s">
        <v>233</v>
      </c>
      <c r="E304" s="49"/>
      <c r="F304" s="50"/>
      <c r="G304" s="50"/>
      <c r="H304" s="50"/>
      <c r="I304" s="50"/>
      <c r="J304" s="50"/>
      <c r="K304" s="50"/>
      <c r="L304" s="50"/>
      <c r="M304" s="45"/>
    </row>
    <row r="305" spans="2:13" s="52" customFormat="1" ht="13.5">
      <c r="B305" s="43"/>
      <c r="C305" s="94" t="s">
        <v>88</v>
      </c>
      <c r="D305" s="94"/>
      <c r="E305" s="94"/>
      <c r="F305" s="94"/>
      <c r="G305" s="94"/>
      <c r="H305" s="94"/>
      <c r="I305" s="94"/>
      <c r="J305" s="94"/>
      <c r="K305" s="94"/>
      <c r="L305" s="94"/>
      <c r="M305" s="45"/>
    </row>
    <row r="306" spans="2:13" s="52" customFormat="1" ht="13.5">
      <c r="B306" s="43"/>
      <c r="C306" s="94" t="s">
        <v>238</v>
      </c>
      <c r="D306" s="94"/>
      <c r="E306" s="94"/>
      <c r="F306" s="94"/>
      <c r="G306" s="94"/>
      <c r="H306" s="94"/>
      <c r="I306" s="94"/>
      <c r="J306" s="94"/>
      <c r="K306" s="94"/>
      <c r="L306" s="94"/>
      <c r="M306" s="45"/>
    </row>
    <row r="307" spans="2:13" s="52" customFormat="1" ht="13.5">
      <c r="B307" s="43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45"/>
    </row>
    <row r="308" spans="2:13" s="52" customFormat="1" ht="13.5">
      <c r="B308" s="43"/>
      <c r="C308" s="94" t="s">
        <v>89</v>
      </c>
      <c r="D308" s="94"/>
      <c r="E308" s="94"/>
      <c r="F308" s="94"/>
      <c r="G308" s="94"/>
      <c r="H308" s="94"/>
      <c r="I308" s="94"/>
      <c r="J308" s="94"/>
      <c r="K308" s="94"/>
      <c r="L308" s="94"/>
      <c r="M308" s="45"/>
    </row>
    <row r="309" spans="2:13" s="52" customFormat="1" ht="13.5">
      <c r="B309" s="43"/>
      <c r="C309" s="183" t="s">
        <v>90</v>
      </c>
      <c r="D309" s="183" t="s">
        <v>91</v>
      </c>
      <c r="E309" s="183" t="s">
        <v>93</v>
      </c>
      <c r="F309" s="183" t="s">
        <v>94</v>
      </c>
      <c r="G309" s="183" t="s">
        <v>114</v>
      </c>
      <c r="H309" s="94"/>
      <c r="I309" s="94"/>
      <c r="J309" s="94"/>
      <c r="K309" s="94"/>
      <c r="L309" s="94"/>
      <c r="M309" s="45"/>
    </row>
    <row r="310" spans="2:13" s="52" customFormat="1" ht="13.5">
      <c r="B310" s="43"/>
      <c r="C310" s="183">
        <v>-2</v>
      </c>
      <c r="D310" s="183" t="s">
        <v>92</v>
      </c>
      <c r="E310" s="183" t="s">
        <v>236</v>
      </c>
      <c r="F310" s="183" t="s">
        <v>237</v>
      </c>
      <c r="G310" s="183" t="s">
        <v>116</v>
      </c>
      <c r="H310" s="94"/>
      <c r="I310" s="94"/>
      <c r="J310" s="94"/>
      <c r="K310" s="94"/>
      <c r="L310" s="94"/>
      <c r="M310" s="45"/>
    </row>
    <row r="311" spans="2:13" s="52" customFormat="1" ht="13.5">
      <c r="B311" s="43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45"/>
    </row>
    <row r="312" spans="2:13" s="52" customFormat="1" ht="13.5">
      <c r="B312" s="43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45"/>
    </row>
    <row r="313" spans="2:13">
      <c r="B313" s="5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51"/>
    </row>
    <row r="314" spans="2:13">
      <c r="B314" s="54"/>
      <c r="C314" s="47" t="s">
        <v>87</v>
      </c>
      <c r="D314" s="48" t="s">
        <v>234</v>
      </c>
      <c r="E314" s="49"/>
      <c r="F314" s="50"/>
      <c r="G314" s="50"/>
      <c r="H314" s="50"/>
      <c r="I314" s="50"/>
      <c r="J314" s="50"/>
      <c r="K314" s="50"/>
      <c r="L314" s="50"/>
      <c r="M314" s="51"/>
    </row>
    <row r="315" spans="2:13">
      <c r="B315" s="54"/>
      <c r="C315" s="94" t="s">
        <v>88</v>
      </c>
      <c r="D315" s="94"/>
      <c r="E315" s="94"/>
      <c r="F315" s="94"/>
      <c r="G315" s="94"/>
      <c r="H315" s="94"/>
      <c r="I315" s="94"/>
      <c r="J315" s="94"/>
      <c r="K315" s="94"/>
      <c r="L315" s="94"/>
      <c r="M315" s="51"/>
    </row>
    <row r="316" spans="2:13">
      <c r="B316" s="54"/>
      <c r="C316" s="94" t="s">
        <v>235</v>
      </c>
      <c r="D316" s="94"/>
      <c r="E316" s="94"/>
      <c r="F316" s="94"/>
      <c r="G316" s="94"/>
      <c r="H316" s="94"/>
      <c r="I316" s="94"/>
      <c r="J316" s="94"/>
      <c r="K316" s="94"/>
      <c r="L316" s="94"/>
      <c r="M316" s="51"/>
    </row>
    <row r="317" spans="2:13">
      <c r="B317" s="5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51"/>
    </row>
    <row r="318" spans="2:13">
      <c r="B318" s="54"/>
      <c r="C318" s="94" t="s">
        <v>89</v>
      </c>
      <c r="D318" s="94"/>
      <c r="E318" s="94"/>
      <c r="F318" s="94"/>
      <c r="G318" s="94"/>
      <c r="H318" s="94"/>
      <c r="I318" s="94"/>
      <c r="J318" s="94"/>
      <c r="K318" s="94"/>
      <c r="L318" s="94"/>
      <c r="M318" s="51"/>
    </row>
    <row r="319" spans="2:13">
      <c r="B319" s="54"/>
      <c r="C319" s="183" t="s">
        <v>90</v>
      </c>
      <c r="D319" s="183" t="s">
        <v>91</v>
      </c>
      <c r="E319" s="183" t="s">
        <v>93</v>
      </c>
      <c r="F319" s="183" t="s">
        <v>94</v>
      </c>
      <c r="G319" s="183" t="s">
        <v>114</v>
      </c>
      <c r="H319" s="94"/>
      <c r="I319" s="94"/>
      <c r="J319" s="94"/>
      <c r="K319" s="94"/>
      <c r="L319" s="94"/>
      <c r="M319" s="51"/>
    </row>
    <row r="320" spans="2:13">
      <c r="B320" s="46"/>
      <c r="C320" s="183">
        <v>-2</v>
      </c>
      <c r="D320" s="183" t="s">
        <v>92</v>
      </c>
      <c r="E320" s="183" t="s">
        <v>236</v>
      </c>
      <c r="F320" s="183" t="s">
        <v>237</v>
      </c>
      <c r="G320" s="183" t="s">
        <v>116</v>
      </c>
      <c r="H320" s="94"/>
      <c r="I320" s="94"/>
      <c r="J320" s="94"/>
      <c r="K320" s="94"/>
      <c r="L320" s="94"/>
      <c r="M320" s="51"/>
    </row>
    <row r="321" spans="2:13">
      <c r="B321" s="54"/>
      <c r="C321" s="124"/>
      <c r="D321" s="123"/>
      <c r="E321" s="123"/>
      <c r="F321" s="123"/>
      <c r="G321" s="123"/>
      <c r="H321" s="123"/>
      <c r="I321" s="123"/>
      <c r="J321" s="123"/>
      <c r="K321" s="123"/>
      <c r="L321" s="123"/>
      <c r="M321" s="51"/>
    </row>
    <row r="322" spans="2:13">
      <c r="B322" s="54"/>
      <c r="C322" s="125"/>
      <c r="D322" s="126"/>
      <c r="E322" s="126"/>
      <c r="F322" s="126"/>
      <c r="G322" s="126"/>
      <c r="H322" s="126"/>
      <c r="I322" s="124"/>
      <c r="J322" s="126"/>
      <c r="K322" s="126"/>
      <c r="L322" s="126"/>
      <c r="M322" s="51"/>
    </row>
    <row r="323" spans="2:13">
      <c r="B323" s="54"/>
      <c r="C323" s="55"/>
      <c r="D323" s="56"/>
      <c r="E323" s="56"/>
      <c r="F323" s="56"/>
      <c r="G323" s="56"/>
      <c r="H323" s="56"/>
      <c r="J323" s="56"/>
      <c r="K323" s="56"/>
      <c r="L323" s="56"/>
      <c r="M323" s="51"/>
    </row>
    <row r="324" spans="2:13" ht="15.5" thickBot="1">
      <c r="B324" s="57"/>
      <c r="C324" s="58"/>
      <c r="D324" s="59"/>
      <c r="E324" s="59"/>
      <c r="F324" s="59"/>
      <c r="G324" s="59"/>
      <c r="H324" s="59"/>
      <c r="I324" s="59"/>
      <c r="J324" s="59"/>
      <c r="K324" s="59"/>
      <c r="L324" s="59"/>
      <c r="M324" s="60"/>
    </row>
  </sheetData>
  <phoneticPr fontId="3"/>
  <hyperlinks>
    <hyperlink ref="A1" location="TCS!A1" display="戻る" xr:uid="{6DB7B3CE-5926-41D1-8A21-CC7440CAE900}"/>
  </hyperlinks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1140-9EDD-471B-8F56-10E79D933A3C}">
  <dimension ref="A1:BF184"/>
  <sheetViews>
    <sheetView workbookViewId="0"/>
  </sheetViews>
  <sheetFormatPr defaultRowHeight="13"/>
  <cols>
    <col min="2" max="2" width="17.1796875" bestFit="1" customWidth="1"/>
    <col min="3" max="3" width="20.453125" customWidth="1"/>
    <col min="4" max="4" width="29.08984375" customWidth="1"/>
    <col min="5" max="5" width="22.26953125" customWidth="1"/>
    <col min="6" max="6" width="99.36328125" customWidth="1"/>
    <col min="7" max="7" width="15.36328125" customWidth="1"/>
  </cols>
  <sheetData>
    <row r="1" spans="1:58" ht="15.5" thickBot="1">
      <c r="A1" s="118" t="s">
        <v>83</v>
      </c>
      <c r="B1" s="95"/>
      <c r="C1" s="96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9"/>
    </row>
    <row r="2" spans="1:58" ht="33" thickBot="1">
      <c r="A2" s="100"/>
      <c r="B2" s="108" t="s">
        <v>286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13"/>
    </row>
    <row r="3" spans="1:58" ht="14.5" thickTop="1" thickBot="1">
      <c r="B3" s="102" t="s">
        <v>287</v>
      </c>
      <c r="C3" s="103" t="s">
        <v>269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16"/>
    </row>
    <row r="4" spans="1:58" ht="14" thickBot="1">
      <c r="B4" s="102" t="s">
        <v>285</v>
      </c>
      <c r="C4" s="103" t="s">
        <v>270</v>
      </c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16"/>
    </row>
    <row r="5" spans="1:58" ht="14" thickBot="1">
      <c r="B5" s="104" t="s">
        <v>288</v>
      </c>
      <c r="C5" s="103" t="s">
        <v>289</v>
      </c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16"/>
    </row>
    <row r="6" spans="1:58" ht="13.5">
      <c r="B6" s="105"/>
      <c r="C6" s="106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0"/>
      <c r="AX6" s="130"/>
      <c r="AY6" s="130"/>
      <c r="AZ6" s="130"/>
      <c r="BA6" s="130"/>
      <c r="BB6" s="130"/>
      <c r="BC6" s="130"/>
      <c r="BD6" s="130"/>
      <c r="BE6" s="130"/>
      <c r="BF6" s="117"/>
    </row>
    <row r="7" spans="1:58" ht="13.5">
      <c r="B7" s="105"/>
      <c r="C7" s="106" t="s">
        <v>290</v>
      </c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17"/>
    </row>
    <row r="8" spans="1:58" ht="13.5">
      <c r="B8" s="105"/>
      <c r="C8" s="106" t="s">
        <v>112</v>
      </c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17"/>
    </row>
    <row r="9" spans="1:58">
      <c r="B9" s="107"/>
      <c r="BF9" s="101"/>
    </row>
    <row r="10" spans="1:58" ht="13.5">
      <c r="B10" s="107"/>
      <c r="C10" s="106" t="s">
        <v>89</v>
      </c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BF10" s="101"/>
    </row>
    <row r="11" spans="1:58" ht="13.5">
      <c r="B11" s="107"/>
      <c r="C11" s="212" t="s">
        <v>90</v>
      </c>
      <c r="D11" s="212" t="s">
        <v>91</v>
      </c>
      <c r="E11" s="212" t="s">
        <v>93</v>
      </c>
      <c r="F11" s="212" t="s">
        <v>94</v>
      </c>
      <c r="G11" s="212" t="s">
        <v>114</v>
      </c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BF11" s="101"/>
    </row>
    <row r="12" spans="1:58" ht="13.5">
      <c r="B12" s="107"/>
      <c r="C12" s="212">
        <v>0</v>
      </c>
      <c r="D12" s="212"/>
      <c r="E12" s="212"/>
      <c r="F12" s="212"/>
      <c r="G12" s="212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BF12" s="101"/>
    </row>
    <row r="13" spans="1:58" ht="14" thickBot="1">
      <c r="B13" s="107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BF13" s="101"/>
    </row>
    <row r="14" spans="1:58" ht="14" thickBot="1">
      <c r="B14" s="102" t="s">
        <v>291</v>
      </c>
      <c r="C14" s="103" t="s">
        <v>282</v>
      </c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16"/>
    </row>
    <row r="15" spans="1:58" ht="14" thickBot="1">
      <c r="B15" s="102" t="s">
        <v>293</v>
      </c>
      <c r="C15" s="103" t="s">
        <v>279</v>
      </c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16"/>
    </row>
    <row r="16" spans="1:58" ht="14" thickBot="1">
      <c r="B16" s="129" t="s">
        <v>321</v>
      </c>
      <c r="C16" s="103" t="s">
        <v>315</v>
      </c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16"/>
    </row>
    <row r="17" spans="2:58" ht="14" thickBot="1">
      <c r="B17" s="104" t="s">
        <v>288</v>
      </c>
      <c r="C17" s="103" t="s">
        <v>289</v>
      </c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16"/>
    </row>
    <row r="18" spans="2:58" ht="13.5">
      <c r="B18" s="107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BF18" s="101"/>
    </row>
    <row r="19" spans="2:58" ht="13.5">
      <c r="B19" s="107"/>
      <c r="C19" s="106" t="s">
        <v>290</v>
      </c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BF19" s="101"/>
    </row>
    <row r="20" spans="2:58" ht="13.5">
      <c r="B20" s="107"/>
      <c r="C20" s="106" t="s">
        <v>112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BF20" s="101"/>
    </row>
    <row r="21" spans="2:58">
      <c r="B21" s="107"/>
      <c r="BF21" s="101"/>
    </row>
    <row r="22" spans="2:58" ht="13.5">
      <c r="B22" s="107"/>
      <c r="C22" s="106" t="s">
        <v>89</v>
      </c>
      <c r="D22" s="106"/>
      <c r="E22" s="106"/>
      <c r="F22" s="106"/>
      <c r="G22" s="106"/>
      <c r="BF22" s="101"/>
    </row>
    <row r="23" spans="2:58" ht="13.5">
      <c r="B23" s="107"/>
      <c r="C23" s="212" t="s">
        <v>90</v>
      </c>
      <c r="D23" s="212" t="s">
        <v>91</v>
      </c>
      <c r="E23" s="212" t="s">
        <v>93</v>
      </c>
      <c r="F23" s="212" t="s">
        <v>94</v>
      </c>
      <c r="G23" s="212" t="s">
        <v>114</v>
      </c>
      <c r="BF23" s="101"/>
    </row>
    <row r="24" spans="2:58" ht="13.5">
      <c r="B24" s="107"/>
      <c r="C24" s="212">
        <v>0</v>
      </c>
      <c r="D24" s="212"/>
      <c r="E24" s="212"/>
      <c r="F24" s="212"/>
      <c r="G24" s="212"/>
      <c r="BF24" s="101"/>
    </row>
    <row r="25" spans="2:58" ht="13.5" thickBot="1">
      <c r="B25" s="107"/>
      <c r="BF25" s="101"/>
    </row>
    <row r="26" spans="2:58" ht="14" thickBot="1">
      <c r="B26" s="102" t="s">
        <v>294</v>
      </c>
      <c r="C26" s="103" t="s">
        <v>283</v>
      </c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  <c r="BF26" s="116"/>
    </row>
    <row r="27" spans="2:58" ht="14" thickBot="1">
      <c r="B27" s="104" t="s">
        <v>302</v>
      </c>
      <c r="C27" s="103" t="s">
        <v>303</v>
      </c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16"/>
    </row>
    <row r="28" spans="2:58" ht="14" thickBot="1">
      <c r="B28" s="104" t="s">
        <v>304</v>
      </c>
      <c r="C28" s="103" t="s">
        <v>303</v>
      </c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16"/>
    </row>
    <row r="29" spans="2:58">
      <c r="B29" s="107"/>
      <c r="BF29" s="101"/>
    </row>
    <row r="30" spans="2:58" ht="13.5">
      <c r="B30" s="107"/>
      <c r="C30" s="106" t="s">
        <v>290</v>
      </c>
      <c r="D30" s="106"/>
      <c r="E30" s="106"/>
      <c r="F30" s="106"/>
      <c r="G30" s="106"/>
      <c r="H30" s="106"/>
      <c r="BF30" s="101"/>
    </row>
    <row r="31" spans="2:58" ht="13.5">
      <c r="B31" s="107"/>
      <c r="C31" s="106" t="s">
        <v>112</v>
      </c>
      <c r="D31" s="106"/>
      <c r="E31" s="106"/>
      <c r="F31" s="106"/>
      <c r="G31" s="106"/>
      <c r="H31" s="106"/>
      <c r="BF31" s="101"/>
    </row>
    <row r="32" spans="2:58" ht="13.5">
      <c r="B32" s="107"/>
      <c r="C32" s="106"/>
      <c r="D32" s="106"/>
      <c r="E32" s="106"/>
      <c r="F32" s="106"/>
      <c r="G32" s="106"/>
      <c r="H32" s="106"/>
      <c r="BF32" s="101"/>
    </row>
    <row r="33" spans="2:58" ht="13.5">
      <c r="B33" s="107"/>
      <c r="C33" s="106" t="s">
        <v>89</v>
      </c>
      <c r="D33" s="106"/>
      <c r="E33" s="106"/>
      <c r="F33" s="106"/>
      <c r="G33" s="106"/>
      <c r="H33" s="106"/>
      <c r="BF33" s="101"/>
    </row>
    <row r="34" spans="2:58" ht="13.5">
      <c r="B34" s="107"/>
      <c r="C34" s="212" t="s">
        <v>118</v>
      </c>
      <c r="D34" s="212" t="s">
        <v>119</v>
      </c>
      <c r="E34" s="212" t="s">
        <v>95</v>
      </c>
      <c r="F34" s="212" t="s">
        <v>120</v>
      </c>
      <c r="G34" s="212" t="s">
        <v>121</v>
      </c>
      <c r="H34" s="106"/>
      <c r="BF34" s="101"/>
    </row>
    <row r="35" spans="2:58" ht="13.5">
      <c r="B35" s="107"/>
      <c r="C35" s="212">
        <v>-1</v>
      </c>
      <c r="D35" s="212" t="s">
        <v>295</v>
      </c>
      <c r="E35" s="212" t="s">
        <v>92</v>
      </c>
      <c r="F35" s="212" t="s">
        <v>333</v>
      </c>
      <c r="G35" s="212" t="s">
        <v>275</v>
      </c>
      <c r="H35" s="106"/>
      <c r="BF35" s="101"/>
    </row>
    <row r="36" spans="2:58" ht="14" thickBot="1">
      <c r="B36" s="107"/>
      <c r="C36" s="106"/>
      <c r="D36" s="106"/>
      <c r="E36" s="106"/>
      <c r="F36" s="106"/>
      <c r="G36" s="106"/>
      <c r="H36" s="106"/>
      <c r="BF36" s="101"/>
    </row>
    <row r="37" spans="2:58" ht="14" thickBot="1">
      <c r="B37" s="102" t="s">
        <v>306</v>
      </c>
      <c r="C37" s="103" t="s">
        <v>284</v>
      </c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  <c r="BE37" s="103"/>
      <c r="BF37" s="116"/>
    </row>
    <row r="38" spans="2:58" ht="14" thickBot="1">
      <c r="B38" s="104" t="s">
        <v>305</v>
      </c>
      <c r="C38" s="103" t="s">
        <v>303</v>
      </c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16"/>
    </row>
    <row r="39" spans="2:58" ht="14" thickBot="1">
      <c r="B39" s="104" t="s">
        <v>304</v>
      </c>
      <c r="C39" s="103" t="s">
        <v>303</v>
      </c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16"/>
    </row>
    <row r="40" spans="2:58">
      <c r="B40" s="107"/>
      <c r="BF40" s="101"/>
    </row>
    <row r="41" spans="2:58" ht="13.5">
      <c r="B41" s="107"/>
      <c r="C41" s="106" t="s">
        <v>290</v>
      </c>
      <c r="D41" s="106"/>
      <c r="E41" s="106"/>
      <c r="F41" s="106"/>
      <c r="G41" s="106"/>
      <c r="BF41" s="101"/>
    </row>
    <row r="42" spans="2:58" ht="13.5">
      <c r="B42" s="107"/>
      <c r="C42" s="106" t="s">
        <v>307</v>
      </c>
      <c r="D42" s="106"/>
      <c r="E42" s="106"/>
      <c r="F42" s="106"/>
      <c r="G42" s="106"/>
      <c r="BF42" s="101"/>
    </row>
    <row r="43" spans="2:58" ht="13.5">
      <c r="B43" s="107"/>
      <c r="C43" s="106"/>
      <c r="D43" s="106"/>
      <c r="E43" s="106"/>
      <c r="F43" s="106"/>
      <c r="G43" s="106"/>
      <c r="BF43" s="101"/>
    </row>
    <row r="44" spans="2:58" ht="13.5">
      <c r="B44" s="107"/>
      <c r="C44" s="106" t="s">
        <v>89</v>
      </c>
      <c r="D44" s="106"/>
      <c r="E44" s="106"/>
      <c r="F44" s="106"/>
      <c r="G44" s="106"/>
      <c r="BF44" s="101"/>
    </row>
    <row r="45" spans="2:58" ht="13.5">
      <c r="B45" s="107"/>
      <c r="C45" s="212" t="s">
        <v>90</v>
      </c>
      <c r="D45" s="212" t="s">
        <v>91</v>
      </c>
      <c r="E45" s="212" t="s">
        <v>93</v>
      </c>
      <c r="F45" s="212" t="s">
        <v>94</v>
      </c>
      <c r="G45" s="212" t="s">
        <v>114</v>
      </c>
      <c r="BF45" s="101"/>
    </row>
    <row r="46" spans="2:58" ht="13.5">
      <c r="B46" s="107"/>
      <c r="C46" s="212">
        <v>-2</v>
      </c>
      <c r="D46" s="212" t="s">
        <v>92</v>
      </c>
      <c r="E46" s="212" t="s">
        <v>308</v>
      </c>
      <c r="F46" s="212" t="s">
        <v>334</v>
      </c>
      <c r="G46" s="212" t="s">
        <v>275</v>
      </c>
      <c r="BF46" s="101"/>
    </row>
    <row r="47" spans="2:58" ht="14" thickBot="1">
      <c r="B47" s="107"/>
      <c r="C47" s="106"/>
      <c r="D47" s="106"/>
      <c r="E47" s="106"/>
      <c r="F47" s="106"/>
      <c r="G47" s="106"/>
      <c r="BF47" s="101"/>
    </row>
    <row r="48" spans="2:58" ht="14" thickBot="1">
      <c r="B48" s="102" t="s">
        <v>309</v>
      </c>
      <c r="C48" s="103" t="s">
        <v>280</v>
      </c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16"/>
    </row>
    <row r="49" spans="2:58" ht="14" thickBot="1">
      <c r="B49" s="104" t="s">
        <v>302</v>
      </c>
      <c r="C49" s="103" t="s">
        <v>303</v>
      </c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16"/>
    </row>
    <row r="50" spans="2:58" ht="14" thickBot="1">
      <c r="B50" s="104" t="s">
        <v>304</v>
      </c>
      <c r="C50" s="103" t="s">
        <v>303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16"/>
    </row>
    <row r="51" spans="2:58">
      <c r="B51" s="107"/>
      <c r="BF51" s="101"/>
    </row>
    <row r="52" spans="2:58" ht="13.5">
      <c r="B52" s="107"/>
      <c r="C52" s="106" t="s">
        <v>290</v>
      </c>
      <c r="BF52" s="101"/>
    </row>
    <row r="53" spans="2:58" ht="13.5">
      <c r="B53" s="107"/>
      <c r="C53" s="106" t="s">
        <v>112</v>
      </c>
      <c r="BF53" s="101"/>
    </row>
    <row r="54" spans="2:58">
      <c r="B54" s="107"/>
      <c r="BF54" s="101"/>
    </row>
    <row r="55" spans="2:58" ht="13.5">
      <c r="B55" s="107"/>
      <c r="C55" s="106" t="s">
        <v>89</v>
      </c>
      <c r="BF55" s="101"/>
    </row>
    <row r="56" spans="2:58" ht="13.5">
      <c r="B56" s="107"/>
      <c r="C56" s="212" t="s">
        <v>90</v>
      </c>
      <c r="D56" s="212" t="s">
        <v>91</v>
      </c>
      <c r="E56" s="212" t="s">
        <v>93</v>
      </c>
      <c r="F56" s="212" t="s">
        <v>94</v>
      </c>
      <c r="G56" s="212" t="s">
        <v>114</v>
      </c>
      <c r="BF56" s="101"/>
    </row>
    <row r="57" spans="2:58" ht="13.5">
      <c r="B57" s="107"/>
      <c r="C57" s="212">
        <v>-1</v>
      </c>
      <c r="D57" s="212" t="s">
        <v>295</v>
      </c>
      <c r="E57" s="212"/>
      <c r="F57" s="212" t="s">
        <v>335</v>
      </c>
      <c r="G57" s="212" t="s">
        <v>277</v>
      </c>
      <c r="BF57" s="101"/>
    </row>
    <row r="58" spans="2:58" ht="13.5" thickBot="1">
      <c r="B58" s="107"/>
      <c r="BF58" s="101"/>
    </row>
    <row r="59" spans="2:58" ht="14" thickBot="1">
      <c r="B59" s="102" t="s">
        <v>310</v>
      </c>
      <c r="C59" s="103" t="s">
        <v>281</v>
      </c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16"/>
    </row>
    <row r="60" spans="2:58" ht="14" thickBot="1">
      <c r="B60" s="104" t="s">
        <v>305</v>
      </c>
      <c r="C60" s="103" t="s">
        <v>303</v>
      </c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16"/>
    </row>
    <row r="61" spans="2:58" ht="14" thickBot="1">
      <c r="B61" s="104" t="s">
        <v>304</v>
      </c>
      <c r="C61" s="103" t="s">
        <v>303</v>
      </c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3"/>
      <c r="BC61" s="103"/>
      <c r="BD61" s="103"/>
      <c r="BE61" s="103"/>
      <c r="BF61" s="116"/>
    </row>
    <row r="62" spans="2:58">
      <c r="B62" s="107"/>
      <c r="BF62" s="101"/>
    </row>
    <row r="63" spans="2:58" ht="13.5">
      <c r="B63" s="107"/>
      <c r="C63" s="106" t="s">
        <v>290</v>
      </c>
      <c r="D63" s="106"/>
      <c r="E63" s="106"/>
      <c r="F63" s="106"/>
      <c r="G63" s="106"/>
      <c r="BF63" s="101"/>
    </row>
    <row r="64" spans="2:58" ht="13.5">
      <c r="B64" s="107"/>
      <c r="C64" s="106" t="s">
        <v>311</v>
      </c>
      <c r="D64" s="106"/>
      <c r="E64" s="106"/>
      <c r="F64" s="106"/>
      <c r="G64" s="106"/>
      <c r="BF64" s="101"/>
    </row>
    <row r="65" spans="2:58" ht="13.5">
      <c r="B65" s="107"/>
      <c r="C65" s="106"/>
      <c r="D65" s="106"/>
      <c r="E65" s="106"/>
      <c r="F65" s="106"/>
      <c r="G65" s="106"/>
      <c r="BF65" s="101"/>
    </row>
    <row r="66" spans="2:58" ht="13.5">
      <c r="B66" s="107"/>
      <c r="C66" s="106" t="s">
        <v>89</v>
      </c>
      <c r="D66" s="106"/>
      <c r="E66" s="106"/>
      <c r="F66" s="106"/>
      <c r="G66" s="106"/>
      <c r="BF66" s="101"/>
    </row>
    <row r="67" spans="2:58" ht="13.5">
      <c r="B67" s="107"/>
      <c r="C67" s="212" t="s">
        <v>90</v>
      </c>
      <c r="D67" s="212" t="s">
        <v>91</v>
      </c>
      <c r="E67" s="212" t="s">
        <v>93</v>
      </c>
      <c r="F67" s="212" t="s">
        <v>94</v>
      </c>
      <c r="G67" s="212" t="s">
        <v>114</v>
      </c>
      <c r="BF67" s="101"/>
    </row>
    <row r="68" spans="2:58" ht="13.5">
      <c r="B68" s="107"/>
      <c r="C68" s="212">
        <v>-2</v>
      </c>
      <c r="D68" s="212" t="s">
        <v>92</v>
      </c>
      <c r="E68" s="212" t="s">
        <v>312</v>
      </c>
      <c r="F68" s="212" t="s">
        <v>313</v>
      </c>
      <c r="G68" s="212" t="s">
        <v>277</v>
      </c>
      <c r="BF68" s="101"/>
    </row>
    <row r="69" spans="2:58" ht="14" thickBot="1">
      <c r="B69" s="107"/>
      <c r="C69" s="106"/>
      <c r="D69" s="106"/>
      <c r="E69" s="106"/>
      <c r="F69" s="106"/>
      <c r="G69" s="106"/>
      <c r="BF69" s="101"/>
    </row>
    <row r="70" spans="2:58" ht="14" thickBot="1">
      <c r="B70" s="129" t="s">
        <v>322</v>
      </c>
      <c r="C70" s="103" t="s">
        <v>316</v>
      </c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3"/>
      <c r="AJ70" s="103"/>
      <c r="AK70" s="103"/>
      <c r="AL70" s="103"/>
      <c r="AM70" s="103"/>
      <c r="AN70" s="103"/>
      <c r="AO70" s="103"/>
      <c r="AP70" s="103"/>
      <c r="AQ70" s="103"/>
      <c r="AR70" s="103"/>
      <c r="AS70" s="103"/>
      <c r="AT70" s="103"/>
      <c r="AU70" s="103"/>
      <c r="AV70" s="103"/>
      <c r="AW70" s="103"/>
      <c r="AX70" s="103"/>
      <c r="AY70" s="103"/>
      <c r="AZ70" s="103"/>
      <c r="BA70" s="103"/>
      <c r="BB70" s="103"/>
      <c r="BC70" s="103"/>
      <c r="BD70" s="103"/>
      <c r="BE70" s="103"/>
      <c r="BF70" s="116"/>
    </row>
    <row r="71" spans="2:58" ht="14" thickBot="1">
      <c r="B71" s="104" t="s">
        <v>302</v>
      </c>
      <c r="C71" s="103" t="s">
        <v>303</v>
      </c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  <c r="AO71" s="103"/>
      <c r="AP71" s="103"/>
      <c r="AQ71" s="103"/>
      <c r="AR71" s="103"/>
      <c r="AS71" s="103"/>
      <c r="AT71" s="103"/>
      <c r="AU71" s="103"/>
      <c r="AV71" s="103"/>
      <c r="AW71" s="103"/>
      <c r="AX71" s="103"/>
      <c r="AY71" s="103"/>
      <c r="AZ71" s="103"/>
      <c r="BA71" s="103"/>
      <c r="BB71" s="103"/>
      <c r="BC71" s="103"/>
      <c r="BD71" s="103"/>
      <c r="BE71" s="103"/>
      <c r="BF71" s="116"/>
    </row>
    <row r="72" spans="2:58" ht="14" thickBot="1">
      <c r="B72" s="104" t="s">
        <v>304</v>
      </c>
      <c r="C72" s="103" t="s">
        <v>303</v>
      </c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  <c r="BC72" s="103"/>
      <c r="BD72" s="103"/>
      <c r="BE72" s="103"/>
      <c r="BF72" s="116"/>
    </row>
    <row r="73" spans="2:58">
      <c r="B73" s="107"/>
      <c r="BF73" s="101"/>
    </row>
    <row r="74" spans="2:58" ht="13.5">
      <c r="B74" s="107"/>
      <c r="C74" s="106" t="s">
        <v>290</v>
      </c>
      <c r="BF74" s="101"/>
    </row>
    <row r="75" spans="2:58" ht="13.5">
      <c r="B75" s="107"/>
      <c r="C75" s="106" t="s">
        <v>323</v>
      </c>
      <c r="D75" s="106"/>
      <c r="E75" s="106"/>
      <c r="F75" s="106"/>
      <c r="G75" s="106"/>
      <c r="H75" s="106"/>
      <c r="I75" s="106"/>
      <c r="BF75" s="101"/>
    </row>
    <row r="76" spans="2:58" ht="13.5">
      <c r="B76" s="107"/>
      <c r="C76" s="106"/>
      <c r="D76" s="106"/>
      <c r="E76" s="106"/>
      <c r="F76" s="106"/>
      <c r="G76" s="106"/>
      <c r="H76" s="106"/>
      <c r="I76" s="106"/>
      <c r="BF76" s="101"/>
    </row>
    <row r="77" spans="2:58" ht="13.5">
      <c r="B77" s="107"/>
      <c r="C77" s="106" t="s">
        <v>89</v>
      </c>
      <c r="D77" s="106"/>
      <c r="E77" s="106"/>
      <c r="F77" s="106"/>
      <c r="G77" s="106"/>
      <c r="H77" s="106"/>
      <c r="I77" s="106"/>
      <c r="BF77" s="101"/>
    </row>
    <row r="78" spans="2:58" ht="13.5">
      <c r="B78" s="107"/>
      <c r="C78" s="212" t="s">
        <v>118</v>
      </c>
      <c r="D78" s="212" t="s">
        <v>119</v>
      </c>
      <c r="E78" s="212" t="s">
        <v>95</v>
      </c>
      <c r="F78" s="212" t="s">
        <v>120</v>
      </c>
      <c r="G78" s="212" t="s">
        <v>121</v>
      </c>
      <c r="H78" s="106"/>
      <c r="I78" s="106"/>
      <c r="BF78" s="101"/>
    </row>
    <row r="79" spans="2:58" ht="13.5">
      <c r="B79" s="107"/>
      <c r="C79" s="212">
        <v>-1</v>
      </c>
      <c r="D79" s="212" t="s">
        <v>337</v>
      </c>
      <c r="E79" s="212" t="s">
        <v>122</v>
      </c>
      <c r="F79" s="212" t="s">
        <v>336</v>
      </c>
      <c r="G79" s="212" t="s">
        <v>338</v>
      </c>
      <c r="H79" s="106"/>
      <c r="I79" s="106"/>
      <c r="BF79" s="101"/>
    </row>
    <row r="80" spans="2:58" ht="14" thickBot="1">
      <c r="B80" s="107"/>
      <c r="C80" s="106"/>
      <c r="D80" s="106"/>
      <c r="E80" s="106"/>
      <c r="F80" s="106"/>
      <c r="G80" s="106"/>
      <c r="H80" s="106"/>
      <c r="I80" s="106"/>
      <c r="BF80" s="101"/>
    </row>
    <row r="81" spans="2:58" ht="14" thickBot="1">
      <c r="B81" s="129" t="s">
        <v>324</v>
      </c>
      <c r="C81" s="103" t="s">
        <v>317</v>
      </c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  <c r="AY81" s="103"/>
      <c r="AZ81" s="103"/>
      <c r="BA81" s="103"/>
      <c r="BB81" s="103"/>
      <c r="BC81" s="103"/>
      <c r="BD81" s="103"/>
      <c r="BE81" s="103"/>
      <c r="BF81" s="116"/>
    </row>
    <row r="82" spans="2:58" ht="14" thickBot="1">
      <c r="B82" s="104" t="s">
        <v>305</v>
      </c>
      <c r="C82" s="103" t="s">
        <v>303</v>
      </c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103"/>
      <c r="AX82" s="103"/>
      <c r="AY82" s="103"/>
      <c r="AZ82" s="103"/>
      <c r="BA82" s="103"/>
      <c r="BB82" s="103"/>
      <c r="BC82" s="103"/>
      <c r="BD82" s="103"/>
      <c r="BE82" s="103"/>
      <c r="BF82" s="116"/>
    </row>
    <row r="83" spans="2:58" ht="14" thickBot="1">
      <c r="B83" s="104" t="s">
        <v>304</v>
      </c>
      <c r="C83" s="103" t="s">
        <v>303</v>
      </c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103"/>
      <c r="AX83" s="103"/>
      <c r="AY83" s="103"/>
      <c r="AZ83" s="103"/>
      <c r="BA83" s="103"/>
      <c r="BB83" s="103"/>
      <c r="BC83" s="103"/>
      <c r="BD83" s="103"/>
      <c r="BE83" s="103"/>
      <c r="BF83" s="116"/>
    </row>
    <row r="84" spans="2:58" ht="13.5">
      <c r="B84" s="107"/>
      <c r="C84" s="106"/>
      <c r="D84" s="106"/>
      <c r="E84" s="106"/>
      <c r="F84" s="106"/>
      <c r="G84" s="106"/>
      <c r="H84" s="106"/>
      <c r="I84" s="106"/>
      <c r="BF84" s="101"/>
    </row>
    <row r="85" spans="2:58" ht="13.5">
      <c r="B85" s="107"/>
      <c r="C85" s="106" t="s">
        <v>290</v>
      </c>
      <c r="D85" s="106"/>
      <c r="E85" s="106"/>
      <c r="F85" s="106"/>
      <c r="G85" s="106"/>
      <c r="H85" s="106"/>
      <c r="I85" s="106"/>
      <c r="BF85" s="101"/>
    </row>
    <row r="86" spans="2:58" ht="13.5">
      <c r="B86" s="107"/>
      <c r="C86" s="106" t="s">
        <v>323</v>
      </c>
      <c r="D86" s="106"/>
      <c r="E86" s="106"/>
      <c r="F86" s="106"/>
      <c r="G86" s="106"/>
      <c r="H86" s="106"/>
      <c r="I86" s="106"/>
      <c r="BF86" s="101"/>
    </row>
    <row r="87" spans="2:58" ht="13.5">
      <c r="B87" s="107"/>
      <c r="C87" s="106"/>
      <c r="D87" s="106"/>
      <c r="E87" s="106"/>
      <c r="F87" s="106"/>
      <c r="G87" s="106"/>
      <c r="H87" s="106"/>
      <c r="I87" s="106"/>
      <c r="BF87" s="101"/>
    </row>
    <row r="88" spans="2:58" ht="13.5">
      <c r="B88" s="107"/>
      <c r="C88" s="106" t="s">
        <v>89</v>
      </c>
      <c r="D88" s="106"/>
      <c r="E88" s="106"/>
      <c r="F88" s="106"/>
      <c r="G88" s="106"/>
      <c r="H88" s="106"/>
      <c r="I88" s="106"/>
      <c r="BF88" s="101"/>
    </row>
    <row r="89" spans="2:58" ht="13.5">
      <c r="B89" s="107"/>
      <c r="C89" s="212" t="s">
        <v>118</v>
      </c>
      <c r="D89" s="212" t="s">
        <v>119</v>
      </c>
      <c r="E89" s="212" t="s">
        <v>95</v>
      </c>
      <c r="F89" s="212" t="s">
        <v>120</v>
      </c>
      <c r="G89" s="212" t="s">
        <v>121</v>
      </c>
      <c r="H89" s="106"/>
      <c r="I89" s="106"/>
      <c r="BF89" s="101"/>
    </row>
    <row r="90" spans="2:58" ht="13.5">
      <c r="B90" s="107"/>
      <c r="C90" s="212">
        <v>-2</v>
      </c>
      <c r="D90" s="212"/>
      <c r="E90" s="212" t="s">
        <v>325</v>
      </c>
      <c r="F90" s="212" t="s">
        <v>326</v>
      </c>
      <c r="G90" s="212" t="s">
        <v>79</v>
      </c>
      <c r="H90" s="106"/>
      <c r="I90" s="106"/>
      <c r="BF90" s="101"/>
    </row>
    <row r="91" spans="2:58" ht="13.5">
      <c r="B91" s="107"/>
      <c r="C91" s="106"/>
      <c r="D91" s="106"/>
      <c r="E91" s="106"/>
      <c r="F91" s="106"/>
      <c r="G91" s="106"/>
      <c r="H91" s="106"/>
      <c r="I91" s="106"/>
      <c r="BF91" s="101"/>
    </row>
    <row r="92" spans="2:58" ht="14" thickBot="1">
      <c r="B92" s="110"/>
      <c r="C92" s="115"/>
      <c r="D92" s="115"/>
      <c r="E92" s="115"/>
      <c r="F92" s="115"/>
      <c r="G92" s="115"/>
      <c r="H92" s="115"/>
      <c r="I92" s="115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2"/>
    </row>
    <row r="93" spans="2:58" ht="13.5">
      <c r="C93" s="106"/>
      <c r="D93" s="106"/>
      <c r="E93" s="106"/>
      <c r="F93" s="106"/>
      <c r="G93" s="106"/>
      <c r="H93" s="106"/>
      <c r="I93" s="106"/>
    </row>
    <row r="94" spans="2:58" ht="13.5">
      <c r="C94" s="106"/>
      <c r="D94" s="106"/>
      <c r="E94" s="106"/>
      <c r="F94" s="106"/>
      <c r="G94" s="106"/>
      <c r="H94" s="106"/>
      <c r="I94" s="106"/>
    </row>
    <row r="95" spans="2:58" ht="13.5">
      <c r="C95" s="106"/>
      <c r="D95" s="106"/>
      <c r="E95" s="106"/>
      <c r="F95" s="106"/>
      <c r="G95" s="106"/>
      <c r="H95" s="106"/>
      <c r="I95" s="106"/>
    </row>
    <row r="96" spans="2:58" ht="13.5">
      <c r="C96" s="106"/>
      <c r="D96" s="106"/>
      <c r="E96" s="106"/>
      <c r="F96" s="106"/>
      <c r="G96" s="106"/>
      <c r="H96" s="106"/>
      <c r="I96" s="106"/>
    </row>
    <row r="97" spans="3:9" ht="13.5">
      <c r="C97" s="106"/>
      <c r="D97" s="106"/>
      <c r="E97" s="106"/>
      <c r="F97" s="106"/>
      <c r="G97" s="106"/>
      <c r="H97" s="106"/>
      <c r="I97" s="106"/>
    </row>
    <row r="98" spans="3:9" ht="13.5">
      <c r="C98" s="106"/>
      <c r="D98" s="106"/>
      <c r="E98" s="106"/>
      <c r="F98" s="106"/>
      <c r="G98" s="106"/>
      <c r="H98" s="106"/>
      <c r="I98" s="106"/>
    </row>
    <row r="99" spans="3:9" ht="13.5">
      <c r="C99" s="106"/>
      <c r="D99" s="106"/>
      <c r="E99" s="106"/>
      <c r="F99" s="106"/>
      <c r="G99" s="106"/>
      <c r="H99" s="106"/>
      <c r="I99" s="106"/>
    </row>
    <row r="100" spans="3:9" ht="13.5">
      <c r="C100" s="106"/>
      <c r="D100" s="106"/>
      <c r="E100" s="106"/>
      <c r="F100" s="106"/>
      <c r="G100" s="106"/>
      <c r="H100" s="106"/>
      <c r="I100" s="106"/>
    </row>
    <row r="101" spans="3:9" ht="13.5">
      <c r="C101" s="106"/>
      <c r="D101" s="106"/>
      <c r="E101" s="106"/>
      <c r="F101" s="106"/>
      <c r="G101" s="106"/>
      <c r="H101" s="106"/>
      <c r="I101" s="106"/>
    </row>
    <row r="102" spans="3:9" ht="13.5">
      <c r="C102" s="106"/>
      <c r="D102" s="106"/>
      <c r="E102" s="106"/>
      <c r="F102" s="106"/>
      <c r="G102" s="106"/>
      <c r="H102" s="106"/>
      <c r="I102" s="106"/>
    </row>
    <row r="103" spans="3:9" ht="13.5">
      <c r="C103" s="106"/>
      <c r="D103" s="106"/>
      <c r="E103" s="106"/>
      <c r="F103" s="106"/>
      <c r="G103" s="106"/>
      <c r="H103" s="106"/>
      <c r="I103" s="106"/>
    </row>
    <row r="104" spans="3:9" ht="13.5">
      <c r="C104" s="106"/>
      <c r="D104" s="106"/>
      <c r="E104" s="106"/>
      <c r="F104" s="106"/>
      <c r="G104" s="106"/>
      <c r="H104" s="106"/>
      <c r="I104" s="106"/>
    </row>
    <row r="105" spans="3:9" ht="13.5">
      <c r="C105" s="106"/>
      <c r="D105" s="106"/>
      <c r="E105" s="106"/>
      <c r="F105" s="106"/>
      <c r="G105" s="106"/>
      <c r="H105" s="106"/>
      <c r="I105" s="106"/>
    </row>
    <row r="106" spans="3:9" ht="13.5">
      <c r="C106" s="106"/>
      <c r="D106" s="106"/>
      <c r="E106" s="106"/>
      <c r="F106" s="106"/>
      <c r="G106" s="106"/>
      <c r="H106" s="106"/>
      <c r="I106" s="106"/>
    </row>
    <row r="107" spans="3:9" ht="13.5">
      <c r="C107" s="106"/>
      <c r="D107" s="106"/>
      <c r="E107" s="106"/>
      <c r="F107" s="106"/>
      <c r="G107" s="106"/>
      <c r="H107" s="106"/>
      <c r="I107" s="106"/>
    </row>
    <row r="108" spans="3:9" ht="13.5">
      <c r="C108" s="106"/>
      <c r="D108" s="106"/>
      <c r="E108" s="106"/>
      <c r="F108" s="106"/>
      <c r="G108" s="106"/>
      <c r="H108" s="106"/>
      <c r="I108" s="106"/>
    </row>
    <row r="109" spans="3:9" ht="13.5">
      <c r="C109" s="106"/>
      <c r="D109" s="106"/>
      <c r="E109" s="106"/>
      <c r="F109" s="106"/>
      <c r="G109" s="106"/>
      <c r="H109" s="106"/>
      <c r="I109" s="106"/>
    </row>
    <row r="110" spans="3:9" ht="13.5">
      <c r="C110" s="106"/>
      <c r="D110" s="106"/>
      <c r="E110" s="106"/>
      <c r="F110" s="106"/>
      <c r="G110" s="106"/>
      <c r="H110" s="106"/>
      <c r="I110" s="106"/>
    </row>
    <row r="111" spans="3:9" ht="13.5">
      <c r="C111" s="106"/>
      <c r="D111" s="106"/>
      <c r="E111" s="106"/>
      <c r="F111" s="106"/>
      <c r="G111" s="106"/>
      <c r="H111" s="106"/>
      <c r="I111" s="106"/>
    </row>
    <row r="112" spans="3:9" ht="13.5">
      <c r="C112" s="106"/>
      <c r="D112" s="106"/>
      <c r="E112" s="106"/>
      <c r="F112" s="106"/>
      <c r="G112" s="106"/>
      <c r="H112" s="106"/>
      <c r="I112" s="106"/>
    </row>
    <row r="113" spans="3:9" ht="13.5">
      <c r="C113" s="106"/>
      <c r="D113" s="106"/>
      <c r="E113" s="106"/>
      <c r="F113" s="106"/>
      <c r="G113" s="106"/>
      <c r="H113" s="106"/>
      <c r="I113" s="106"/>
    </row>
    <row r="114" spans="3:9" ht="13.5">
      <c r="C114" s="106"/>
      <c r="D114" s="106"/>
      <c r="E114" s="106"/>
      <c r="F114" s="106"/>
      <c r="G114" s="106"/>
      <c r="H114" s="106"/>
      <c r="I114" s="106"/>
    </row>
    <row r="115" spans="3:9" ht="13.5">
      <c r="C115" s="106"/>
      <c r="D115" s="106"/>
      <c r="E115" s="106"/>
      <c r="F115" s="106"/>
      <c r="G115" s="106"/>
      <c r="H115" s="106"/>
      <c r="I115" s="106"/>
    </row>
    <row r="116" spans="3:9" ht="13.5">
      <c r="C116" s="106"/>
      <c r="D116" s="106"/>
      <c r="E116" s="106"/>
      <c r="F116" s="106"/>
      <c r="G116" s="106"/>
      <c r="H116" s="106"/>
      <c r="I116" s="106"/>
    </row>
    <row r="117" spans="3:9" ht="13.5">
      <c r="C117" s="106"/>
      <c r="D117" s="106"/>
      <c r="E117" s="106"/>
      <c r="F117" s="106"/>
      <c r="G117" s="106"/>
      <c r="H117" s="106"/>
      <c r="I117" s="106"/>
    </row>
    <row r="118" spans="3:9" ht="13.5">
      <c r="C118" s="106"/>
      <c r="D118" s="106"/>
      <c r="E118" s="106"/>
      <c r="F118" s="106"/>
      <c r="G118" s="106"/>
      <c r="H118" s="106"/>
      <c r="I118" s="106"/>
    </row>
    <row r="119" spans="3:9" ht="13.5">
      <c r="C119" s="106"/>
      <c r="D119" s="106"/>
      <c r="E119" s="106"/>
      <c r="F119" s="106"/>
      <c r="G119" s="106"/>
      <c r="H119" s="106"/>
      <c r="I119" s="106"/>
    </row>
    <row r="120" spans="3:9" ht="13.5">
      <c r="C120" s="106"/>
      <c r="D120" s="106"/>
      <c r="E120" s="106"/>
      <c r="F120" s="106"/>
      <c r="G120" s="106"/>
      <c r="H120" s="106"/>
      <c r="I120" s="106"/>
    </row>
    <row r="121" spans="3:9" ht="13.5">
      <c r="C121" s="106"/>
      <c r="D121" s="106"/>
      <c r="E121" s="106"/>
      <c r="F121" s="106"/>
      <c r="G121" s="106"/>
      <c r="H121" s="106"/>
      <c r="I121" s="106"/>
    </row>
    <row r="122" spans="3:9" ht="13.5">
      <c r="C122" s="106"/>
      <c r="D122" s="106"/>
      <c r="E122" s="106"/>
      <c r="F122" s="106"/>
      <c r="G122" s="106"/>
      <c r="H122" s="106"/>
      <c r="I122" s="106"/>
    </row>
    <row r="123" spans="3:9" ht="13.5">
      <c r="C123" s="106"/>
      <c r="D123" s="106"/>
      <c r="E123" s="106"/>
      <c r="F123" s="106"/>
      <c r="G123" s="106"/>
      <c r="H123" s="106"/>
      <c r="I123" s="106"/>
    </row>
    <row r="124" spans="3:9" ht="13.5">
      <c r="C124" s="106"/>
      <c r="D124" s="106"/>
      <c r="E124" s="106"/>
      <c r="F124" s="106"/>
      <c r="G124" s="106"/>
      <c r="H124" s="106"/>
      <c r="I124" s="106"/>
    </row>
    <row r="125" spans="3:9" ht="13.5">
      <c r="C125" s="106"/>
      <c r="D125" s="106"/>
      <c r="E125" s="106"/>
      <c r="F125" s="106"/>
      <c r="G125" s="106"/>
      <c r="H125" s="106"/>
      <c r="I125" s="106"/>
    </row>
    <row r="126" spans="3:9" ht="13.5">
      <c r="C126" s="106"/>
      <c r="D126" s="106"/>
      <c r="E126" s="106"/>
      <c r="F126" s="106"/>
      <c r="G126" s="106"/>
      <c r="H126" s="106"/>
      <c r="I126" s="106"/>
    </row>
    <row r="127" spans="3:9" ht="13.5">
      <c r="C127" s="106"/>
      <c r="D127" s="106"/>
      <c r="E127" s="106"/>
      <c r="F127" s="106"/>
      <c r="G127" s="106"/>
      <c r="H127" s="106"/>
      <c r="I127" s="106"/>
    </row>
    <row r="128" spans="3:9" ht="13.5">
      <c r="C128" s="106"/>
      <c r="D128" s="106"/>
      <c r="E128" s="106"/>
      <c r="F128" s="106"/>
      <c r="G128" s="106"/>
      <c r="H128" s="106"/>
      <c r="I128" s="106"/>
    </row>
    <row r="129" spans="3:9" ht="13.5">
      <c r="C129" s="106"/>
      <c r="D129" s="106"/>
      <c r="E129" s="106"/>
      <c r="F129" s="106"/>
      <c r="G129" s="106"/>
      <c r="H129" s="106"/>
      <c r="I129" s="106"/>
    </row>
    <row r="130" spans="3:9" ht="13.5">
      <c r="C130" s="106"/>
      <c r="D130" s="106"/>
      <c r="E130" s="106"/>
      <c r="F130" s="106"/>
      <c r="G130" s="106"/>
      <c r="H130" s="106"/>
      <c r="I130" s="106"/>
    </row>
    <row r="131" spans="3:9" ht="13.5">
      <c r="C131" s="106"/>
      <c r="D131" s="106"/>
      <c r="E131" s="106"/>
      <c r="F131" s="106"/>
      <c r="G131" s="106"/>
      <c r="H131" s="106"/>
      <c r="I131" s="106"/>
    </row>
    <row r="132" spans="3:9" ht="13.5">
      <c r="C132" s="106"/>
      <c r="D132" s="106"/>
      <c r="E132" s="106"/>
      <c r="F132" s="106"/>
      <c r="G132" s="106"/>
      <c r="H132" s="106"/>
      <c r="I132" s="106"/>
    </row>
    <row r="133" spans="3:9" ht="13.5">
      <c r="C133" s="106"/>
      <c r="D133" s="106"/>
      <c r="E133" s="106"/>
      <c r="F133" s="106"/>
      <c r="G133" s="106"/>
      <c r="H133" s="106"/>
      <c r="I133" s="106"/>
    </row>
    <row r="134" spans="3:9" ht="13.5">
      <c r="C134" s="106"/>
      <c r="D134" s="106"/>
      <c r="E134" s="106"/>
      <c r="F134" s="106"/>
      <c r="G134" s="106"/>
      <c r="H134" s="106"/>
      <c r="I134" s="106"/>
    </row>
    <row r="135" spans="3:9" ht="13.5">
      <c r="C135" s="106"/>
      <c r="D135" s="106"/>
      <c r="E135" s="106"/>
      <c r="F135" s="106"/>
      <c r="G135" s="106"/>
      <c r="H135" s="106"/>
      <c r="I135" s="106"/>
    </row>
    <row r="136" spans="3:9" ht="13.5">
      <c r="C136" s="106"/>
      <c r="D136" s="106"/>
      <c r="E136" s="106"/>
      <c r="F136" s="106"/>
      <c r="G136" s="106"/>
      <c r="H136" s="106"/>
      <c r="I136" s="106"/>
    </row>
    <row r="137" spans="3:9" ht="13.5">
      <c r="C137" s="106"/>
      <c r="D137" s="106"/>
      <c r="E137" s="106"/>
      <c r="F137" s="106"/>
      <c r="G137" s="106"/>
      <c r="H137" s="106"/>
      <c r="I137" s="106"/>
    </row>
    <row r="138" spans="3:9" ht="13.5">
      <c r="C138" s="106"/>
      <c r="D138" s="106"/>
      <c r="E138" s="106"/>
      <c r="F138" s="106"/>
      <c r="G138" s="106"/>
      <c r="H138" s="106"/>
      <c r="I138" s="106"/>
    </row>
    <row r="139" spans="3:9" ht="13.5">
      <c r="C139" s="106"/>
      <c r="D139" s="106"/>
      <c r="E139" s="106"/>
      <c r="F139" s="106"/>
      <c r="G139" s="106"/>
      <c r="H139" s="106"/>
      <c r="I139" s="106"/>
    </row>
    <row r="140" spans="3:9" ht="13.5">
      <c r="C140" s="106"/>
      <c r="D140" s="106"/>
      <c r="E140" s="106"/>
      <c r="F140" s="106"/>
      <c r="G140" s="106"/>
      <c r="H140" s="106"/>
      <c r="I140" s="106"/>
    </row>
    <row r="141" spans="3:9" ht="13.5">
      <c r="C141" s="106"/>
      <c r="D141" s="106"/>
      <c r="E141" s="106"/>
      <c r="F141" s="106"/>
      <c r="G141" s="106"/>
      <c r="H141" s="106"/>
      <c r="I141" s="106"/>
    </row>
    <row r="142" spans="3:9" ht="13.5">
      <c r="C142" s="106"/>
      <c r="D142" s="106"/>
      <c r="E142" s="106"/>
      <c r="F142" s="106"/>
      <c r="G142" s="106"/>
      <c r="H142" s="106"/>
      <c r="I142" s="106"/>
    </row>
    <row r="143" spans="3:9" ht="13.5">
      <c r="C143" s="106"/>
      <c r="D143" s="106"/>
      <c r="E143" s="106"/>
      <c r="F143" s="106"/>
      <c r="G143" s="106"/>
      <c r="H143" s="106"/>
      <c r="I143" s="106"/>
    </row>
    <row r="144" spans="3:9" ht="13.5">
      <c r="C144" s="106"/>
      <c r="D144" s="106"/>
      <c r="E144" s="106"/>
      <c r="F144" s="106"/>
      <c r="G144" s="106"/>
      <c r="H144" s="106"/>
      <c r="I144" s="106"/>
    </row>
    <row r="145" spans="3:9" ht="13.5">
      <c r="C145" s="106"/>
      <c r="D145" s="106"/>
      <c r="E145" s="106"/>
      <c r="F145" s="106"/>
      <c r="G145" s="106"/>
      <c r="H145" s="106"/>
      <c r="I145" s="106"/>
    </row>
    <row r="146" spans="3:9" ht="13.5">
      <c r="C146" s="106"/>
      <c r="D146" s="106"/>
      <c r="E146" s="106"/>
      <c r="F146" s="106"/>
      <c r="G146" s="106"/>
      <c r="H146" s="106"/>
      <c r="I146" s="106"/>
    </row>
    <row r="147" spans="3:9" ht="13.5">
      <c r="C147" s="106"/>
      <c r="D147" s="106"/>
      <c r="E147" s="106"/>
      <c r="F147" s="106"/>
      <c r="G147" s="106"/>
      <c r="H147" s="106"/>
      <c r="I147" s="106"/>
    </row>
    <row r="148" spans="3:9" ht="13.5">
      <c r="C148" s="106"/>
      <c r="D148" s="106"/>
      <c r="E148" s="106"/>
      <c r="F148" s="106"/>
      <c r="G148" s="106"/>
      <c r="H148" s="106"/>
      <c r="I148" s="106"/>
    </row>
    <row r="149" spans="3:9" ht="13.5">
      <c r="C149" s="106"/>
      <c r="D149" s="106"/>
      <c r="E149" s="106"/>
      <c r="F149" s="106"/>
      <c r="G149" s="106"/>
      <c r="H149" s="106"/>
      <c r="I149" s="106"/>
    </row>
    <row r="150" spans="3:9" ht="13.5">
      <c r="C150" s="106"/>
      <c r="D150" s="106"/>
      <c r="E150" s="106"/>
      <c r="F150" s="106"/>
      <c r="G150" s="106"/>
      <c r="H150" s="106"/>
      <c r="I150" s="106"/>
    </row>
    <row r="151" spans="3:9" ht="13.5">
      <c r="C151" s="106"/>
      <c r="D151" s="106"/>
      <c r="E151" s="106"/>
      <c r="F151" s="106"/>
      <c r="G151" s="106"/>
      <c r="H151" s="106"/>
      <c r="I151" s="106"/>
    </row>
    <row r="152" spans="3:9" ht="13.5">
      <c r="C152" s="106"/>
      <c r="D152" s="106"/>
      <c r="E152" s="106"/>
      <c r="F152" s="106"/>
      <c r="G152" s="106"/>
      <c r="H152" s="106"/>
      <c r="I152" s="106"/>
    </row>
    <row r="153" spans="3:9" ht="13.5">
      <c r="C153" s="106"/>
      <c r="D153" s="106"/>
      <c r="E153" s="106"/>
      <c r="F153" s="106"/>
      <c r="G153" s="106"/>
      <c r="H153" s="106"/>
      <c r="I153" s="106"/>
    </row>
    <row r="154" spans="3:9" ht="13.5">
      <c r="C154" s="106"/>
      <c r="D154" s="106"/>
      <c r="E154" s="106"/>
      <c r="F154" s="106"/>
      <c r="G154" s="106"/>
      <c r="H154" s="106"/>
      <c r="I154" s="106"/>
    </row>
    <row r="155" spans="3:9" ht="13.5">
      <c r="C155" s="106"/>
      <c r="D155" s="106"/>
      <c r="E155" s="106"/>
      <c r="F155" s="106"/>
      <c r="G155" s="106"/>
      <c r="H155" s="106"/>
      <c r="I155" s="106"/>
    </row>
    <row r="156" spans="3:9" ht="13.5">
      <c r="C156" s="106"/>
      <c r="D156" s="106"/>
      <c r="E156" s="106"/>
      <c r="F156" s="106"/>
      <c r="G156" s="106"/>
      <c r="H156" s="106"/>
      <c r="I156" s="106"/>
    </row>
    <row r="157" spans="3:9" ht="13.5">
      <c r="C157" s="106"/>
      <c r="D157" s="106"/>
      <c r="E157" s="106"/>
      <c r="F157" s="106"/>
      <c r="G157" s="106"/>
      <c r="H157" s="106"/>
      <c r="I157" s="106"/>
    </row>
    <row r="158" spans="3:9" ht="13.5">
      <c r="C158" s="106"/>
      <c r="D158" s="106"/>
      <c r="E158" s="106"/>
      <c r="F158" s="106"/>
      <c r="G158" s="106"/>
      <c r="H158" s="106"/>
      <c r="I158" s="106"/>
    </row>
    <row r="159" spans="3:9" ht="13.5">
      <c r="C159" s="106"/>
      <c r="D159" s="106"/>
      <c r="E159" s="106"/>
      <c r="F159" s="106"/>
      <c r="G159" s="106"/>
      <c r="H159" s="106"/>
      <c r="I159" s="106"/>
    </row>
    <row r="160" spans="3:9" ht="13.5">
      <c r="C160" s="106"/>
      <c r="D160" s="106"/>
      <c r="E160" s="106"/>
      <c r="F160" s="106"/>
      <c r="G160" s="106"/>
      <c r="H160" s="106"/>
      <c r="I160" s="106"/>
    </row>
    <row r="161" spans="3:9" ht="13.5">
      <c r="C161" s="106"/>
      <c r="D161" s="106"/>
      <c r="E161" s="106"/>
      <c r="F161" s="106"/>
      <c r="G161" s="106"/>
      <c r="H161" s="106"/>
      <c r="I161" s="106"/>
    </row>
    <row r="162" spans="3:9" ht="13.5">
      <c r="C162" s="106"/>
      <c r="D162" s="106"/>
      <c r="E162" s="106"/>
      <c r="F162" s="106"/>
      <c r="G162" s="106"/>
      <c r="H162" s="106"/>
      <c r="I162" s="106"/>
    </row>
    <row r="163" spans="3:9" ht="13.5">
      <c r="C163" s="106"/>
      <c r="D163" s="106"/>
      <c r="E163" s="106"/>
      <c r="F163" s="106"/>
      <c r="G163" s="106"/>
      <c r="H163" s="106"/>
      <c r="I163" s="106"/>
    </row>
    <row r="164" spans="3:9" ht="13.5">
      <c r="C164" s="106"/>
      <c r="D164" s="106"/>
      <c r="E164" s="106"/>
      <c r="F164" s="106"/>
      <c r="G164" s="106"/>
      <c r="H164" s="106"/>
      <c r="I164" s="106"/>
    </row>
    <row r="165" spans="3:9" ht="13.5">
      <c r="C165" s="106"/>
      <c r="D165" s="106"/>
      <c r="E165" s="106"/>
      <c r="F165" s="106"/>
      <c r="G165" s="106"/>
      <c r="H165" s="106"/>
      <c r="I165" s="106"/>
    </row>
    <row r="166" spans="3:9" ht="13.5">
      <c r="C166" s="106"/>
      <c r="D166" s="106"/>
      <c r="E166" s="106"/>
      <c r="F166" s="106"/>
      <c r="G166" s="106"/>
      <c r="H166" s="106"/>
      <c r="I166" s="106"/>
    </row>
    <row r="167" spans="3:9" ht="13.5">
      <c r="C167" s="106"/>
      <c r="D167" s="106"/>
      <c r="E167" s="106"/>
      <c r="F167" s="106"/>
      <c r="G167" s="106"/>
      <c r="H167" s="106"/>
      <c r="I167" s="106"/>
    </row>
    <row r="168" spans="3:9" ht="13.5">
      <c r="C168" s="106"/>
      <c r="D168" s="106"/>
      <c r="E168" s="106"/>
      <c r="F168" s="106"/>
      <c r="G168" s="106"/>
      <c r="H168" s="106"/>
      <c r="I168" s="106"/>
    </row>
    <row r="169" spans="3:9" ht="13.5">
      <c r="C169" s="106"/>
      <c r="D169" s="106"/>
      <c r="E169" s="106"/>
      <c r="F169" s="106"/>
      <c r="G169" s="106"/>
      <c r="H169" s="106"/>
      <c r="I169" s="106"/>
    </row>
    <row r="170" spans="3:9" ht="13.5">
      <c r="C170" s="106"/>
      <c r="D170" s="106"/>
      <c r="E170" s="106"/>
      <c r="F170" s="106"/>
      <c r="G170" s="106"/>
      <c r="H170" s="106"/>
      <c r="I170" s="106"/>
    </row>
    <row r="171" spans="3:9" ht="13.5">
      <c r="C171" s="106"/>
      <c r="D171" s="106"/>
      <c r="E171" s="106"/>
      <c r="F171" s="106"/>
      <c r="G171" s="106"/>
      <c r="H171" s="106"/>
      <c r="I171" s="106"/>
    </row>
    <row r="172" spans="3:9" ht="13.5">
      <c r="C172" s="106"/>
      <c r="D172" s="106"/>
      <c r="E172" s="106"/>
      <c r="F172" s="106"/>
      <c r="G172" s="106"/>
      <c r="H172" s="106"/>
      <c r="I172" s="106"/>
    </row>
    <row r="173" spans="3:9" ht="13.5">
      <c r="C173" s="106"/>
      <c r="D173" s="106"/>
      <c r="E173" s="106"/>
      <c r="F173" s="106"/>
      <c r="G173" s="106"/>
      <c r="H173" s="106"/>
      <c r="I173" s="106"/>
    </row>
    <row r="174" spans="3:9" ht="13.5">
      <c r="C174" s="106"/>
      <c r="D174" s="106"/>
      <c r="E174" s="106"/>
      <c r="F174" s="106"/>
      <c r="G174" s="106"/>
      <c r="H174" s="106"/>
      <c r="I174" s="106"/>
    </row>
    <row r="175" spans="3:9" ht="13.5">
      <c r="C175" s="106"/>
      <c r="D175" s="106"/>
      <c r="E175" s="106"/>
      <c r="F175" s="106"/>
      <c r="G175" s="106"/>
      <c r="H175" s="106"/>
      <c r="I175" s="106"/>
    </row>
    <row r="176" spans="3:9" ht="13.5">
      <c r="C176" s="106"/>
      <c r="D176" s="106"/>
      <c r="E176" s="106"/>
      <c r="F176" s="106"/>
      <c r="G176" s="106"/>
      <c r="H176" s="106"/>
      <c r="I176" s="106"/>
    </row>
    <row r="177" spans="3:9" ht="13.5">
      <c r="C177" s="106"/>
      <c r="D177" s="106"/>
      <c r="E177" s="106"/>
      <c r="F177" s="106"/>
      <c r="G177" s="106"/>
      <c r="H177" s="106"/>
      <c r="I177" s="106"/>
    </row>
    <row r="178" spans="3:9" ht="13.5">
      <c r="C178" s="106"/>
      <c r="D178" s="106"/>
      <c r="E178" s="106"/>
      <c r="F178" s="106"/>
      <c r="G178" s="106"/>
      <c r="H178" s="106"/>
      <c r="I178" s="106"/>
    </row>
    <row r="179" spans="3:9" ht="13.5">
      <c r="C179" s="106"/>
      <c r="D179" s="106"/>
      <c r="E179" s="106"/>
      <c r="F179" s="106"/>
      <c r="G179" s="106"/>
      <c r="H179" s="106"/>
      <c r="I179" s="106"/>
    </row>
    <row r="180" spans="3:9" ht="13.5">
      <c r="C180" s="106"/>
      <c r="D180" s="106"/>
      <c r="E180" s="106"/>
      <c r="F180" s="106"/>
      <c r="G180" s="106"/>
      <c r="H180" s="106"/>
      <c r="I180" s="106"/>
    </row>
    <row r="181" spans="3:9" ht="13.5">
      <c r="C181" s="106"/>
      <c r="D181" s="106"/>
      <c r="E181" s="106"/>
      <c r="F181" s="106"/>
      <c r="G181" s="106"/>
      <c r="H181" s="106"/>
      <c r="I181" s="106"/>
    </row>
    <row r="182" spans="3:9" ht="13.5">
      <c r="C182" s="106"/>
      <c r="D182" s="106"/>
      <c r="E182" s="106"/>
      <c r="F182" s="106"/>
      <c r="G182" s="106"/>
      <c r="H182" s="106"/>
      <c r="I182" s="106"/>
    </row>
    <row r="183" spans="3:9" ht="13.5">
      <c r="C183" s="106"/>
      <c r="D183" s="106"/>
      <c r="E183" s="106"/>
      <c r="F183" s="106"/>
      <c r="G183" s="106"/>
      <c r="H183" s="106"/>
      <c r="I183" s="106"/>
    </row>
    <row r="184" spans="3:9" ht="13.5">
      <c r="C184" s="106"/>
      <c r="D184" s="106"/>
      <c r="E184" s="106"/>
      <c r="F184" s="106"/>
      <c r="G184" s="106"/>
      <c r="H184" s="106"/>
      <c r="I184" s="106"/>
    </row>
  </sheetData>
  <phoneticPr fontId="3"/>
  <hyperlinks>
    <hyperlink ref="A1" location="TCS!A1" display="戻る" xr:uid="{BE56EBDF-CAF8-4574-BD5D-BCED4AA74DC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7b21de-6aa2-4397-bc9c-dfadd9f0c5dc" xsi:nil="true"/>
    <_x72b6__x614b__x7ba1__x7406_ xmlns="4d5f495e-8872-4613-b41e-44adb53a887e" xsi:nil="true"/>
    <_x7d0d__x671f_ xmlns="4d5f495e-8872-4613-b41e-44adb53a887e" xsi:nil="true"/>
    <lcf76f155ced4ddcb4097134ff3c332f xmlns="4d5f495e-8872-4613-b41e-44adb53a887e">
      <Terms xmlns="http://schemas.microsoft.com/office/infopath/2007/PartnerControls"/>
    </lcf76f155ced4ddcb4097134ff3c332f>
    <_Flow_SignoffStatus xmlns="4d5f495e-8872-4613-b41e-44adb53a887e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E4925CEB4767D4088405B3A37F02A88" ma:contentTypeVersion="17" ma:contentTypeDescription="新しいドキュメントを作成します。" ma:contentTypeScope="" ma:versionID="074d3528a928c679d67d1ad12dfa4912">
  <xsd:schema xmlns:xsd="http://www.w3.org/2001/XMLSchema" xmlns:xs="http://www.w3.org/2001/XMLSchema" xmlns:p="http://schemas.microsoft.com/office/2006/metadata/properties" xmlns:ns2="4d5f495e-8872-4613-b41e-44adb53a887e" xmlns:ns3="e47b21de-6aa2-4397-bc9c-dfadd9f0c5dc" targetNamespace="http://schemas.microsoft.com/office/2006/metadata/properties" ma:root="true" ma:fieldsID="1deb7a9c2e5ecc746ac0194f551b1971" ns2:_="" ns3:_="">
    <xsd:import namespace="4d5f495e-8872-4613-b41e-44adb53a887e"/>
    <xsd:import namespace="e47b21de-6aa2-4397-bc9c-dfadd9f0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_x72b6__x614b__x7ba1__x7406_" minOccurs="0"/>
                <xsd:element ref="ns2:_Flow_SignoffStatus" minOccurs="0"/>
                <xsd:element ref="ns2:_x7d0d__x671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f495e-8872-4613-b41e-44adb53a8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5d8d8cb3-13e6-4a9b-b8ca-c05e8e45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72b6__x614b__x7ba1__x7406_" ma:index="22" nillable="true" ma:displayName="状態管理" ma:description="作成状況の見える化" ma:format="Dropdown" ma:internalName="_x72b6__x614b__x7ba1__x7406_">
      <xsd:simpleType>
        <xsd:restriction base="dms:Choice">
          <xsd:enumeration value="編集中"/>
          <xsd:enumeration value="レイアウト待ち"/>
          <xsd:enumeration value="レイアウト完成"/>
          <xsd:enumeration value="生管レビュー中"/>
          <xsd:enumeration value="レイアウト承認済"/>
          <xsd:enumeration value="仕様書完成"/>
          <xsd:enumeration value="仕様書承認済"/>
        </xsd:restriction>
      </xsd:simpleType>
    </xsd:element>
    <xsd:element name="_Flow_SignoffStatus" ma:index="23" nillable="true" ma:displayName="承認の状態" ma:internalName="_x0024_Resources_x003a_core_x002c_Signoff_Status">
      <xsd:simpleType>
        <xsd:restriction base="dms:Text"/>
      </xsd:simpleType>
    </xsd:element>
    <xsd:element name="_x7d0d__x671f_" ma:index="24" nillable="true" ma:displayName="納期" ma:format="DateOnly" ma:internalName="_x7d0d__x671f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b21de-6aa2-4397-bc9c-dfadd9f0c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7c6d6af-6b20-4698-97a9-af3e7ec4475a}" ma:internalName="TaxCatchAll" ma:showField="CatchAllData" ma:web="e47b21de-6aa2-4397-bc9c-dfadd9f0c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B6BF48-E3F6-4B13-9192-4EFFE42803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FADD67-DD7C-4D45-8940-C6EB8B5BA1F7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d5f495e-8872-4613-b41e-44adb53a887e"/>
    <ds:schemaRef ds:uri="http://purl.org/dc/terms/"/>
    <ds:schemaRef ds:uri="http://schemas.microsoft.com/office/2006/documentManagement/types"/>
    <ds:schemaRef ds:uri="e47b21de-6aa2-4397-bc9c-dfadd9f0c5d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F2B1990-BD69-40EB-A43C-6C4C780A6DE4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7EEBDC7-076F-4ACD-8DBF-C49B4CC77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f495e-8872-4613-b41e-44adb53a887e"/>
    <ds:schemaRef ds:uri="e47b21de-6aa2-4397-bc9c-dfadd9f0c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更新履歴</vt:lpstr>
      <vt:lpstr>TCS</vt:lpstr>
      <vt:lpstr>テストデータ</vt:lpstr>
      <vt:lpstr>引数チェック</vt:lpstr>
      <vt:lpstr>主処理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Yusuke</dc:creator>
  <cp:lastModifiedBy>Sun Sheng</cp:lastModifiedBy>
  <cp:lastPrinted>2012-11-07T00:24:04Z</cp:lastPrinted>
  <dcterms:created xsi:type="dcterms:W3CDTF">2006-06-14T00:06:44Z</dcterms:created>
  <dcterms:modified xsi:type="dcterms:W3CDTF">2025-11-03T00:43:11Z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0x010100CE4925CEB4767D4088405B3A37F02A88</vt:lpwstr>
  </property>
  <property fmtid="{D5CDD505-2E9C-101B-9397-08002B2CF9AE}" pid="3" name="MediaServiceImageTags">
    <vt:lpwstr/>
  </property>
</Properties>
</file>