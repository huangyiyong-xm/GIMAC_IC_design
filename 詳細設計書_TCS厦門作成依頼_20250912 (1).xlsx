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temp1\A_WorkFile\IC详细设计\NEXT\"/>
    </mc:Choice>
  </mc:AlternateContent>
  <xr:revisionPtr revIDLastSave="0" documentId="13_ncr:1_{0B76FA19-3F68-42BE-926E-9DC1750B47A4}" xr6:coauthVersionLast="47" xr6:coauthVersionMax="47" xr10:uidLastSave="{00000000-0000-0000-0000-000000000000}"/>
  <bookViews>
    <workbookView xWindow="-38520" yWindow="-2460" windowWidth="38640" windowHeight="21120" firstSheet="1" activeTab="1" xr2:uid="{00000000-000D-0000-FFFF-FFFF00000000}"/>
  </bookViews>
  <sheets>
    <sheet name="依頼内容" sheetId="1" r:id="rId1"/>
    <sheet name="厦門依頼(SP)" sheetId="2" r:id="rId2"/>
    <sheet name="厦門依頼 (画面・バッチ)" sheetId="3" r:id="rId3"/>
    <sheet name="納入遵守変化点" sheetId="4" r:id="rId4"/>
  </sheets>
  <definedNames>
    <definedName name="_xlnm._FilterDatabase" hidden="1">#REF!</definedName>
    <definedName name="_Key1" hidden="1">#REF!</definedName>
    <definedName name="_Order1" hidden="1">255</definedName>
    <definedName name="_Sort" hidden="1">#REF!</definedName>
    <definedName name="AS2DocOpenMode" hidden="1">"AS2DocumentEdit"</definedName>
    <definedName name="ｈｅｄｅｒ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へｈｅｄｅｒ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2" l="1"/>
  <c r="A9" i="2"/>
  <c r="A8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Suzuki Yusuke</author>
  </authors>
  <commentList>
    <comment ref="T5" authorId="0" shapeId="0" xr:uid="{6BDD15D3-2F51-4B2F-B8D8-D8AC8808433C}">
      <text>
        <r>
          <rPr>
            <b/>
            <sz val="9"/>
            <color indexed="81"/>
            <rFont val="MS P ゴシック"/>
            <family val="3"/>
            <charset val="128"/>
          </rPr>
          <t>・基本設計に「記載がない」、もしくは、「わからない」
　　NEXT、PYMACで差異がある処理
・気になった点　等
を記載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Suzuki Yusuke</author>
  </authors>
  <commentList>
    <comment ref="R5" authorId="0" shapeId="0" xr:uid="{787FD722-12F7-4BE8-8F50-C744CF1C8DFB}">
      <text>
        <r>
          <rPr>
            <b/>
            <sz val="9"/>
            <color indexed="81"/>
            <rFont val="MS P ゴシック"/>
            <family val="3"/>
            <charset val="128"/>
          </rPr>
          <t>・基本設計に「記載がない」、もしくは、「わからない」
　　NEXT、PYMACで差異がある処理
・気になった点　等
を記載</t>
        </r>
      </text>
    </comment>
  </commentList>
</comments>
</file>

<file path=xl/sharedStrings.xml><?xml version="1.0" encoding="utf-8"?>
<sst xmlns="http://schemas.openxmlformats.org/spreadsheetml/2006/main" count="501" uniqueCount="275">
  <si>
    <t>SP厦門依頼</t>
    <rPh sb="2" eb="4">
      <t>アモイ</t>
    </rPh>
    <rPh sb="4" eb="6">
      <t>イライ</t>
    </rPh>
    <phoneticPr fontId="4"/>
  </si>
  <si>
    <t>No.</t>
    <phoneticPr fontId="4"/>
  </si>
  <si>
    <t>プログラムID</t>
    <phoneticPr fontId="4"/>
  </si>
  <si>
    <t>プログラム名称</t>
    <rPh sb="5" eb="7">
      <t>メイショウ</t>
    </rPh>
    <phoneticPr fontId="4"/>
  </si>
  <si>
    <t>担当</t>
    <rPh sb="0" eb="2">
      <t>タントウ</t>
    </rPh>
    <phoneticPr fontId="4"/>
  </si>
  <si>
    <t>基本設計時
開発ランク</t>
    <rPh sb="0" eb="4">
      <t>キホンセッケイ</t>
    </rPh>
    <rPh sb="4" eb="5">
      <t>ジ</t>
    </rPh>
    <rPh sb="6" eb="8">
      <t>カイハツ</t>
    </rPh>
    <phoneticPr fontId="4"/>
  </si>
  <si>
    <t>詳細設計書(MD)</t>
    <rPh sb="0" eb="4">
      <t>ショウサイセッケイ</t>
    </rPh>
    <rPh sb="4" eb="5">
      <t>ショ</t>
    </rPh>
    <phoneticPr fontId="4"/>
  </si>
  <si>
    <t>TCS作成</t>
    <rPh sb="3" eb="5">
      <t>サクセイ</t>
    </rPh>
    <phoneticPr fontId="4"/>
  </si>
  <si>
    <t>チェックポイント</t>
    <phoneticPr fontId="4"/>
  </si>
  <si>
    <t>備考</t>
    <rPh sb="0" eb="2">
      <t>ビコウ</t>
    </rPh>
    <phoneticPr fontId="4"/>
  </si>
  <si>
    <t>作成者</t>
    <rPh sb="0" eb="2">
      <t>サクセイ</t>
    </rPh>
    <rPh sb="2" eb="3">
      <t>シャ</t>
    </rPh>
    <phoneticPr fontId="4"/>
  </si>
  <si>
    <t>作成未/完</t>
    <rPh sb="0" eb="2">
      <t>サクセイ</t>
    </rPh>
    <rPh sb="2" eb="3">
      <t>ミ</t>
    </rPh>
    <rPh sb="4" eb="5">
      <t>カン</t>
    </rPh>
    <phoneticPr fontId="4"/>
  </si>
  <si>
    <t>作成完了日</t>
    <rPh sb="0" eb="2">
      <t>サクセイ</t>
    </rPh>
    <rPh sb="2" eb="4">
      <t>カンリョウ</t>
    </rPh>
    <rPh sb="4" eb="5">
      <t>ビ</t>
    </rPh>
    <phoneticPr fontId="4"/>
  </si>
  <si>
    <t>チェック担当</t>
    <rPh sb="4" eb="6">
      <t>タントウ</t>
    </rPh>
    <phoneticPr fontId="4"/>
  </si>
  <si>
    <t>チェック未/完</t>
    <rPh sb="4" eb="5">
      <t>ミ</t>
    </rPh>
    <rPh sb="6" eb="7">
      <t>カン</t>
    </rPh>
    <phoneticPr fontId="4"/>
  </si>
  <si>
    <t>チェック完了日</t>
    <rPh sb="4" eb="6">
      <t>カンリョウ</t>
    </rPh>
    <rPh sb="6" eb="7">
      <t>ビ</t>
    </rPh>
    <phoneticPr fontId="4"/>
  </si>
  <si>
    <t>処理内容</t>
    <rPh sb="0" eb="2">
      <t>ショリ</t>
    </rPh>
    <rPh sb="2" eb="4">
      <t>ナイヨウ</t>
    </rPh>
    <phoneticPr fontId="4"/>
  </si>
  <si>
    <t>TBL</t>
    <phoneticPr fontId="4"/>
  </si>
  <si>
    <t>LDAS0000</t>
    <phoneticPr fontId="4"/>
  </si>
  <si>
    <t>例</t>
    <rPh sb="0" eb="1">
      <t>レイ</t>
    </rPh>
    <phoneticPr fontId="4"/>
  </si>
  <si>
    <t>4_Low</t>
  </si>
  <si>
    <t>（担当者）</t>
    <rPh sb="1" eb="4">
      <t>タントウシャ</t>
    </rPh>
    <phoneticPr fontId="4"/>
  </si>
  <si>
    <t>完</t>
  </si>
  <si>
    <t>鈴木祐</t>
  </si>
  <si>
    <t>NEXTではOOの処理が使われていないが、PYMACではOOの処理がある</t>
    <rPh sb="9" eb="11">
      <t>ショリ</t>
    </rPh>
    <rPh sb="12" eb="13">
      <t>ツカ</t>
    </rPh>
    <rPh sb="31" eb="33">
      <t>ショリ</t>
    </rPh>
    <phoneticPr fontId="4"/>
  </si>
  <si>
    <t>ld_trn_picking_dtl：PYMAC　有
　　　　　　　　　　　　  ：NEXT　無</t>
    <rPh sb="25" eb="26">
      <t>アリ</t>
    </rPh>
    <rPh sb="47" eb="48">
      <t>ナ</t>
    </rPh>
    <phoneticPr fontId="4"/>
  </si>
  <si>
    <t>Valid／品目妥当性チェック</t>
    <phoneticPr fontId="4"/>
  </si>
  <si>
    <t>4_Low</t>
    <phoneticPr fontId="4"/>
  </si>
  <si>
    <t>鈴木祐</t>
    <phoneticPr fontId="4"/>
  </si>
  <si>
    <t>鈴木祐</t>
    <phoneticPr fontId="4"/>
  </si>
  <si>
    <t>湯浅</t>
  </si>
  <si>
    <t>3_Middle</t>
  </si>
  <si>
    <t>LDAS9005</t>
  </si>
  <si>
    <t>未出荷問合せ(担当課／担当者指定)</t>
  </si>
  <si>
    <t>LDAS9006</t>
  </si>
  <si>
    <t>未出荷問合せ(調達用)</t>
  </si>
  <si>
    <t>LDAS9007</t>
  </si>
  <si>
    <t>未完成問合せ(複数SU指定)</t>
  </si>
  <si>
    <t>LDAS9008</t>
  </si>
  <si>
    <t>未完成問合せ(担当課／担当者指定)</t>
  </si>
  <si>
    <t>LDAS9009</t>
  </si>
  <si>
    <t>LDYS0000</t>
  </si>
  <si>
    <t>稼動状況確認</t>
  </si>
  <si>
    <t>LDYS0001</t>
  </si>
  <si>
    <t>日付編集(6桁→8桁)</t>
  </si>
  <si>
    <t>LDYS0002</t>
  </si>
  <si>
    <t>員数計算</t>
  </si>
  <si>
    <t>LDYS0003</t>
  </si>
  <si>
    <t>オーダー番号採番</t>
  </si>
  <si>
    <t>LDYS0004</t>
  </si>
  <si>
    <t>在庫ファイル追加</t>
  </si>
  <si>
    <t>LDYS0005</t>
  </si>
  <si>
    <t>稼働日チェック</t>
  </si>
  <si>
    <t>LDYS0006</t>
  </si>
  <si>
    <t>オーダ番号(5桁→3桁)</t>
  </si>
  <si>
    <t>LDYS0007</t>
  </si>
  <si>
    <t>現在工場処理日取得</t>
  </si>
  <si>
    <t>LDYS0008</t>
  </si>
  <si>
    <t>TP処理番号採番</t>
  </si>
  <si>
    <t>LDYS0009</t>
  </si>
  <si>
    <t>ユーザー名称取得</t>
  </si>
  <si>
    <t>LDYS0010</t>
  </si>
  <si>
    <t>稼働日日数差計算</t>
  </si>
  <si>
    <t>LDYS0011</t>
  </si>
  <si>
    <t>工場処理日設定</t>
  </si>
  <si>
    <t>LDYS0012</t>
  </si>
  <si>
    <t>前工程在庫数計算</t>
  </si>
  <si>
    <t>LDYS0013</t>
  </si>
  <si>
    <t>PPオーダー番号更新</t>
  </si>
  <si>
    <t>画面・バッチ厦門依頼</t>
    <rPh sb="0" eb="2">
      <t>ガメン</t>
    </rPh>
    <rPh sb="6" eb="8">
      <t>アモイ</t>
    </rPh>
    <rPh sb="8" eb="10">
      <t>イライ</t>
    </rPh>
    <phoneticPr fontId="4"/>
  </si>
  <si>
    <t>画面</t>
    <rPh sb="0" eb="2">
      <t>ガメン</t>
    </rPh>
    <phoneticPr fontId="3"/>
  </si>
  <si>
    <t>バッチ</t>
    <phoneticPr fontId="3"/>
  </si>
  <si>
    <t>湯浅</t>
    <rPh sb="0" eb="2">
      <t>ユアサ</t>
    </rPh>
    <phoneticPr fontId="4"/>
  </si>
  <si>
    <t>湯浅</t>
    <rPh sb="0" eb="2">
      <t>ユアサ</t>
    </rPh>
    <phoneticPr fontId="3"/>
  </si>
  <si>
    <t>LDB11</t>
    <phoneticPr fontId="3"/>
  </si>
  <si>
    <t>LDB12</t>
    <phoneticPr fontId="3"/>
  </si>
  <si>
    <t>LDAJ0023</t>
    <phoneticPr fontId="3"/>
  </si>
  <si>
    <t>LDAJ0024</t>
    <phoneticPr fontId="3"/>
  </si>
  <si>
    <t>LDAJ0027</t>
    <phoneticPr fontId="3"/>
  </si>
  <si>
    <t>LDAJ0026</t>
    <phoneticPr fontId="3"/>
  </si>
  <si>
    <t>LDAJ0025</t>
    <phoneticPr fontId="3"/>
  </si>
  <si>
    <t>納入遵守率集計</t>
    <rPh sb="0" eb="5">
      <t>ノウニュウジュンシュリツ</t>
    </rPh>
    <rPh sb="5" eb="7">
      <t>シュウケイ</t>
    </rPh>
    <phoneticPr fontId="4"/>
  </si>
  <si>
    <t>納入遅延オーダー検索</t>
    <rPh sb="0" eb="4">
      <t>ノウニュウチエン</t>
    </rPh>
    <rPh sb="8" eb="10">
      <t>ケンサク</t>
    </rPh>
    <phoneticPr fontId="3"/>
  </si>
  <si>
    <t>納入予実績ファイル作成</t>
    <rPh sb="0" eb="5">
      <t>ノウニュウヨジッセキ</t>
    </rPh>
    <rPh sb="9" eb="11">
      <t>サクセイ</t>
    </rPh>
    <phoneticPr fontId="3"/>
  </si>
  <si>
    <t>納入予実績ファイルマスデリート</t>
    <rPh sb="0" eb="5">
      <t>ノウニュウヨジッセキ</t>
    </rPh>
    <phoneticPr fontId="3"/>
  </si>
  <si>
    <t>納入遵守率分析(データ出力)</t>
    <rPh sb="0" eb="2">
      <t>ノウニュウ</t>
    </rPh>
    <rPh sb="2" eb="4">
      <t>ジュンシュ</t>
    </rPh>
    <rPh sb="4" eb="5">
      <t>リツ</t>
    </rPh>
    <rPh sb="5" eb="7">
      <t>ブンセキ</t>
    </rPh>
    <rPh sb="11" eb="13">
      <t>シュツリョク</t>
    </rPh>
    <phoneticPr fontId="3"/>
  </si>
  <si>
    <t>納入遅延明細データ作成</t>
    <rPh sb="0" eb="6">
      <t>ノウニュウチエンメイサイ</t>
    </rPh>
    <rPh sb="9" eb="11">
      <t>サクセイ</t>
    </rPh>
    <phoneticPr fontId="3"/>
  </si>
  <si>
    <t>納入分析データ作成</t>
    <rPh sb="0" eb="4">
      <t>ノウニュウブンセキ</t>
    </rPh>
    <rPh sb="7" eb="9">
      <t>サクセイ</t>
    </rPh>
    <phoneticPr fontId="3"/>
  </si>
  <si>
    <t>LDAJ0030</t>
    <phoneticPr fontId="3"/>
  </si>
  <si>
    <t>納入遵守、納入遅延データ作成(G-Pro)</t>
    <rPh sb="0" eb="4">
      <t>ノウニュウジュンシュ</t>
    </rPh>
    <rPh sb="5" eb="7">
      <t>ノウニュウ</t>
    </rPh>
    <rPh sb="7" eb="9">
      <t>チエン</t>
    </rPh>
    <rPh sb="12" eb="14">
      <t>サクセイ</t>
    </rPh>
    <phoneticPr fontId="3"/>
  </si>
  <si>
    <t>3_Middle</t>
    <phoneticPr fontId="4"/>
  </si>
  <si>
    <t>2_High</t>
    <phoneticPr fontId="4"/>
  </si>
  <si>
    <t>納入遵守変化点</t>
    <rPh sb="0" eb="4">
      <t>ノウニュウジュンシュ</t>
    </rPh>
    <rPh sb="4" eb="7">
      <t>ヘンカテン</t>
    </rPh>
    <phoneticPr fontId="3"/>
  </si>
  <si>
    <t>①海外版(画面)</t>
    <rPh sb="1" eb="4">
      <t>カイガイバン</t>
    </rPh>
    <rPh sb="5" eb="7">
      <t>ガメン</t>
    </rPh>
    <phoneticPr fontId="3"/>
  </si>
  <si>
    <t>③データ出力(国内のみ)</t>
    <rPh sb="4" eb="6">
      <t>シュツリョク</t>
    </rPh>
    <rPh sb="7" eb="9">
      <t>コクナイ</t>
    </rPh>
    <phoneticPr fontId="3"/>
  </si>
  <si>
    <t>②国内版(G-ProにデータI/F)</t>
    <rPh sb="1" eb="4">
      <t>コクナイバン</t>
    </rPh>
    <phoneticPr fontId="3"/>
  </si>
  <si>
    <t>①、②は同じテーブルを参照</t>
    <rPh sb="4" eb="5">
      <t>オナ</t>
    </rPh>
    <rPh sb="11" eb="13">
      <t>サンショウ</t>
    </rPh>
    <phoneticPr fontId="3"/>
  </si>
  <si>
    <t>③のみ別テーブル管理</t>
    <rPh sb="3" eb="4">
      <t>ベツ</t>
    </rPh>
    <rPh sb="8" eb="10">
      <t>カンリ</t>
    </rPh>
    <phoneticPr fontId="3"/>
  </si>
  <si>
    <t>※源泉のテーブルは納入予実績に統一</t>
    <rPh sb="1" eb="3">
      <t>ゲンセン</t>
    </rPh>
    <rPh sb="9" eb="14">
      <t>ノウニュウヨジッセキ</t>
    </rPh>
    <rPh sb="15" eb="17">
      <t>トウイツ</t>
    </rPh>
    <phoneticPr fontId="3"/>
  </si>
  <si>
    <t>PYMAC-Ⅲ処理概要</t>
    <rPh sb="7" eb="11">
      <t>ショリガイヨウ</t>
    </rPh>
    <phoneticPr fontId="3"/>
  </si>
  <si>
    <t>GIMAC処理概要</t>
    <rPh sb="5" eb="9">
      <t>ショリガイヨウ</t>
    </rPh>
    <phoneticPr fontId="3"/>
  </si>
  <si>
    <t>①～③をまとめた図</t>
    <rPh sb="8" eb="9">
      <t>ズ</t>
    </rPh>
    <phoneticPr fontId="3"/>
  </si>
  <si>
    <t>・PYMAC-Ⅲ：納入遵守関連機能は3機能</t>
    <rPh sb="19" eb="21">
      <t>キノウ</t>
    </rPh>
    <phoneticPr fontId="3"/>
  </si>
  <si>
    <t>・GIMAC：以下のように変化</t>
    <rPh sb="7" eb="9">
      <t>イカ</t>
    </rPh>
    <rPh sb="13" eb="15">
      <t>ヘンカ</t>
    </rPh>
    <phoneticPr fontId="3"/>
  </si>
  <si>
    <t>LDAJ0023：納入予実績ファイル作成</t>
    <rPh sb="9" eb="14">
      <t>ノウニュウヨジッセキ</t>
    </rPh>
    <rPh sb="18" eb="20">
      <t>サクセイ</t>
    </rPh>
    <phoneticPr fontId="3"/>
  </si>
  <si>
    <t>引数によって処理を制御</t>
    <rPh sb="0" eb="2">
      <t>ヒキスウ</t>
    </rPh>
    <rPh sb="6" eb="8">
      <t>ショリ</t>
    </rPh>
    <rPh sb="9" eb="11">
      <t>セイギョ</t>
    </rPh>
    <phoneticPr fontId="3"/>
  </si>
  <si>
    <t>(イメージは処理区分が1の場合現行のld04lb250の処理、処理区分が2の場合現行のld04lb260の処理)</t>
    <rPh sb="6" eb="8">
      <t>ショリ</t>
    </rPh>
    <rPh sb="8" eb="10">
      <t>クブン</t>
    </rPh>
    <rPh sb="13" eb="15">
      <t>バアイ</t>
    </rPh>
    <rPh sb="15" eb="17">
      <t>ゲンコウ</t>
    </rPh>
    <rPh sb="28" eb="30">
      <t>ショリ</t>
    </rPh>
    <rPh sb="31" eb="33">
      <t>ショリ</t>
    </rPh>
    <rPh sb="33" eb="35">
      <t>クブン</t>
    </rPh>
    <rPh sb="38" eb="40">
      <t>バアイ</t>
    </rPh>
    <rPh sb="40" eb="42">
      <t>ゲンコウ</t>
    </rPh>
    <rPh sb="53" eb="55">
      <t>ショリ</t>
    </rPh>
    <phoneticPr fontId="3"/>
  </si>
  <si>
    <t>処理区分が1(日次処理)の場合もオーダー明細、独立所要量明細を検索</t>
    <rPh sb="0" eb="4">
      <t>ショリクブン</t>
    </rPh>
    <rPh sb="7" eb="9">
      <t>ニチジ</t>
    </rPh>
    <rPh sb="9" eb="11">
      <t>ショリ</t>
    </rPh>
    <rPh sb="13" eb="15">
      <t>バアイ</t>
    </rPh>
    <rPh sb="20" eb="22">
      <t>メイサイ</t>
    </rPh>
    <rPh sb="23" eb="30">
      <t>ドクリツショヨウリョウメイサイ</t>
    </rPh>
    <rPh sb="31" eb="33">
      <t>ケンサク</t>
    </rPh>
    <phoneticPr fontId="3"/>
  </si>
  <si>
    <t>各プログラムにおける変化点概要</t>
    <rPh sb="0" eb="1">
      <t>カク</t>
    </rPh>
    <rPh sb="10" eb="13">
      <t>ヘンカテン</t>
    </rPh>
    <rPh sb="13" eb="15">
      <t>ガイヨウ</t>
    </rPh>
    <phoneticPr fontId="3"/>
  </si>
  <si>
    <t>LDAJ0024：納入予実績ファイルマスデリート</t>
    <rPh sb="9" eb="14">
      <t>ノウニュウヨジッセキ</t>
    </rPh>
    <phoneticPr fontId="3"/>
  </si>
  <si>
    <t>現行：ld04lb270(納入予実績ファイル作成(月次))</t>
    <rPh sb="0" eb="2">
      <t>ゲンコウ</t>
    </rPh>
    <rPh sb="13" eb="18">
      <t>ノウニュウヨジッセキ</t>
    </rPh>
    <rPh sb="22" eb="24">
      <t>サクセイ</t>
    </rPh>
    <rPh sb="25" eb="27">
      <t>ゲツジ</t>
    </rPh>
    <phoneticPr fontId="3"/>
  </si>
  <si>
    <t>納入予実績(月次)にデータ移動する処理を廃止し、納入予実績のオーダー状況の更新とマスデリートの処理のみ実施</t>
    <rPh sb="0" eb="5">
      <t>ノウニュウヨジッセキ</t>
    </rPh>
    <rPh sb="6" eb="8">
      <t>ゲツジ</t>
    </rPh>
    <rPh sb="13" eb="15">
      <t>イドウ</t>
    </rPh>
    <rPh sb="17" eb="19">
      <t>ショリ</t>
    </rPh>
    <rPh sb="20" eb="22">
      <t>ハイシ</t>
    </rPh>
    <rPh sb="24" eb="29">
      <t>ノウニュウヨジッセキ</t>
    </rPh>
    <rPh sb="34" eb="36">
      <t>ジョウキョウ</t>
    </rPh>
    <rPh sb="37" eb="39">
      <t>コウシン</t>
    </rPh>
    <rPh sb="47" eb="49">
      <t>ショリ</t>
    </rPh>
    <rPh sb="51" eb="53">
      <t>ジッシ</t>
    </rPh>
    <phoneticPr fontId="3"/>
  </si>
  <si>
    <t>マスデリート対象は1ヶ月経過データに変更(現行：4ヶ月経過データ)</t>
    <rPh sb="6" eb="8">
      <t>タイショウ</t>
    </rPh>
    <rPh sb="11" eb="12">
      <t>ゲツ</t>
    </rPh>
    <rPh sb="12" eb="14">
      <t>ケイカ</t>
    </rPh>
    <rPh sb="18" eb="20">
      <t>ヘンコウ</t>
    </rPh>
    <rPh sb="21" eb="23">
      <t>ゲンコウ</t>
    </rPh>
    <rPh sb="26" eb="27">
      <t>ゲツ</t>
    </rPh>
    <rPh sb="27" eb="29">
      <t>ケイカ</t>
    </rPh>
    <phoneticPr fontId="3"/>
  </si>
  <si>
    <t>LDAJ0025：納入分析データ作成</t>
    <rPh sb="9" eb="13">
      <t>ノウニュウブンセキ</t>
    </rPh>
    <rPh sb="16" eb="18">
      <t>サクセイ</t>
    </rPh>
    <phoneticPr fontId="3"/>
  </si>
  <si>
    <t>現行：ld04ld120(納入遵守データ作成)</t>
    <rPh sb="0" eb="2">
      <t>ゲンコウ</t>
    </rPh>
    <rPh sb="13" eb="17">
      <t>ノウニュウジュンシュ</t>
    </rPh>
    <rPh sb="20" eb="22">
      <t>サクセイ</t>
    </rPh>
    <phoneticPr fontId="3"/>
  </si>
  <si>
    <t>LDAJ0026：納入遅延明細データ作成</t>
    <rPh sb="9" eb="15">
      <t>ノウニュウチエンメイサイ</t>
    </rPh>
    <rPh sb="18" eb="20">
      <t>サクセイ</t>
    </rPh>
    <phoneticPr fontId="3"/>
  </si>
  <si>
    <t>現行：ld04ld110(納入遅延明細データ作成)</t>
    <rPh sb="0" eb="2">
      <t>ゲンコウ</t>
    </rPh>
    <rPh sb="13" eb="19">
      <t>ノウニュウチエンメイサイ</t>
    </rPh>
    <rPh sb="22" eb="24">
      <t>サクセイ</t>
    </rPh>
    <phoneticPr fontId="3"/>
  </si>
  <si>
    <t>独立所要量、臨時オーダーも抽出対象とする(現行：独立所要量、臨時オーダーは対象外)</t>
    <rPh sb="0" eb="5">
      <t>ドクリツショヨウリョウ</t>
    </rPh>
    <rPh sb="6" eb="8">
      <t>リンジ</t>
    </rPh>
    <rPh sb="13" eb="15">
      <t>チュウシュツ</t>
    </rPh>
    <rPh sb="15" eb="17">
      <t>タイショウ</t>
    </rPh>
    <rPh sb="21" eb="23">
      <t>ゲンコウ</t>
    </rPh>
    <rPh sb="24" eb="29">
      <t>ドクリツショヨウリョウ</t>
    </rPh>
    <rPh sb="30" eb="32">
      <t>リンジ</t>
    </rPh>
    <rPh sb="37" eb="40">
      <t>タイショウガイ</t>
    </rPh>
    <phoneticPr fontId="3"/>
  </si>
  <si>
    <t>LDAJ0027：納入遵守率分析(データ出力)</t>
    <rPh sb="9" eb="14">
      <t>ノウニュウジュンシュリツ</t>
    </rPh>
    <rPh sb="14" eb="16">
      <t>ブンセキ</t>
    </rPh>
    <rPh sb="20" eb="22">
      <t>シュツリョク</t>
    </rPh>
    <phoneticPr fontId="3"/>
  </si>
  <si>
    <t>現行：ld04lb250(納入予実績ファイル作成(日次))、ld04lb260(納入予実績ファイル作成(MRP日次))の2PGM　⇒GIMACでは統合</t>
    <rPh sb="0" eb="2">
      <t>ゲンコウ</t>
    </rPh>
    <rPh sb="13" eb="18">
      <t>ノウニュウヨジッセキ</t>
    </rPh>
    <rPh sb="22" eb="24">
      <t>サクセイ</t>
    </rPh>
    <rPh sb="25" eb="27">
      <t>ニチジ</t>
    </rPh>
    <rPh sb="40" eb="45">
      <t>ノウニュウヨジッセキ</t>
    </rPh>
    <rPh sb="49" eb="51">
      <t>サクセイ</t>
    </rPh>
    <rPh sb="55" eb="57">
      <t>ニチジ</t>
    </rPh>
    <rPh sb="73" eb="75">
      <t>トウゴウ</t>
    </rPh>
    <phoneticPr fontId="3"/>
  </si>
  <si>
    <t>現行：ld04ld200(納入遵守率分析)、ld04ld290(納入遵守率分析_週次)の2PGM　⇒GIMACでは統合</t>
    <rPh sb="0" eb="2">
      <t>ゲンコウ</t>
    </rPh>
    <rPh sb="13" eb="18">
      <t>ノウニュウジュンシュリツ</t>
    </rPh>
    <rPh sb="18" eb="20">
      <t>ブンセキ</t>
    </rPh>
    <rPh sb="32" eb="37">
      <t>ノウニュウジュンシュリツ</t>
    </rPh>
    <rPh sb="37" eb="39">
      <t>ブンセキ</t>
    </rPh>
    <rPh sb="40" eb="42">
      <t>シュウジ</t>
    </rPh>
    <rPh sb="57" eb="59">
      <t>トウゴウ</t>
    </rPh>
    <phoneticPr fontId="3"/>
  </si>
  <si>
    <t>PGMを統合した以外は大きな変化点無し。</t>
    <rPh sb="4" eb="6">
      <t>トウゴウ</t>
    </rPh>
    <rPh sb="8" eb="10">
      <t>イガイ</t>
    </rPh>
    <rPh sb="11" eb="12">
      <t>オオ</t>
    </rPh>
    <rPh sb="14" eb="17">
      <t>ヘンカテン</t>
    </rPh>
    <rPh sb="17" eb="18">
      <t>ナ</t>
    </rPh>
    <phoneticPr fontId="3"/>
  </si>
  <si>
    <t>LDAJ0030：納入遵守、納入遅延データ作成(G-Pro)</t>
    <rPh sb="9" eb="13">
      <t>ノウニュウジュンシュ</t>
    </rPh>
    <rPh sb="14" eb="18">
      <t>ノウニュウチエン</t>
    </rPh>
    <rPh sb="21" eb="23">
      <t>サクセイ</t>
    </rPh>
    <phoneticPr fontId="3"/>
  </si>
  <si>
    <t>新規</t>
    <rPh sb="0" eb="2">
      <t>シンキ</t>
    </rPh>
    <phoneticPr fontId="3"/>
  </si>
  <si>
    <t>納入分析ファイル、納入遅延明細から過去3ヶ月分のデータを抽出する</t>
    <rPh sb="0" eb="4">
      <t>ノウニュウブンセキ</t>
    </rPh>
    <rPh sb="9" eb="15">
      <t>ノウニュウチエンメイサイ</t>
    </rPh>
    <rPh sb="17" eb="19">
      <t>カコ</t>
    </rPh>
    <rPh sb="21" eb="23">
      <t>ゲツブン</t>
    </rPh>
    <rPh sb="28" eb="30">
      <t>チュウシュツ</t>
    </rPh>
    <phoneticPr fontId="3"/>
  </si>
  <si>
    <t>ただし、独立所要量、臨時オーダーは抽出対象外</t>
    <rPh sb="4" eb="9">
      <t>ドクリツショヨウリョウ</t>
    </rPh>
    <rPh sb="10" eb="12">
      <t>リンジ</t>
    </rPh>
    <rPh sb="17" eb="19">
      <t>チュウシュツ</t>
    </rPh>
    <rPh sb="19" eb="22">
      <t>タイショウガイ</t>
    </rPh>
    <phoneticPr fontId="3"/>
  </si>
  <si>
    <t>依頼内容</t>
    <rPh sb="0" eb="4">
      <t>イライナイヨウ</t>
    </rPh>
    <phoneticPr fontId="3"/>
  </si>
  <si>
    <t>・</t>
    <phoneticPr fontId="3"/>
  </si>
  <si>
    <t>依頼シートは受入作業時もチェックシートとして使おうと考えているため、</t>
    <rPh sb="0" eb="2">
      <t>イライ</t>
    </rPh>
    <rPh sb="6" eb="8">
      <t>ウケイレ</t>
    </rPh>
    <rPh sb="8" eb="10">
      <t>サギョウ</t>
    </rPh>
    <rPh sb="10" eb="11">
      <t>ジ</t>
    </rPh>
    <rPh sb="22" eb="23">
      <t>ツカ</t>
    </rPh>
    <rPh sb="26" eb="27">
      <t>カンガ</t>
    </rPh>
    <phoneticPr fontId="3"/>
  </si>
  <si>
    <t>※厦門メンバーの方が詳しいかもしれませんが、サンプルも置いておきます。</t>
    <rPh sb="1" eb="3">
      <t>アモイ</t>
    </rPh>
    <rPh sb="8" eb="9">
      <t>ホウ</t>
    </rPh>
    <rPh sb="10" eb="11">
      <t>クワ</t>
    </rPh>
    <rPh sb="27" eb="28">
      <t>オ</t>
    </rPh>
    <phoneticPr fontId="3"/>
  </si>
  <si>
    <t>フォルダ：</t>
    <phoneticPr fontId="3"/>
  </si>
  <si>
    <t>ファイル：</t>
    <phoneticPr fontId="3"/>
  </si>
  <si>
    <t>【sample】LDAS0302_詳細設計_Valid／例外伝票起票日チェック.md</t>
    <phoneticPr fontId="3"/>
  </si>
  <si>
    <r>
      <t>10/13（月）～10/24（金）の厦門出張で日本メンバーが詳細設計・TCSの受入作業を行う関係で、厦門メンバー側で</t>
    </r>
    <r>
      <rPr>
        <sz val="11"/>
        <color rgb="FFFF0000"/>
        <rFont val="等线"/>
        <family val="3"/>
        <charset val="128"/>
        <scheme val="minor"/>
      </rPr>
      <t>詳細設計書(MD)の作成</t>
    </r>
    <r>
      <rPr>
        <sz val="11"/>
        <color theme="1"/>
        <rFont val="等线"/>
        <family val="2"/>
        <scheme val="minor"/>
      </rPr>
      <t>お願いしたいです。</t>
    </r>
    <rPh sb="6" eb="7">
      <t>ゲツ</t>
    </rPh>
    <rPh sb="15" eb="16">
      <t>キン</t>
    </rPh>
    <rPh sb="18" eb="20">
      <t>アモイ</t>
    </rPh>
    <rPh sb="20" eb="22">
      <t>シュッチョウ</t>
    </rPh>
    <rPh sb="23" eb="25">
      <t>ニホン</t>
    </rPh>
    <rPh sb="30" eb="34">
      <t>ショウサイセッケイ</t>
    </rPh>
    <rPh sb="39" eb="41">
      <t>ウケイレ</t>
    </rPh>
    <rPh sb="41" eb="43">
      <t>サギョウ</t>
    </rPh>
    <rPh sb="44" eb="45">
      <t>オコナ</t>
    </rPh>
    <rPh sb="46" eb="48">
      <t>カンケイ</t>
    </rPh>
    <rPh sb="50" eb="52">
      <t>アモイ</t>
    </rPh>
    <rPh sb="56" eb="57">
      <t>ガワ</t>
    </rPh>
    <rPh sb="58" eb="62">
      <t>ショウサイセッケイ</t>
    </rPh>
    <rPh sb="62" eb="63">
      <t>ショ</t>
    </rPh>
    <rPh sb="68" eb="70">
      <t>サクセイ</t>
    </rPh>
    <rPh sb="71" eb="72">
      <t>ネガ</t>
    </rPh>
    <phoneticPr fontId="3"/>
  </si>
  <si>
    <r>
      <t>「厦門依頼（SP）」「厦門依頼（画面・バッチ）」シートに各一覧があるため、</t>
    </r>
    <r>
      <rPr>
        <sz val="11"/>
        <color rgb="FFFF0000"/>
        <rFont val="等线"/>
        <family val="3"/>
        <charset val="128"/>
        <scheme val="minor"/>
      </rPr>
      <t>作成する際は「作成者」「作成未／完」「作成完了日」欄の記載を</t>
    </r>
    <r>
      <rPr>
        <sz val="11"/>
        <color theme="1"/>
        <rFont val="等线"/>
        <family val="2"/>
        <scheme val="minor"/>
      </rPr>
      <t>お願いしたいです。</t>
    </r>
    <rPh sb="28" eb="29">
      <t>カク</t>
    </rPh>
    <rPh sb="29" eb="31">
      <t>イチラン</t>
    </rPh>
    <rPh sb="37" eb="39">
      <t>サクセイ</t>
    </rPh>
    <rPh sb="41" eb="42">
      <t>サイ</t>
    </rPh>
    <rPh sb="44" eb="46">
      <t>サクセイ</t>
    </rPh>
    <rPh sb="46" eb="47">
      <t>シャ</t>
    </rPh>
    <rPh sb="49" eb="51">
      <t>サクセイ</t>
    </rPh>
    <rPh sb="51" eb="52">
      <t>ミ</t>
    </rPh>
    <rPh sb="53" eb="54">
      <t>カン</t>
    </rPh>
    <rPh sb="56" eb="58">
      <t>サクセイ</t>
    </rPh>
    <rPh sb="58" eb="61">
      <t>カンリョウビ</t>
    </rPh>
    <rPh sb="62" eb="63">
      <t>ラン</t>
    </rPh>
    <rPh sb="64" eb="66">
      <t>キサイ</t>
    </rPh>
    <rPh sb="68" eb="69">
      <t>ネガ</t>
    </rPh>
    <phoneticPr fontId="3"/>
  </si>
  <si>
    <t>【成果物格納先】</t>
    <rPh sb="1" eb="4">
      <t>セイカブツ</t>
    </rPh>
    <rPh sb="4" eb="6">
      <t>カクノウ</t>
    </rPh>
    <rPh sb="6" eb="7">
      <t>サキ</t>
    </rPh>
    <phoneticPr fontId="3"/>
  </si>
  <si>
    <t>SP：</t>
    <phoneticPr fontId="3"/>
  </si>
  <si>
    <t>画面：</t>
    <rPh sb="0" eb="2">
      <t>ガメン</t>
    </rPh>
    <phoneticPr fontId="3"/>
  </si>
  <si>
    <t>バッチ：</t>
    <phoneticPr fontId="3"/>
  </si>
  <si>
    <t>LDY 共通部品</t>
  </si>
  <si>
    <t>IC</t>
  </si>
  <si>
    <t>※対象頭から始まるフォルダへいれてください</t>
    <rPh sb="1" eb="3">
      <t>タイショウ</t>
    </rPh>
    <rPh sb="3" eb="4">
      <t>アタマ</t>
    </rPh>
    <rPh sb="6" eb="7">
      <t>ハジ</t>
    </rPh>
    <phoneticPr fontId="3"/>
  </si>
  <si>
    <t>納期：10/10(金）～17:30迄</t>
    <rPh sb="0" eb="2">
      <t>ノウキ</t>
    </rPh>
    <rPh sb="9" eb="10">
      <t>キン</t>
    </rPh>
    <rPh sb="17" eb="18">
      <t>マデ</t>
    </rPh>
    <phoneticPr fontId="3"/>
  </si>
  <si>
    <t>厦門_詳細設計書作成依頼</t>
  </si>
  <si>
    <t>【GIMAC】
プログラムID</t>
    <phoneticPr fontId="4"/>
  </si>
  <si>
    <t>【NEXT】
プログラムID</t>
    <phoneticPr fontId="3"/>
  </si>
  <si>
    <t>【PYMAC】
プログラムID</t>
    <phoneticPr fontId="3"/>
  </si>
  <si>
    <t>LDAS0000</t>
    <phoneticPr fontId="3"/>
  </si>
  <si>
    <t>LCBS3020</t>
  </si>
  <si>
    <t>ld0sl0000</t>
  </si>
  <si>
    <t>ld0sl0000</t>
    <phoneticPr fontId="3"/>
  </si>
  <si>
    <t>LCBS3111</t>
  </si>
  <si>
    <t>LCBS3113</t>
  </si>
  <si>
    <t>LCBS3211</t>
  </si>
  <si>
    <t>LCBS3212</t>
  </si>
  <si>
    <t>LCBS3213</t>
  </si>
  <si>
    <t>ld0sl3213</t>
  </si>
  <si>
    <t/>
  </si>
  <si>
    <t>LDSS0014</t>
  </si>
  <si>
    <t>ld0slj081</t>
  </si>
  <si>
    <t>ld0slj082</t>
  </si>
  <si>
    <t>LDSS0015</t>
  </si>
  <si>
    <t>ld0slj090</t>
  </si>
  <si>
    <t>LDSS0016</t>
  </si>
  <si>
    <t>ld0slj091</t>
  </si>
  <si>
    <t>LDSS0024</t>
  </si>
  <si>
    <t>ld0slj200</t>
  </si>
  <si>
    <t>LDPS0051</t>
  </si>
  <si>
    <t>ld0sl0010</t>
  </si>
  <si>
    <t>ld0sl0020</t>
  </si>
  <si>
    <t>LCBS4004</t>
  </si>
  <si>
    <t>ld0sl0030</t>
  </si>
  <si>
    <t>ld0sl0090</t>
  </si>
  <si>
    <t>LCGS1004</t>
  </si>
  <si>
    <t>ld0sl0120</t>
  </si>
  <si>
    <t>ld0sl0160</t>
  </si>
  <si>
    <t>ld0sl0170</t>
  </si>
  <si>
    <t>鈴木記載
【新規】PPモジュールからの要望があり、追加
　　　　・引数の品目キーよりオーダー番号を更新する
　　　　・最初に品目マスタに存在するか、存在チェックが必要</t>
    <rPh sb="0" eb="2">
      <t>スズキ</t>
    </rPh>
    <rPh sb="2" eb="4">
      <t>キサイ</t>
    </rPh>
    <rPh sb="6" eb="8">
      <t>シンキ</t>
    </rPh>
    <rPh sb="19" eb="21">
      <t>ヨウボウ</t>
    </rPh>
    <rPh sb="25" eb="27">
      <t>ツイカ</t>
    </rPh>
    <rPh sb="33" eb="35">
      <t>ヒキスウ</t>
    </rPh>
    <rPh sb="36" eb="38">
      <t>ヒンモク</t>
    </rPh>
    <rPh sb="46" eb="48">
      <t>バンゴウ</t>
    </rPh>
    <rPh sb="49" eb="51">
      <t>コウシン</t>
    </rPh>
    <rPh sb="59" eb="61">
      <t>サイショ</t>
    </rPh>
    <rPh sb="62" eb="64">
      <t>ヒンモク</t>
    </rPh>
    <rPh sb="68" eb="70">
      <t>ソンザイ</t>
    </rPh>
    <rPh sb="74" eb="76">
      <t>ソンザイ</t>
    </rPh>
    <rPh sb="81" eb="83">
      <t>ヒツヨウ</t>
    </rPh>
    <phoneticPr fontId="3"/>
  </si>
  <si>
    <t>ld0sl0210</t>
    <phoneticPr fontId="3"/>
  </si>
  <si>
    <t>【基本設計書リンク】</t>
    <rPh sb="1" eb="5">
      <t>キホンセッケイ</t>
    </rPh>
    <rPh sb="5" eb="6">
      <t>ショ</t>
    </rPh>
    <phoneticPr fontId="3"/>
  </si>
  <si>
    <t>SP</t>
  </si>
  <si>
    <t>バッチ</t>
  </si>
  <si>
    <t>画面</t>
  </si>
  <si>
    <t>LDAS3010</t>
    <phoneticPr fontId="3"/>
  </si>
  <si>
    <t>LDAS0318</t>
    <phoneticPr fontId="3"/>
  </si>
  <si>
    <t>Valid／独立所要量登録</t>
    <phoneticPr fontId="3"/>
  </si>
  <si>
    <t>在庫情報抽出(組織コード)</t>
    <phoneticPr fontId="3"/>
  </si>
  <si>
    <t>ld0slj221</t>
    <phoneticPr fontId="3"/>
  </si>
  <si>
    <t>LDSS0012</t>
    <phoneticPr fontId="3"/>
  </si>
  <si>
    <t>ld0slj072</t>
    <phoneticPr fontId="3"/>
  </si>
  <si>
    <t>納入遵守分析データ</t>
    <phoneticPr fontId="3"/>
  </si>
  <si>
    <t>LDSS0011</t>
    <phoneticPr fontId="3"/>
  </si>
  <si>
    <t>LDAS9003</t>
    <phoneticPr fontId="3"/>
  </si>
  <si>
    <t>LCBS3711</t>
    <phoneticPr fontId="3"/>
  </si>
  <si>
    <t>LCBS3713</t>
    <phoneticPr fontId="3"/>
  </si>
  <si>
    <t>LDSS0005</t>
    <phoneticPr fontId="3"/>
  </si>
  <si>
    <t>ld0slj031</t>
    <phoneticPr fontId="3"/>
  </si>
  <si>
    <t>3_Middle</t>
    <phoneticPr fontId="3"/>
  </si>
  <si>
    <t>LDSS0026</t>
    <phoneticPr fontId="3"/>
  </si>
  <si>
    <t>ld0slj071</t>
    <phoneticPr fontId="3"/>
  </si>
  <si>
    <t>LDSS0013</t>
    <phoneticPr fontId="3"/>
  </si>
  <si>
    <t>ld0slj080</t>
    <phoneticPr fontId="3"/>
  </si>
  <si>
    <t>ld0slj070</t>
    <phoneticPr fontId="3"/>
  </si>
  <si>
    <t>ld0sl3010</t>
    <phoneticPr fontId="3"/>
  </si>
  <si>
    <t>ld0sl3020</t>
    <phoneticPr fontId="3"/>
  </si>
  <si>
    <t>ld0sl3111</t>
    <phoneticPr fontId="3"/>
  </si>
  <si>
    <t>ld0sl3113</t>
    <phoneticPr fontId="3"/>
  </si>
  <si>
    <t>ld0sl3211</t>
    <phoneticPr fontId="3"/>
  </si>
  <si>
    <t>ld0sl3212</t>
    <phoneticPr fontId="3"/>
  </si>
  <si>
    <t>ld0sl3711</t>
    <phoneticPr fontId="3"/>
  </si>
  <si>
    <t>ld0sl3713</t>
    <phoneticPr fontId="3"/>
  </si>
  <si>
    <t>ld0slj220</t>
    <phoneticPr fontId="3"/>
  </si>
  <si>
    <t>LDAS0301</t>
    <phoneticPr fontId="3"/>
  </si>
  <si>
    <t>Valid／オーダー登録日付チェック</t>
    <phoneticPr fontId="3"/>
  </si>
  <si>
    <t>LDAS0313</t>
    <phoneticPr fontId="3"/>
  </si>
  <si>
    <t>Valid／オーダー登録</t>
    <phoneticPr fontId="3"/>
  </si>
  <si>
    <t>LDAS0314</t>
    <phoneticPr fontId="3"/>
  </si>
  <si>
    <t>Valid／オーダー削除</t>
    <phoneticPr fontId="3"/>
  </si>
  <si>
    <t>LDAS0319</t>
    <phoneticPr fontId="3"/>
  </si>
  <si>
    <t>Valid／独立所要量変更(先行RD)</t>
    <phoneticPr fontId="3"/>
  </si>
  <si>
    <t>LDAS0320</t>
    <phoneticPr fontId="3"/>
  </si>
  <si>
    <t>Valid／独立所要量削除</t>
    <phoneticPr fontId="3"/>
  </si>
  <si>
    <t>LDAS0328</t>
    <phoneticPr fontId="3"/>
  </si>
  <si>
    <t>Valid／Wビンオーダー登録</t>
    <phoneticPr fontId="3"/>
  </si>
  <si>
    <t>LDAS0329</t>
    <phoneticPr fontId="3"/>
  </si>
  <si>
    <t>Valid／Ｗビンオーダー削除</t>
    <phoneticPr fontId="3"/>
  </si>
  <si>
    <t>LDAS9000</t>
    <phoneticPr fontId="3"/>
  </si>
  <si>
    <t>仕損報告情報取得</t>
    <phoneticPr fontId="3"/>
  </si>
  <si>
    <t>LDAS9001</t>
    <phoneticPr fontId="3"/>
  </si>
  <si>
    <t>未受入問合せ(複数SU指定)</t>
    <phoneticPr fontId="3"/>
  </si>
  <si>
    <t>LDAS9002</t>
    <phoneticPr fontId="3"/>
  </si>
  <si>
    <t>未受入問合せ(担当課／担当者指定)</t>
    <phoneticPr fontId="3"/>
  </si>
  <si>
    <t>未受入問合せ(調達用)</t>
    <phoneticPr fontId="3"/>
  </si>
  <si>
    <t>LDAS9004</t>
    <phoneticPr fontId="3"/>
  </si>
  <si>
    <t>未出荷問合せ(複数SU指定)</t>
    <phoneticPr fontId="3"/>
  </si>
  <si>
    <t>LDAS9010</t>
    <phoneticPr fontId="3"/>
  </si>
  <si>
    <t>マイナス在庫抽出</t>
    <phoneticPr fontId="3"/>
  </si>
  <si>
    <t>LDAS9011</t>
    <phoneticPr fontId="3"/>
  </si>
  <si>
    <t>NEXT有：
lc_system_parameter
lc_mst_calendar_sum
ld_mst_slip_date
lz_function_parameter
lc_mst_ind_user_transfer_check
la_orgflat
PYMAC3有：
com_company_desc
com_s_kgseccost
ic_fix_val
ic_ctrl</t>
    <phoneticPr fontId="3"/>
  </si>
  <si>
    <t>NEXT有：
lc_mst_calendar_sum
ld_mst_slip_date
lc_system_parameter
PYMAC3有：
ic_ctrl</t>
    <phoneticPr fontId="3"/>
  </si>
  <si>
    <t xml:space="preserve">NEXT有：ld_mst_slip_date 
PYMAC3有：ic_st_cntl_mst </t>
    <phoneticPr fontId="3"/>
  </si>
  <si>
    <t>PYMAC3有：
ic_so_order, 
ic_do_order</t>
    <phoneticPr fontId="3"/>
  </si>
  <si>
    <t xml:space="preserve">NEXT有：
ld_mst_slip_date lc_mst_calendar_sum </t>
    <phoneticPr fontId="3"/>
  </si>
  <si>
    <t>PYMAC3：auto_freeze_pri と関連 flag チェックがある
NEXT: auto_freeze_pri と関連 flag チェックが削除</t>
    <phoneticPr fontId="3"/>
  </si>
  <si>
    <t xml:space="preserve">
PYMAC3：引数.a_check_idがある
NEXT：ic_trn_orderのinspection_qtyに対するチェックの増加</t>
    <phoneticPr fontId="3"/>
  </si>
  <si>
    <t>PYMAC3：引数.a_check_id、a_site_class、a_prepairedがある</t>
    <phoneticPr fontId="3"/>
  </si>
  <si>
    <t>PYMAC3：引数.a_airs_signがある</t>
    <phoneticPr fontId="3"/>
  </si>
  <si>
    <t>PYMAC3：引数.a_check_idがある</t>
    <phoneticPr fontId="3"/>
  </si>
  <si>
    <t>LDYS0020</t>
    <phoneticPr fontId="3"/>
  </si>
  <si>
    <t>ld0sl0060</t>
    <phoneticPr fontId="3"/>
  </si>
  <si>
    <t>LCGS1003</t>
    <phoneticPr fontId="3"/>
  </si>
  <si>
    <t>LDYS0002</t>
    <phoneticPr fontId="3"/>
  </si>
  <si>
    <t>ld0sl0190</t>
    <phoneticPr fontId="3"/>
  </si>
  <si>
    <t>GIMACでは"処理ステータス＝'E'"は廃止する</t>
    <phoneticPr fontId="3"/>
  </si>
  <si>
    <t>NEXT：品目クラスが0か1以外の時は整数で求める、品目クラス = 0,1の時は少数点五桁まで求め
PYMAC：整数で求める</t>
    <phoneticPr fontId="3"/>
  </si>
  <si>
    <t>GIMAC：下記少数点は(lz)共通システムパラメータの「在庫少数点管理少数桁数」をみて少数点位置を決めているため、少数点以下5桁とは限らない</t>
    <phoneticPr fontId="3"/>
  </si>
  <si>
    <t>GIMAC：引数.処理タイプを追加した
鈴木記載
・IC工場処理日テーブルがGIMACになって標準と2直テーブルが統合されているため、
　処理タイプを記載する必要があるため注意</t>
    <rPh sb="8" eb="13">
      <t>コウジョウショリビ</t>
    </rPh>
    <rPh sb="27" eb="29">
      <t>ヒョウジュン</t>
    </rPh>
    <rPh sb="31" eb="32">
      <t>チョク</t>
    </rPh>
    <rPh sb="37" eb="39">
      <t>トウゴウ</t>
    </rPh>
    <rPh sb="49" eb="51">
      <t>ショリ</t>
    </rPh>
    <rPh sb="55" eb="57">
      <t>キサイ</t>
    </rPh>
    <rPh sb="59" eb="61">
      <t>ヒツヨウ</t>
    </rPh>
    <rPh sb="66" eb="68">
      <t>チュウイ</t>
    </rPh>
    <phoneticPr fontId="3"/>
  </si>
  <si>
    <t>GIMAC:TP処理番号採番ファイルの検索条件を除去する</t>
    <phoneticPr fontId="3"/>
  </si>
  <si>
    <t>自動凍結サイン削除</t>
    <phoneticPr fontId="3"/>
  </si>
  <si>
    <t>担当者、登録月、入力端末番号　ラインNo削除</t>
    <phoneticPr fontId="3"/>
  </si>
  <si>
    <t>入力端末番号廃止</t>
    <phoneticPr fontId="3"/>
  </si>
  <si>
    <t>入力端末番号、担当者、科目細目　削除
勘定科目コード追加</t>
    <phoneticPr fontId="3"/>
  </si>
  <si>
    <t>入力端末番号 削除</t>
    <phoneticPr fontId="3"/>
  </si>
  <si>
    <t>入力端末番号　削除</t>
    <phoneticPr fontId="3"/>
  </si>
  <si>
    <t>組織マスタの組織カテゴリーと物理名が被るため変更する必要あり</t>
    <phoneticPr fontId="3"/>
  </si>
  <si>
    <t>発注納入ファイル（lc_trn_order_delivery）は廃止</t>
    <phoneticPr fontId="3"/>
  </si>
  <si>
    <t>GIMACからD構成からの抽出廃止、構成変更あり
新規追加外注SU</t>
    <phoneticPr fontId="3"/>
  </si>
  <si>
    <t>入力端末番号、ラインNo 削除</t>
    <phoneticPr fontId="3"/>
  </si>
  <si>
    <t>LDAS0300</t>
    <phoneticPr fontId="3"/>
  </si>
  <si>
    <t>自動凍結サインチェックは廃止</t>
    <phoneticPr fontId="3"/>
  </si>
  <si>
    <t xml:space="preserve">PYMAC3有:
com_orgmast_su、
ic_ctrl </t>
    <phoneticPr fontId="3"/>
  </si>
  <si>
    <r>
      <t xml:space="preserve">PYMAC3：auto_freeze_pri と関連 flag チェックがある
NEXT: auto_freeze_pri と関連 flag チェックが削除
PYMAC3: item_class = A/M/K チェックがある
NEXT: </t>
    </r>
    <r>
      <rPr>
        <sz val="10"/>
        <rFont val="Meiryo UI"/>
        <family val="3"/>
        <charset val="128"/>
      </rPr>
      <t>对</t>
    </r>
    <r>
      <rPr>
        <sz val="10"/>
        <rFont val="Meiryo UI"/>
        <family val="2"/>
      </rPr>
      <t>item_class = M/K チェックがある</t>
    </r>
    <phoneticPr fontId="3"/>
  </si>
  <si>
    <t>NEXT有:
lc_mst_calendar_sum、ld_mst_slip_date、lz_function_parameter、la_itemmast</t>
    <phoneticPr fontId="3"/>
  </si>
  <si>
    <t>稼動ステータス =  'U' 稼動メッセージ= '有償支給残高 報告可能' 
                                               ：PYMAC　無
　　　　　　　　　　　　  ：NEXT　有</t>
    <phoneticPr fontId="3"/>
  </si>
  <si>
    <t>ld_jp_st_cntl_mast(棚卸管理マスタ)                           ：PYMAC　無
　　　　　　　　　　　　  ：NEXT　有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</si>
</sst>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等线"/>
      <family val="2"/>
      <scheme val="minor"/>
    </font>
    <font>
      <sz val="10"/>
      <name val="ＭＳ ゴシック"/>
      <family val="3"/>
      <charset val="128"/>
    </font>
    <font>
      <sz val="20"/>
      <name val="Meiryo UI"/>
      <family val="3"/>
      <charset val="128"/>
    </font>
    <font>
      <sz val="6"/>
      <name val="等线"/>
      <family val="3"/>
      <charset val="128"/>
      <scheme val="minor"/>
    </font>
    <font>
      <sz val="6"/>
      <name val="ＭＳ ゴシック"/>
      <family val="3"/>
      <charset val="128"/>
    </font>
    <font>
      <sz val="10"/>
      <name val="Meiryo UI"/>
      <family val="3"/>
      <charset val="128"/>
    </font>
    <font>
      <sz val="10"/>
      <color theme="0"/>
      <name val="Meiryo UI"/>
      <family val="3"/>
      <charset val="128"/>
    </font>
    <font>
      <b/>
      <sz val="9"/>
      <color indexed="81"/>
      <name val="MS P ゴシック"/>
      <family val="3"/>
      <charset val="128"/>
    </font>
    <font>
      <sz val="11"/>
      <color theme="1"/>
      <name val="Meiryo UI"/>
      <family val="3"/>
      <charset val="128"/>
    </font>
    <font>
      <sz val="18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b/>
      <sz val="12"/>
      <color theme="1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24"/>
      <color theme="1"/>
      <name val="Meiryo UI"/>
      <family val="3"/>
      <charset val="128"/>
    </font>
    <font>
      <u/>
      <sz val="11"/>
      <color theme="10"/>
      <name val="等线"/>
      <family val="2"/>
      <scheme val="minor"/>
    </font>
    <font>
      <sz val="11"/>
      <color rgb="FFFF0000"/>
      <name val="等线"/>
      <family val="3"/>
      <charset val="128"/>
      <scheme val="minor"/>
    </font>
    <font>
      <b/>
      <sz val="14"/>
      <color rgb="FFFF0000"/>
      <name val="等线"/>
      <family val="3"/>
      <charset val="128"/>
      <scheme val="minor"/>
    </font>
    <font>
      <b/>
      <sz val="24"/>
      <color theme="1"/>
      <name val="等线"/>
      <family val="3"/>
      <charset val="128"/>
      <scheme val="minor"/>
    </font>
    <font>
      <sz val="20"/>
      <name val="Meiryo UI"/>
      <family val="2"/>
      <charset val="128"/>
    </font>
    <font>
      <sz val="10"/>
      <name val="Meiryo UI"/>
      <family val="2"/>
    </font>
    <font>
      <sz val="10"/>
      <color theme="0"/>
      <name val="Meiryo UI"/>
      <family val="2"/>
    </font>
  </fonts>
  <fills count="9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4" fillId="0" borderId="0" applyNumberFormat="0" applyFill="0" applyBorder="0" applyAlignment="0" applyProtection="0"/>
  </cellStyleXfs>
  <cellXfs count="161">
    <xf numFmtId="0" fontId="0" fillId="0" borderId="0" xfId="0"/>
    <xf numFmtId="0" fontId="2" fillId="0" borderId="0" xfId="1" applyFont="1"/>
    <xf numFmtId="0" fontId="5" fillId="0" borderId="0" xfId="1" applyFont="1"/>
    <xf numFmtId="0" fontId="5" fillId="3" borderId="15" xfId="1" applyFont="1" applyFill="1" applyBorder="1" applyAlignment="1">
      <alignment horizontal="center"/>
    </xf>
    <xf numFmtId="0" fontId="5" fillId="3" borderId="16" xfId="1" applyFont="1" applyFill="1" applyBorder="1" applyAlignment="1">
      <alignment horizontal="center"/>
    </xf>
    <xf numFmtId="0" fontId="5" fillId="3" borderId="17" xfId="1" applyFont="1" applyFill="1" applyBorder="1" applyAlignment="1">
      <alignment horizontal="center"/>
    </xf>
    <xf numFmtId="0" fontId="5" fillId="5" borderId="4" xfId="1" applyFont="1" applyFill="1" applyBorder="1" applyAlignment="1">
      <alignment horizontal="center"/>
    </xf>
    <xf numFmtId="0" fontId="5" fillId="5" borderId="18" xfId="1" applyFont="1" applyFill="1" applyBorder="1" applyAlignment="1">
      <alignment horizontal="center"/>
    </xf>
    <xf numFmtId="0" fontId="5" fillId="0" borderId="24" xfId="1" applyFont="1" applyBorder="1"/>
    <xf numFmtId="0" fontId="5" fillId="0" borderId="20" xfId="1" applyFont="1" applyBorder="1" applyAlignment="1">
      <alignment horizontal="center"/>
    </xf>
    <xf numFmtId="0" fontId="5" fillId="0" borderId="28" xfId="1" applyFont="1" applyBorder="1"/>
    <xf numFmtId="0" fontId="5" fillId="0" borderId="29" xfId="1" applyFont="1" applyBorder="1"/>
    <xf numFmtId="0" fontId="5" fillId="0" borderId="28" xfId="1" applyFont="1" applyBorder="1" applyAlignment="1">
      <alignment horizontal="center"/>
    </xf>
    <xf numFmtId="0" fontId="5" fillId="0" borderId="29" xfId="1" applyFont="1" applyBorder="1" applyAlignment="1">
      <alignment horizontal="center"/>
    </xf>
    <xf numFmtId="0" fontId="5" fillId="0" borderId="30" xfId="1" applyFont="1" applyBorder="1" applyAlignment="1">
      <alignment horizontal="center"/>
    </xf>
    <xf numFmtId="0" fontId="5" fillId="0" borderId="31" xfId="1" applyFont="1" applyBorder="1" applyAlignment="1">
      <alignment horizontal="center"/>
    </xf>
    <xf numFmtId="0" fontId="5" fillId="0" borderId="28" xfId="1" applyFont="1" applyBorder="1" applyAlignment="1">
      <alignment horizontal="left"/>
    </xf>
    <xf numFmtId="0" fontId="5" fillId="0" borderId="32" xfId="1" applyFont="1" applyBorder="1" applyAlignment="1">
      <alignment horizontal="left"/>
    </xf>
    <xf numFmtId="0" fontId="5" fillId="0" borderId="33" xfId="1" applyFont="1" applyBorder="1"/>
    <xf numFmtId="0" fontId="5" fillId="0" borderId="11" xfId="1" applyFont="1" applyBorder="1"/>
    <xf numFmtId="0" fontId="5" fillId="0" borderId="12" xfId="1" applyFont="1" applyBorder="1"/>
    <xf numFmtId="0" fontId="5" fillId="0" borderId="13" xfId="1" applyFont="1" applyBorder="1"/>
    <xf numFmtId="0" fontId="5" fillId="0" borderId="11" xfId="1" applyFont="1" applyBorder="1" applyAlignment="1">
      <alignment horizontal="center"/>
    </xf>
    <xf numFmtId="0" fontId="5" fillId="0" borderId="12" xfId="1" applyFont="1" applyBorder="1" applyAlignment="1">
      <alignment horizontal="center"/>
    </xf>
    <xf numFmtId="0" fontId="5" fillId="0" borderId="13" xfId="1" applyFont="1" applyBorder="1" applyAlignment="1">
      <alignment horizontal="center"/>
    </xf>
    <xf numFmtId="0" fontId="5" fillId="0" borderId="34" xfId="1" applyFont="1" applyBorder="1" applyAlignment="1">
      <alignment horizontal="center"/>
    </xf>
    <xf numFmtId="0" fontId="5" fillId="0" borderId="11" xfId="1" applyFont="1" applyBorder="1" applyAlignment="1">
      <alignment horizontal="left"/>
    </xf>
    <xf numFmtId="0" fontId="5" fillId="0" borderId="35" xfId="1" applyFont="1" applyBorder="1" applyAlignment="1">
      <alignment horizontal="left"/>
    </xf>
    <xf numFmtId="0" fontId="5" fillId="0" borderId="19" xfId="1" applyFont="1" applyBorder="1"/>
    <xf numFmtId="0" fontId="5" fillId="7" borderId="14" xfId="1" applyFont="1" applyFill="1" applyBorder="1" applyAlignment="1">
      <alignment horizontal="center"/>
    </xf>
    <xf numFmtId="0" fontId="5" fillId="7" borderId="15" xfId="1" applyFont="1" applyFill="1" applyBorder="1" applyAlignment="1">
      <alignment horizontal="center"/>
    </xf>
    <xf numFmtId="0" fontId="5" fillId="0" borderId="29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6" xfId="1" applyFont="1" applyBorder="1"/>
    <xf numFmtId="0" fontId="5" fillId="0" borderId="1" xfId="1" applyFont="1" applyBorder="1"/>
    <xf numFmtId="0" fontId="5" fillId="0" borderId="2" xfId="1" applyFont="1" applyBorder="1" applyAlignment="1">
      <alignment horizontal="center" vertical="center"/>
    </xf>
    <xf numFmtId="0" fontId="5" fillId="0" borderId="2" xfId="1" applyFont="1" applyBorder="1"/>
    <xf numFmtId="0" fontId="5" fillId="0" borderId="2" xfId="1" applyFont="1" applyBorder="1" applyAlignment="1">
      <alignment horizontal="center"/>
    </xf>
    <xf numFmtId="0" fontId="5" fillId="0" borderId="3" xfId="1" applyFont="1" applyBorder="1"/>
    <xf numFmtId="0" fontId="5" fillId="0" borderId="1" xfId="1" applyFont="1" applyBorder="1" applyAlignment="1">
      <alignment horizontal="center"/>
    </xf>
    <xf numFmtId="0" fontId="5" fillId="0" borderId="3" xfId="1" applyFont="1" applyBorder="1" applyAlignment="1">
      <alignment horizontal="center"/>
    </xf>
    <xf numFmtId="0" fontId="5" fillId="0" borderId="21" xfId="1" applyFont="1" applyBorder="1" applyAlignment="1">
      <alignment horizontal="center"/>
    </xf>
    <xf numFmtId="0" fontId="5" fillId="0" borderId="1" xfId="1" applyFont="1" applyBorder="1" applyAlignment="1">
      <alignment horizontal="left"/>
    </xf>
    <xf numFmtId="0" fontId="5" fillId="0" borderId="22" xfId="1" applyFont="1" applyBorder="1" applyAlignment="1">
      <alignment horizontal="left"/>
    </xf>
    <xf numFmtId="0" fontId="5" fillId="0" borderId="10" xfId="1" applyFont="1" applyBorder="1"/>
    <xf numFmtId="0" fontId="5" fillId="0" borderId="15" xfId="1" applyFont="1" applyBorder="1" applyAlignment="1">
      <alignment horizontal="center"/>
    </xf>
    <xf numFmtId="0" fontId="5" fillId="8" borderId="37" xfId="1" applyFont="1" applyFill="1" applyBorder="1"/>
    <xf numFmtId="0" fontId="5" fillId="8" borderId="0" xfId="1" applyFont="1" applyFill="1" applyAlignment="1">
      <alignment horizontal="center" vertical="center"/>
    </xf>
    <xf numFmtId="0" fontId="5" fillId="8" borderId="0" xfId="1" applyFont="1" applyFill="1"/>
    <xf numFmtId="0" fontId="5" fillId="8" borderId="0" xfId="1" applyFont="1" applyFill="1" applyAlignment="1">
      <alignment horizontal="center"/>
    </xf>
    <xf numFmtId="0" fontId="5" fillId="8" borderId="0" xfId="1" applyFont="1" applyFill="1" applyAlignment="1">
      <alignment horizontal="left"/>
    </xf>
    <xf numFmtId="0" fontId="5" fillId="8" borderId="38" xfId="1" applyFont="1" applyFill="1" applyBorder="1"/>
    <xf numFmtId="0" fontId="5" fillId="6" borderId="4" xfId="1" applyFont="1" applyFill="1" applyBorder="1" applyAlignment="1">
      <alignment horizontal="right"/>
    </xf>
    <xf numFmtId="0" fontId="5" fillId="6" borderId="5" xfId="1" applyFont="1" applyFill="1" applyBorder="1" applyAlignment="1">
      <alignment horizontal="center"/>
    </xf>
    <xf numFmtId="0" fontId="5" fillId="6" borderId="6" xfId="1" applyFont="1" applyFill="1" applyBorder="1" applyAlignment="1">
      <alignment horizontal="left"/>
    </xf>
    <xf numFmtId="0" fontId="5" fillId="6" borderId="4" xfId="1" applyFont="1" applyFill="1" applyBorder="1" applyAlignment="1">
      <alignment horizontal="center"/>
    </xf>
    <xf numFmtId="14" fontId="5" fillId="6" borderId="5" xfId="1" applyNumberFormat="1" applyFont="1" applyFill="1" applyBorder="1" applyAlignment="1">
      <alignment horizontal="center"/>
    </xf>
    <xf numFmtId="0" fontId="5" fillId="6" borderId="6" xfId="1" applyFont="1" applyFill="1" applyBorder="1" applyAlignment="1">
      <alignment horizontal="center"/>
    </xf>
    <xf numFmtId="0" fontId="5" fillId="6" borderId="7" xfId="1" applyFont="1" applyFill="1" applyBorder="1" applyAlignment="1">
      <alignment horizontal="center"/>
    </xf>
    <xf numFmtId="0" fontId="5" fillId="6" borderId="4" xfId="1" applyFont="1" applyFill="1" applyBorder="1" applyAlignment="1">
      <alignment horizontal="left"/>
    </xf>
    <xf numFmtId="0" fontId="5" fillId="6" borderId="9" xfId="1" applyFont="1" applyFill="1" applyBorder="1" applyAlignment="1">
      <alignment horizontal="left" wrapText="1"/>
    </xf>
    <xf numFmtId="0" fontId="5" fillId="6" borderId="36" xfId="1" applyFont="1" applyFill="1" applyBorder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1" fillId="0" borderId="0" xfId="0" applyFont="1" applyAlignment="1">
      <alignment vertical="center"/>
    </xf>
    <xf numFmtId="0" fontId="14" fillId="0" borderId="0" xfId="2"/>
    <xf numFmtId="0" fontId="16" fillId="0" borderId="0" xfId="0" applyFont="1"/>
    <xf numFmtId="0" fontId="17" fillId="0" borderId="0" xfId="0" applyFont="1"/>
    <xf numFmtId="0" fontId="5" fillId="7" borderId="4" xfId="1" applyFont="1" applyFill="1" applyBorder="1" applyAlignment="1">
      <alignment horizontal="center"/>
    </xf>
    <xf numFmtId="0" fontId="5" fillId="7" borderId="5" xfId="1" applyFont="1" applyFill="1" applyBorder="1" applyAlignment="1">
      <alignment horizontal="center"/>
    </xf>
    <xf numFmtId="0" fontId="5" fillId="7" borderId="7" xfId="1" applyFont="1" applyFill="1" applyBorder="1" applyAlignment="1">
      <alignment horizontal="center"/>
    </xf>
    <xf numFmtId="0" fontId="5" fillId="4" borderId="8" xfId="1" applyFont="1" applyFill="1" applyBorder="1" applyAlignment="1">
      <alignment horizontal="center"/>
    </xf>
    <xf numFmtId="0" fontId="5" fillId="4" borderId="9" xfId="1" applyFont="1" applyFill="1" applyBorder="1" applyAlignment="1">
      <alignment horizontal="center"/>
    </xf>
    <xf numFmtId="0" fontId="6" fillId="2" borderId="10" xfId="1" applyFont="1" applyFill="1" applyBorder="1" applyAlignment="1">
      <alignment horizontal="center"/>
    </xf>
    <xf numFmtId="0" fontId="6" fillId="2" borderId="19" xfId="1" applyFont="1" applyFill="1" applyBorder="1" applyAlignment="1">
      <alignment horizontal="center"/>
    </xf>
    <xf numFmtId="0" fontId="6" fillId="2" borderId="1" xfId="1" applyFont="1" applyFill="1" applyBorder="1" applyAlignment="1">
      <alignment horizontal="center"/>
    </xf>
    <xf numFmtId="0" fontId="6" fillId="2" borderId="11" xfId="1" applyFont="1" applyFill="1" applyBorder="1" applyAlignment="1">
      <alignment horizontal="center"/>
    </xf>
    <xf numFmtId="0" fontId="6" fillId="2" borderId="12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 wrapText="1"/>
    </xf>
    <xf numFmtId="0" fontId="6" fillId="2" borderId="13" xfId="1" applyFont="1" applyFill="1" applyBorder="1" applyAlignment="1">
      <alignment horizontal="center"/>
    </xf>
    <xf numFmtId="0" fontId="5" fillId="3" borderId="4" xfId="1" applyFont="1" applyFill="1" applyBorder="1" applyAlignment="1">
      <alignment horizontal="center"/>
    </xf>
    <xf numFmtId="0" fontId="5" fillId="3" borderId="5" xfId="1" applyFont="1" applyFill="1" applyBorder="1" applyAlignment="1">
      <alignment horizontal="center"/>
    </xf>
    <xf numFmtId="0" fontId="5" fillId="3" borderId="6" xfId="1" applyFont="1" applyFill="1" applyBorder="1" applyAlignment="1">
      <alignment horizontal="center"/>
    </xf>
    <xf numFmtId="0" fontId="18" fillId="0" borderId="0" xfId="1" applyFont="1"/>
    <xf numFmtId="0" fontId="19" fillId="0" borderId="0" xfId="1" applyFont="1"/>
    <xf numFmtId="0" fontId="20" fillId="2" borderId="1" xfId="1" applyFont="1" applyFill="1" applyBorder="1" applyAlignment="1">
      <alignment horizontal="center"/>
    </xf>
    <xf numFmtId="0" fontId="20" fillId="2" borderId="2" xfId="1" applyFont="1" applyFill="1" applyBorder="1" applyAlignment="1">
      <alignment horizontal="center" wrapText="1"/>
    </xf>
    <xf numFmtId="0" fontId="20" fillId="2" borderId="39" xfId="1" applyFont="1" applyFill="1" applyBorder="1" applyAlignment="1">
      <alignment horizontal="center" wrapText="1"/>
    </xf>
    <xf numFmtId="0" fontId="20" fillId="2" borderId="2" xfId="1" applyFont="1" applyFill="1" applyBorder="1" applyAlignment="1">
      <alignment horizontal="center"/>
    </xf>
    <xf numFmtId="0" fontId="20" fillId="2" borderId="3" xfId="1" applyFont="1" applyFill="1" applyBorder="1" applyAlignment="1">
      <alignment horizontal="center" wrapText="1"/>
    </xf>
    <xf numFmtId="0" fontId="19" fillId="3" borderId="4" xfId="1" applyFont="1" applyFill="1" applyBorder="1" applyAlignment="1">
      <alignment horizontal="center"/>
    </xf>
    <xf numFmtId="0" fontId="19" fillId="3" borderId="5" xfId="1" applyFont="1" applyFill="1" applyBorder="1" applyAlignment="1">
      <alignment horizontal="center"/>
    </xf>
    <xf numFmtId="0" fontId="19" fillId="3" borderId="6" xfId="1" applyFont="1" applyFill="1" applyBorder="1" applyAlignment="1">
      <alignment horizontal="center"/>
    </xf>
    <xf numFmtId="0" fontId="19" fillId="7" borderId="4" xfId="1" applyFont="1" applyFill="1" applyBorder="1" applyAlignment="1">
      <alignment horizontal="center"/>
    </xf>
    <xf numFmtId="0" fontId="19" fillId="7" borderId="5" xfId="1" applyFont="1" applyFill="1" applyBorder="1" applyAlignment="1">
      <alignment horizontal="center"/>
    </xf>
    <xf numFmtId="0" fontId="19" fillId="7" borderId="7" xfId="1" applyFont="1" applyFill="1" applyBorder="1" applyAlignment="1">
      <alignment horizontal="center"/>
    </xf>
    <xf numFmtId="0" fontId="19" fillId="4" borderId="8" xfId="1" applyFont="1" applyFill="1" applyBorder="1" applyAlignment="1">
      <alignment horizontal="center"/>
    </xf>
    <xf numFmtId="0" fontId="19" fillId="4" borderId="9" xfId="1" applyFont="1" applyFill="1" applyBorder="1" applyAlignment="1">
      <alignment horizontal="center"/>
    </xf>
    <xf numFmtId="0" fontId="20" fillId="2" borderId="10" xfId="1" applyFont="1" applyFill="1" applyBorder="1" applyAlignment="1">
      <alignment horizontal="center"/>
    </xf>
    <xf numFmtId="0" fontId="20" fillId="2" borderId="11" xfId="1" applyFont="1" applyFill="1" applyBorder="1" applyAlignment="1">
      <alignment horizontal="center"/>
    </xf>
    <xf numFmtId="0" fontId="20" fillId="2" borderId="12" xfId="1" applyFont="1" applyFill="1" applyBorder="1" applyAlignment="1">
      <alignment horizontal="center"/>
    </xf>
    <xf numFmtId="0" fontId="20" fillId="2" borderId="15" xfId="1" applyFont="1" applyFill="1" applyBorder="1" applyAlignment="1">
      <alignment horizontal="center"/>
    </xf>
    <xf numFmtId="0" fontId="20" fillId="2" borderId="13" xfId="1" applyFont="1" applyFill="1" applyBorder="1" applyAlignment="1">
      <alignment horizontal="center"/>
    </xf>
    <xf numFmtId="0" fontId="19" fillId="7" borderId="14" xfId="1" applyFont="1" applyFill="1" applyBorder="1" applyAlignment="1">
      <alignment horizontal="center"/>
    </xf>
    <xf numFmtId="0" fontId="19" fillId="7" borderId="15" xfId="1" applyFont="1" applyFill="1" applyBorder="1" applyAlignment="1">
      <alignment horizontal="center"/>
    </xf>
    <xf numFmtId="0" fontId="19" fillId="3" borderId="15" xfId="1" applyFont="1" applyFill="1" applyBorder="1" applyAlignment="1">
      <alignment horizontal="center"/>
    </xf>
    <xf numFmtId="0" fontId="19" fillId="3" borderId="16" xfId="1" applyFont="1" applyFill="1" applyBorder="1" applyAlignment="1">
      <alignment horizontal="center"/>
    </xf>
    <xf numFmtId="0" fontId="19" fillId="3" borderId="17" xfId="1" applyFont="1" applyFill="1" applyBorder="1" applyAlignment="1">
      <alignment horizontal="center"/>
    </xf>
    <xf numFmtId="0" fontId="19" fillId="5" borderId="4" xfId="1" applyFont="1" applyFill="1" applyBorder="1" applyAlignment="1">
      <alignment horizontal="center"/>
    </xf>
    <xf numFmtId="0" fontId="19" fillId="5" borderId="18" xfId="1" applyFont="1" applyFill="1" applyBorder="1" applyAlignment="1">
      <alignment horizontal="center"/>
    </xf>
    <xf numFmtId="0" fontId="20" fillId="2" borderId="19" xfId="1" applyFont="1" applyFill="1" applyBorder="1" applyAlignment="1">
      <alignment horizontal="center"/>
    </xf>
    <xf numFmtId="0" fontId="19" fillId="6" borderId="1" xfId="1" applyFont="1" applyFill="1" applyBorder="1" applyAlignment="1">
      <alignment horizontal="right"/>
    </xf>
    <xf numFmtId="0" fontId="19" fillId="6" borderId="2" xfId="1" applyFont="1" applyFill="1" applyBorder="1" applyAlignment="1">
      <alignment horizontal="center"/>
    </xf>
    <xf numFmtId="0" fontId="19" fillId="6" borderId="3" xfId="1" applyFont="1" applyFill="1" applyBorder="1" applyAlignment="1">
      <alignment horizontal="left"/>
    </xf>
    <xf numFmtId="0" fontId="19" fillId="6" borderId="1" xfId="1" applyFont="1" applyFill="1" applyBorder="1" applyAlignment="1">
      <alignment horizontal="center"/>
    </xf>
    <xf numFmtId="0" fontId="19" fillId="6" borderId="20" xfId="1" applyFont="1" applyFill="1" applyBorder="1" applyAlignment="1">
      <alignment horizontal="center"/>
    </xf>
    <xf numFmtId="14" fontId="19" fillId="6" borderId="2" xfId="1" applyNumberFormat="1" applyFont="1" applyFill="1" applyBorder="1" applyAlignment="1">
      <alignment horizontal="center"/>
    </xf>
    <xf numFmtId="0" fontId="19" fillId="6" borderId="3" xfId="1" applyFont="1" applyFill="1" applyBorder="1" applyAlignment="1">
      <alignment horizontal="center"/>
    </xf>
    <xf numFmtId="0" fontId="19" fillId="6" borderId="21" xfId="1" applyFont="1" applyFill="1" applyBorder="1" applyAlignment="1">
      <alignment horizontal="center"/>
    </xf>
    <xf numFmtId="0" fontId="19" fillId="6" borderId="1" xfId="1" applyFont="1" applyFill="1" applyBorder="1" applyAlignment="1">
      <alignment horizontal="left"/>
    </xf>
    <xf numFmtId="0" fontId="19" fillId="6" borderId="22" xfId="1" applyFont="1" applyFill="1" applyBorder="1" applyAlignment="1">
      <alignment horizontal="left" wrapText="1"/>
    </xf>
    <xf numFmtId="0" fontId="19" fillId="6" borderId="10" xfId="1" applyFont="1" applyFill="1" applyBorder="1" applyAlignment="1">
      <alignment horizontal="center"/>
    </xf>
    <xf numFmtId="0" fontId="19" fillId="0" borderId="23" xfId="1" applyFont="1" applyBorder="1"/>
    <xf numFmtId="0" fontId="19" fillId="0" borderId="20" xfId="1" applyFont="1" applyFill="1" applyBorder="1"/>
    <xf numFmtId="0" fontId="19" fillId="0" borderId="24" xfId="1" applyFont="1" applyFill="1" applyBorder="1"/>
    <xf numFmtId="0" fontId="19" fillId="0" borderId="23" xfId="1" applyFont="1" applyBorder="1" applyAlignment="1">
      <alignment horizontal="center"/>
    </xf>
    <xf numFmtId="0" fontId="19" fillId="0" borderId="20" xfId="1" applyFont="1" applyBorder="1" applyAlignment="1">
      <alignment horizontal="center"/>
    </xf>
    <xf numFmtId="0" fontId="19" fillId="0" borderId="24" xfId="1" applyFont="1" applyBorder="1" applyAlignment="1">
      <alignment horizontal="center"/>
    </xf>
    <xf numFmtId="0" fontId="19" fillId="0" borderId="25" xfId="1" applyFont="1" applyBorder="1" applyAlignment="1">
      <alignment horizontal="center"/>
    </xf>
    <xf numFmtId="0" fontId="19" fillId="0" borderId="27" xfId="1" applyFont="1" applyBorder="1" applyAlignment="1">
      <alignment horizontal="left" vertical="top"/>
    </xf>
    <xf numFmtId="0" fontId="19" fillId="0" borderId="26" xfId="1" applyFont="1" applyBorder="1" applyAlignment="1">
      <alignment horizontal="left" vertical="top" wrapText="1"/>
    </xf>
    <xf numFmtId="0" fontId="19" fillId="0" borderId="28" xfId="1" applyFont="1" applyBorder="1"/>
    <xf numFmtId="0" fontId="19" fillId="0" borderId="29" xfId="1" applyFont="1" applyFill="1" applyBorder="1"/>
    <xf numFmtId="0" fontId="19" fillId="0" borderId="30" xfId="1" applyFont="1" applyFill="1" applyBorder="1"/>
    <xf numFmtId="0" fontId="19" fillId="0" borderId="28" xfId="1" applyFont="1" applyBorder="1" applyAlignment="1">
      <alignment horizontal="center"/>
    </xf>
    <xf numFmtId="0" fontId="19" fillId="0" borderId="29" xfId="1" applyFont="1" applyBorder="1" applyAlignment="1">
      <alignment horizontal="center"/>
    </xf>
    <xf numFmtId="0" fontId="19" fillId="0" borderId="30" xfId="1" applyFont="1" applyBorder="1" applyAlignment="1">
      <alignment horizontal="center"/>
    </xf>
    <xf numFmtId="0" fontId="19" fillId="0" borderId="31" xfId="1" applyFont="1" applyBorder="1" applyAlignment="1">
      <alignment horizontal="center"/>
    </xf>
    <xf numFmtId="0" fontId="19" fillId="0" borderId="32" xfId="1" applyFont="1" applyBorder="1" applyAlignment="1">
      <alignment horizontal="left" wrapText="1"/>
    </xf>
    <xf numFmtId="0" fontId="19" fillId="0" borderId="32" xfId="1" applyFont="1" applyBorder="1" applyAlignment="1">
      <alignment horizontal="left"/>
    </xf>
    <xf numFmtId="0" fontId="19" fillId="0" borderId="33" xfId="1" applyFont="1" applyBorder="1"/>
    <xf numFmtId="0" fontId="19" fillId="0" borderId="33" xfId="1" applyFont="1" applyBorder="1" applyAlignment="1">
      <alignment wrapText="1"/>
    </xf>
    <xf numFmtId="0" fontId="19" fillId="0" borderId="33" xfId="1" applyFont="1" applyBorder="1" applyAlignment="1">
      <alignment vertical="top"/>
    </xf>
    <xf numFmtId="0" fontId="19" fillId="0" borderId="29" xfId="1" applyFont="1" applyBorder="1"/>
    <xf numFmtId="0" fontId="19" fillId="0" borderId="30" xfId="1" applyFont="1" applyBorder="1"/>
    <xf numFmtId="0" fontId="19" fillId="0" borderId="28" xfId="1" applyFont="1" applyBorder="1" applyAlignment="1">
      <alignment horizontal="left"/>
    </xf>
    <xf numFmtId="0" fontId="19" fillId="0" borderId="11" xfId="1" applyFont="1" applyBorder="1"/>
    <xf numFmtId="0" fontId="19" fillId="0" borderId="12" xfId="1" applyFont="1" applyBorder="1"/>
    <xf numFmtId="0" fontId="19" fillId="0" borderId="13" xfId="1" applyFont="1" applyBorder="1"/>
    <xf numFmtId="0" fontId="19" fillId="0" borderId="11" xfId="1" applyFont="1" applyBorder="1" applyAlignment="1">
      <alignment horizontal="center"/>
    </xf>
    <xf numFmtId="0" fontId="19" fillId="0" borderId="12" xfId="1" applyFont="1" applyBorder="1" applyAlignment="1">
      <alignment horizontal="center"/>
    </xf>
    <xf numFmtId="0" fontId="19" fillId="0" borderId="13" xfId="1" applyFont="1" applyBorder="1" applyAlignment="1">
      <alignment horizontal="center"/>
    </xf>
    <xf numFmtId="0" fontId="19" fillId="0" borderId="34" xfId="1" applyFont="1" applyBorder="1" applyAlignment="1">
      <alignment horizontal="center"/>
    </xf>
    <xf numFmtId="0" fontId="19" fillId="0" borderId="11" xfId="1" applyFont="1" applyBorder="1" applyAlignment="1">
      <alignment horizontal="left"/>
    </xf>
    <xf numFmtId="0" fontId="19" fillId="0" borderId="35" xfId="1" applyFont="1" applyBorder="1" applyAlignment="1">
      <alignment horizontal="left"/>
    </xf>
    <xf numFmtId="0" fontId="19" fillId="0" borderId="19" xfId="1" applyFont="1" applyBorder="1" applyAlignment="1">
      <alignment wrapText="1"/>
    </xf>
  </cellXfs>
  <cellStyles count="3">
    <cellStyle name="標準 2" xfId="1" xr:uid="{BE87DDBC-E543-4935-B8A5-A0A545145C28}"/>
    <cellStyle name="常规" xfId="0" builtinId="0"/>
    <cellStyle name="超链接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533401</xdr:colOff>
      <xdr:row>46</xdr:row>
      <xdr:rowOff>34925</xdr:rowOff>
    </xdr:from>
    <xdr:to>
      <xdr:col>16</xdr:col>
      <xdr:colOff>501651</xdr:colOff>
      <xdr:row>89</xdr:row>
      <xdr:rowOff>47625</xdr:rowOff>
    </xdr:to>
    <xdr:sp macro="" textlink="">
      <xdr:nvSpPr>
        <xdr:cNvPr id="134" name="四角形: 角を丸くする 133">
          <a:extLst>
            <a:ext uri="{FF2B5EF4-FFF2-40B4-BE49-F238E27FC236}">
              <a16:creationId xmlns:a16="http://schemas.microsoft.com/office/drawing/2014/main" id="{298CBAD4-710F-447B-8ACA-3B183D6562DB}"/>
            </a:ext>
          </a:extLst>
        </xdr:cNvPr>
        <xdr:cNvSpPr/>
      </xdr:nvSpPr>
      <xdr:spPr>
        <a:xfrm>
          <a:off x="533401" y="9378950"/>
          <a:ext cx="10483850" cy="82042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638175</xdr:colOff>
      <xdr:row>10</xdr:row>
      <xdr:rowOff>34927</xdr:rowOff>
    </xdr:from>
    <xdr:to>
      <xdr:col>25</xdr:col>
      <xdr:colOff>438150</xdr:colOff>
      <xdr:row>28</xdr:row>
      <xdr:rowOff>0</xdr:rowOff>
    </xdr:to>
    <xdr:sp macro="" textlink="">
      <xdr:nvSpPr>
        <xdr:cNvPr id="133" name="四角形: 角を丸くする 132">
          <a:extLst>
            <a:ext uri="{FF2B5EF4-FFF2-40B4-BE49-F238E27FC236}">
              <a16:creationId xmlns:a16="http://schemas.microsoft.com/office/drawing/2014/main" id="{6F9139BB-A605-4FB3-81DB-68F048EDCB6F}"/>
            </a:ext>
          </a:extLst>
        </xdr:cNvPr>
        <xdr:cNvSpPr/>
      </xdr:nvSpPr>
      <xdr:spPr>
        <a:xfrm>
          <a:off x="15097125" y="2292352"/>
          <a:ext cx="1771650" cy="3394073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463550</xdr:colOff>
      <xdr:row>10</xdr:row>
      <xdr:rowOff>34925</xdr:rowOff>
    </xdr:from>
    <xdr:to>
      <xdr:col>22</xdr:col>
      <xdr:colOff>342900</xdr:colOff>
      <xdr:row>36</xdr:row>
      <xdr:rowOff>158750</xdr:rowOff>
    </xdr:to>
    <xdr:sp macro="" textlink="">
      <xdr:nvSpPr>
        <xdr:cNvPr id="132" name="四角形: 角を丸くする 131">
          <a:extLst>
            <a:ext uri="{FF2B5EF4-FFF2-40B4-BE49-F238E27FC236}">
              <a16:creationId xmlns:a16="http://schemas.microsoft.com/office/drawing/2014/main" id="{1B00AC52-B6FD-474A-8BF4-BEC31FD0859E}"/>
            </a:ext>
          </a:extLst>
        </xdr:cNvPr>
        <xdr:cNvSpPr/>
      </xdr:nvSpPr>
      <xdr:spPr>
        <a:xfrm>
          <a:off x="5721350" y="2292350"/>
          <a:ext cx="9080500" cy="5076825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628650</xdr:colOff>
      <xdr:row>10</xdr:row>
      <xdr:rowOff>34925</xdr:rowOff>
    </xdr:from>
    <xdr:to>
      <xdr:col>8</xdr:col>
      <xdr:colOff>225425</xdr:colOff>
      <xdr:row>36</xdr:row>
      <xdr:rowOff>142875</xdr:rowOff>
    </xdr:to>
    <xdr:sp macro="" textlink="">
      <xdr:nvSpPr>
        <xdr:cNvPr id="131" name="四角形: 角を丸くする 130">
          <a:extLst>
            <a:ext uri="{FF2B5EF4-FFF2-40B4-BE49-F238E27FC236}">
              <a16:creationId xmlns:a16="http://schemas.microsoft.com/office/drawing/2014/main" id="{33FA187B-B0D2-DFC3-3D94-9F183C6E0A0A}"/>
            </a:ext>
          </a:extLst>
        </xdr:cNvPr>
        <xdr:cNvSpPr/>
      </xdr:nvSpPr>
      <xdr:spPr>
        <a:xfrm>
          <a:off x="628650" y="2292350"/>
          <a:ext cx="4854575" cy="506095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425450</xdr:colOff>
      <xdr:row>10</xdr:row>
      <xdr:rowOff>114300</xdr:rowOff>
    </xdr:from>
    <xdr:to>
      <xdr:col>7</xdr:col>
      <xdr:colOff>522024</xdr:colOff>
      <xdr:row>35</xdr:row>
      <xdr:rowOff>134269</xdr:rowOff>
    </xdr:to>
    <xdr:grpSp>
      <xdr:nvGrpSpPr>
        <xdr:cNvPr id="5" name="グループ化 4">
          <a:extLst>
            <a:ext uri="{FF2B5EF4-FFF2-40B4-BE49-F238E27FC236}">
              <a16:creationId xmlns:a16="http://schemas.microsoft.com/office/drawing/2014/main" id="{96D76C9E-D5A4-2FC6-6AF3-C61996DBF184}"/>
            </a:ext>
          </a:extLst>
        </xdr:cNvPr>
        <xdr:cNvGrpSpPr/>
      </xdr:nvGrpSpPr>
      <xdr:grpSpPr>
        <a:xfrm>
          <a:off x="1082675" y="2447925"/>
          <a:ext cx="4039924" cy="5020594"/>
          <a:chOff x="287242" y="2246477"/>
          <a:chExt cx="4039924" cy="4210969"/>
        </a:xfrm>
      </xdr:grpSpPr>
      <xdr:sp macro="" textlink="">
        <xdr:nvSpPr>
          <xdr:cNvPr id="6" name="正方形/長方形 5">
            <a:extLst>
              <a:ext uri="{FF2B5EF4-FFF2-40B4-BE49-F238E27FC236}">
                <a16:creationId xmlns:a16="http://schemas.microsoft.com/office/drawing/2014/main" id="{CF68AC6F-6498-A87B-7A5F-079804631274}"/>
              </a:ext>
            </a:extLst>
          </xdr:cNvPr>
          <xdr:cNvSpPr/>
        </xdr:nvSpPr>
        <xdr:spPr bwMode="auto">
          <a:xfrm>
            <a:off x="287242" y="5635278"/>
            <a:ext cx="1684800" cy="576001"/>
          </a:xfrm>
          <a:prstGeom prst="rect">
            <a:avLst/>
          </a:prstGeom>
          <a:ln w="12700">
            <a:headEnd type="none" w="med" len="med"/>
            <a:tailEnd type="oval" w="med" len="med"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ot="0" spcFirstLastPara="0" vert="horz" wrap="square" lIns="36000" tIns="36000" rIns="36000" bIns="3600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9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r>
              <a:rPr kumimoji="0" lang="ja-JP" altLang="en-US" sz="1200" b="0" i="0" u="none" strike="noStrike" cap="none" normalizeH="0" baseline="0">
                <a:ln w="12700" cmpd="sng">
                  <a:noFill/>
                </a:ln>
                <a:solidFill>
                  <a:srgbClr val="191919"/>
                </a:solidFill>
                <a:effectLst/>
                <a:latin typeface="Meiryo UI" panose="020B0604030504040204" pitchFamily="34" charset="-128"/>
                <a:ea typeface="Meiryo UI" panose="020B0604030504040204" pitchFamily="34" charset="-128"/>
              </a:rPr>
              <a:t>納入遵守率集計</a:t>
            </a:r>
            <a:endParaRPr kumimoji="0" lang="en-US" altLang="ja-JP" sz="1200" b="0" i="0" u="none" strike="noStrike" cap="none" normalizeH="0" baseline="0">
              <a:ln w="12700" cmpd="sng">
                <a:noFill/>
              </a:ln>
              <a:solidFill>
                <a:srgbClr val="191919"/>
              </a:solidFill>
              <a:effectLst/>
              <a:latin typeface="Meiryo UI" panose="020B0604030504040204" pitchFamily="34" charset="-128"/>
              <a:ea typeface="Meiryo UI" panose="020B0604030504040204" pitchFamily="34" charset="-128"/>
            </a:endParaRPr>
          </a:p>
          <a:p>
            <a:pPr marL="0" marR="0" indent="0" algn="ctr" defTabSz="914400" rtl="0" eaLnBrk="1" fontAlgn="base" latinLnBrk="0" hangingPunct="1">
              <a:lnSpc>
                <a:spcPct val="9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r>
              <a:rPr kumimoji="0" lang="en-US" altLang="ja-JP" sz="1200" b="0" i="0" u="none" strike="noStrike" cap="none" normalizeH="0" baseline="0">
                <a:ln w="12700" cmpd="sng">
                  <a:noFill/>
                </a:ln>
                <a:solidFill>
                  <a:srgbClr val="191919"/>
                </a:solidFill>
                <a:effectLst/>
                <a:latin typeface="Meiryo UI" panose="020B0604030504040204" pitchFamily="34" charset="-128"/>
                <a:ea typeface="Meiryo UI" panose="020B0604030504040204" pitchFamily="34" charset="-128"/>
              </a:rPr>
              <a:t>(ld0pd230)</a:t>
            </a:r>
            <a:endParaRPr kumimoji="0" lang="ja-JP" altLang="en-US" sz="1200" b="0" i="0" u="none" strike="noStrike" cap="none" normalizeH="0" baseline="0">
              <a:ln w="12700" cmpd="sng">
                <a:noFill/>
              </a:ln>
              <a:solidFill>
                <a:srgbClr val="191919"/>
              </a:solidFill>
              <a:effectLst/>
              <a:latin typeface="Meiryo UI" panose="020B0604030504040204" pitchFamily="34" charset="-128"/>
              <a:ea typeface="Meiryo UI" panose="020B0604030504040204" pitchFamily="34" charset="-128"/>
            </a:endParaRPr>
          </a:p>
        </xdr:txBody>
      </xdr:sp>
      <xdr:sp macro="" textlink="">
        <xdr:nvSpPr>
          <xdr:cNvPr id="7" name="フローチャート: 磁気ディスク 6">
            <a:extLst>
              <a:ext uri="{FF2B5EF4-FFF2-40B4-BE49-F238E27FC236}">
                <a16:creationId xmlns:a16="http://schemas.microsoft.com/office/drawing/2014/main" id="{51C5469B-B18F-EC1C-76BE-545B9916CB59}"/>
              </a:ext>
            </a:extLst>
          </xdr:cNvPr>
          <xdr:cNvSpPr/>
        </xdr:nvSpPr>
        <xdr:spPr bwMode="auto">
          <a:xfrm>
            <a:off x="646795" y="2246477"/>
            <a:ext cx="965696" cy="980962"/>
          </a:xfrm>
          <a:prstGeom prst="flowChartMagneticDisk">
            <a:avLst/>
          </a:prstGeom>
          <a:ln w="12700">
            <a:headEnd type="none" w="med" len="med"/>
            <a:tailEnd type="none" w="med" len="med"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ot="0" spcFirstLastPara="0" vert="horz" wrap="square" lIns="36000" tIns="36000" rIns="36000" bIns="3600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9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r>
              <a:rPr kumimoji="0" lang="ja-JP" altLang="en-US" sz="1200" b="0" i="0" u="none" strike="noStrike" cap="none" normalizeH="0" baseline="0">
                <a:ln w="12700" cmpd="sng">
                  <a:noFill/>
                </a:ln>
                <a:solidFill>
                  <a:srgbClr val="191919"/>
                </a:solidFill>
                <a:effectLst/>
                <a:latin typeface="Meiryo UI" panose="020B0604030504040204" pitchFamily="34" charset="-128"/>
                <a:ea typeface="Meiryo UI" panose="020B0604030504040204" pitchFamily="34" charset="-128"/>
              </a:rPr>
              <a:t>納品書</a:t>
            </a:r>
            <a:endParaRPr kumimoji="0" lang="en-US" altLang="ja-JP" sz="1200" b="0" i="0" u="none" strike="noStrike" cap="none" normalizeH="0" baseline="0">
              <a:ln w="12700" cmpd="sng">
                <a:noFill/>
              </a:ln>
              <a:solidFill>
                <a:srgbClr val="191919"/>
              </a:solidFill>
              <a:effectLst/>
              <a:latin typeface="Meiryo UI" panose="020B0604030504040204" pitchFamily="34" charset="-128"/>
              <a:ea typeface="Meiryo UI" panose="020B0604030504040204" pitchFamily="34" charset="-128"/>
            </a:endParaRPr>
          </a:p>
          <a:p>
            <a:pPr marL="0" marR="0" indent="0" algn="ctr" defTabSz="914400" rtl="0" eaLnBrk="1" fontAlgn="base" latinLnBrk="0" hangingPunct="1">
              <a:lnSpc>
                <a:spcPct val="9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r>
              <a:rPr kumimoji="0" lang="ja-JP" altLang="en-US" sz="1200" b="0" i="0" u="none" strike="noStrike" cap="none" normalizeH="0" baseline="0">
                <a:ln w="12700" cmpd="sng">
                  <a:noFill/>
                </a:ln>
                <a:solidFill>
                  <a:srgbClr val="191919"/>
                </a:solidFill>
                <a:effectLst/>
                <a:latin typeface="Meiryo UI" panose="020B0604030504040204" pitchFamily="34" charset="-128"/>
                <a:ea typeface="Meiryo UI" panose="020B0604030504040204" pitchFamily="34" charset="-128"/>
              </a:rPr>
              <a:t>オーダー関係</a:t>
            </a:r>
          </a:p>
        </xdr:txBody>
      </xdr:sp>
      <xdr:sp macro="" textlink="">
        <xdr:nvSpPr>
          <xdr:cNvPr id="8" name="フローチャート: 磁気ディスク 7">
            <a:extLst>
              <a:ext uri="{FF2B5EF4-FFF2-40B4-BE49-F238E27FC236}">
                <a16:creationId xmlns:a16="http://schemas.microsoft.com/office/drawing/2014/main" id="{FEB2179B-A9BE-C479-307E-435A9520F7E0}"/>
              </a:ext>
            </a:extLst>
          </xdr:cNvPr>
          <xdr:cNvSpPr/>
        </xdr:nvSpPr>
        <xdr:spPr bwMode="auto">
          <a:xfrm>
            <a:off x="2635046" y="2246477"/>
            <a:ext cx="965696" cy="980962"/>
          </a:xfrm>
          <a:prstGeom prst="flowChartMagneticDisk">
            <a:avLst/>
          </a:prstGeom>
          <a:ln w="12700">
            <a:headEnd type="none" w="med" len="med"/>
            <a:tailEnd type="none" w="med" len="med"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ot="0" spcFirstLastPara="0" vert="horz" wrap="square" lIns="36000" tIns="36000" rIns="36000" bIns="3600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9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r>
              <a:rPr kumimoji="0" lang="ja-JP" altLang="en-US" sz="1200" b="0" i="0" u="none" strike="noStrike" cap="none" normalizeH="0" baseline="0">
                <a:ln w="12700" cmpd="sng">
                  <a:noFill/>
                </a:ln>
                <a:solidFill>
                  <a:srgbClr val="191919"/>
                </a:solidFill>
                <a:effectLst/>
                <a:latin typeface="Meiryo UI" panose="020B0604030504040204" pitchFamily="34" charset="-128"/>
                <a:ea typeface="Meiryo UI" panose="020B0604030504040204" pitchFamily="34" charset="-128"/>
              </a:rPr>
              <a:t>納品書</a:t>
            </a:r>
            <a:endParaRPr kumimoji="0" lang="en-US" altLang="ja-JP" sz="1200" b="0" i="0" u="none" strike="noStrike" cap="none" normalizeH="0" baseline="0">
              <a:ln w="12700" cmpd="sng">
                <a:noFill/>
              </a:ln>
              <a:solidFill>
                <a:srgbClr val="191919"/>
              </a:solidFill>
              <a:effectLst/>
              <a:latin typeface="Meiryo UI" panose="020B0604030504040204" pitchFamily="34" charset="-128"/>
              <a:ea typeface="Meiryo UI" panose="020B0604030504040204" pitchFamily="34" charset="-128"/>
            </a:endParaRPr>
          </a:p>
          <a:p>
            <a:pPr marL="0" marR="0" indent="0" algn="ctr" defTabSz="914400" rtl="0" eaLnBrk="1" fontAlgn="base" latinLnBrk="0" hangingPunct="1">
              <a:lnSpc>
                <a:spcPct val="9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r>
              <a:rPr kumimoji="0" lang="ja-JP" altLang="en-US" sz="1200" b="0" i="0" u="none" strike="noStrike" cap="none" normalizeH="0" baseline="0">
                <a:ln w="12700" cmpd="sng">
                  <a:noFill/>
                </a:ln>
                <a:solidFill>
                  <a:srgbClr val="191919"/>
                </a:solidFill>
                <a:effectLst/>
                <a:latin typeface="Meiryo UI" panose="020B0604030504040204" pitchFamily="34" charset="-128"/>
                <a:ea typeface="Meiryo UI" panose="020B0604030504040204" pitchFamily="34" charset="-128"/>
              </a:rPr>
              <a:t>オーダー関係履歴</a:t>
            </a:r>
          </a:p>
        </xdr:txBody>
      </xdr:sp>
      <xdr:sp macro="" textlink="">
        <xdr:nvSpPr>
          <xdr:cNvPr id="9" name="フローチャート: 磁気ディスク 8">
            <a:extLst>
              <a:ext uri="{FF2B5EF4-FFF2-40B4-BE49-F238E27FC236}">
                <a16:creationId xmlns:a16="http://schemas.microsoft.com/office/drawing/2014/main" id="{972F7876-43EB-10E3-FE60-8E5992D5D386}"/>
              </a:ext>
            </a:extLst>
          </xdr:cNvPr>
          <xdr:cNvSpPr/>
        </xdr:nvSpPr>
        <xdr:spPr bwMode="auto">
          <a:xfrm>
            <a:off x="646795" y="4261859"/>
            <a:ext cx="965696" cy="980962"/>
          </a:xfrm>
          <a:prstGeom prst="flowChartMagneticDisk">
            <a:avLst/>
          </a:prstGeom>
          <a:ln w="12700">
            <a:headEnd type="none" w="med" len="med"/>
            <a:tailEnd type="none" w="med" len="med"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ot="0" spcFirstLastPara="0" vert="horz" wrap="square" lIns="36000" tIns="36000" rIns="36000" bIns="3600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9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r>
              <a:rPr kumimoji="0" lang="ja-JP" altLang="en-US" sz="1200" b="0" i="0" u="none" strike="noStrike" cap="none" normalizeH="0" baseline="0">
                <a:ln w="12700" cmpd="sng">
                  <a:noFill/>
                </a:ln>
                <a:solidFill>
                  <a:srgbClr val="191919"/>
                </a:solidFill>
                <a:effectLst/>
                <a:latin typeface="Meiryo UI" panose="020B0604030504040204" pitchFamily="34" charset="-128"/>
                <a:ea typeface="Meiryo UI" panose="020B0604030504040204" pitchFamily="34" charset="-128"/>
              </a:rPr>
              <a:t>納入分析</a:t>
            </a:r>
            <a:endParaRPr kumimoji="0" lang="en-US" altLang="ja-JP" sz="1200" b="0" i="0" u="none" strike="noStrike" cap="none" normalizeH="0" baseline="0">
              <a:ln w="12700" cmpd="sng">
                <a:noFill/>
              </a:ln>
              <a:solidFill>
                <a:srgbClr val="191919"/>
              </a:solidFill>
              <a:effectLst/>
              <a:latin typeface="Meiryo UI" panose="020B0604030504040204" pitchFamily="34" charset="-128"/>
              <a:ea typeface="Meiryo UI" panose="020B0604030504040204" pitchFamily="34" charset="-128"/>
            </a:endParaRPr>
          </a:p>
          <a:p>
            <a:pPr marL="0" marR="0" indent="0" algn="ctr" defTabSz="914400" rtl="0" eaLnBrk="1" fontAlgn="base" latinLnBrk="0" hangingPunct="1">
              <a:lnSpc>
                <a:spcPct val="9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r>
              <a:rPr kumimoji="0" lang="ja-JP" altLang="en-US" sz="1200" b="0" i="0" u="none" strike="noStrike" cap="none" normalizeH="0" baseline="0">
                <a:ln w="12700" cmpd="sng">
                  <a:noFill/>
                </a:ln>
                <a:solidFill>
                  <a:srgbClr val="191919"/>
                </a:solidFill>
                <a:effectLst/>
                <a:latin typeface="Meiryo UI" panose="020B0604030504040204" pitchFamily="34" charset="-128"/>
                <a:ea typeface="Meiryo UI" panose="020B0604030504040204" pitchFamily="34" charset="-128"/>
              </a:rPr>
              <a:t>ファイル</a:t>
            </a:r>
          </a:p>
        </xdr:txBody>
      </xdr:sp>
      <xdr:sp macro="" textlink="">
        <xdr:nvSpPr>
          <xdr:cNvPr id="10" name="フローチャート: 磁気ディスク 9">
            <a:extLst>
              <a:ext uri="{FF2B5EF4-FFF2-40B4-BE49-F238E27FC236}">
                <a16:creationId xmlns:a16="http://schemas.microsoft.com/office/drawing/2014/main" id="{B7025133-E8FC-06C2-68D7-432223BCDB4E}"/>
              </a:ext>
            </a:extLst>
          </xdr:cNvPr>
          <xdr:cNvSpPr/>
        </xdr:nvSpPr>
        <xdr:spPr bwMode="auto">
          <a:xfrm>
            <a:off x="2635046" y="4261859"/>
            <a:ext cx="965696" cy="980962"/>
          </a:xfrm>
          <a:prstGeom prst="flowChartMagneticDisk">
            <a:avLst/>
          </a:prstGeom>
          <a:ln w="12700">
            <a:headEnd type="none" w="med" len="med"/>
            <a:tailEnd type="none" w="med" len="med"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ot="0" spcFirstLastPara="0" vert="horz" wrap="square" lIns="36000" tIns="36000" rIns="36000" bIns="3600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9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r>
              <a:rPr kumimoji="0" lang="ja-JP" altLang="en-US" sz="1200" b="0" i="0" u="none" strike="noStrike" cap="none" normalizeH="0" baseline="0">
                <a:ln w="12700" cmpd="sng">
                  <a:noFill/>
                </a:ln>
                <a:solidFill>
                  <a:srgbClr val="191919"/>
                </a:solidFill>
                <a:effectLst/>
                <a:latin typeface="Meiryo UI" panose="020B0604030504040204" pitchFamily="34" charset="-128"/>
                <a:ea typeface="Meiryo UI" panose="020B0604030504040204" pitchFamily="34" charset="-128"/>
              </a:rPr>
              <a:t>納入遅延</a:t>
            </a:r>
            <a:endParaRPr kumimoji="0" lang="en-US" altLang="ja-JP" sz="1200" b="0" i="0" u="none" strike="noStrike" cap="none" normalizeH="0" baseline="0">
              <a:ln w="12700" cmpd="sng">
                <a:noFill/>
              </a:ln>
              <a:solidFill>
                <a:srgbClr val="191919"/>
              </a:solidFill>
              <a:effectLst/>
              <a:latin typeface="Meiryo UI" panose="020B0604030504040204" pitchFamily="34" charset="-128"/>
              <a:ea typeface="Meiryo UI" panose="020B0604030504040204" pitchFamily="34" charset="-128"/>
            </a:endParaRPr>
          </a:p>
          <a:p>
            <a:pPr marL="0" marR="0" indent="0" algn="ctr" defTabSz="914400" rtl="0" eaLnBrk="1" fontAlgn="base" latinLnBrk="0" hangingPunct="1">
              <a:lnSpc>
                <a:spcPct val="9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r>
              <a:rPr kumimoji="0" lang="ja-JP" altLang="en-US" sz="1200" b="0" i="0" u="none" strike="noStrike" cap="none" normalizeH="0" baseline="0">
                <a:ln w="12700" cmpd="sng">
                  <a:noFill/>
                </a:ln>
                <a:solidFill>
                  <a:srgbClr val="191919"/>
                </a:solidFill>
                <a:effectLst/>
                <a:latin typeface="Meiryo UI" panose="020B0604030504040204" pitchFamily="34" charset="-128"/>
                <a:ea typeface="Meiryo UI" panose="020B0604030504040204" pitchFamily="34" charset="-128"/>
              </a:rPr>
              <a:t>明細</a:t>
            </a:r>
          </a:p>
        </xdr:txBody>
      </xdr:sp>
      <xdr:cxnSp macro="">
        <xdr:nvCxnSpPr>
          <xdr:cNvPr id="11" name="コネクタ: カギ線 10">
            <a:extLst>
              <a:ext uri="{FF2B5EF4-FFF2-40B4-BE49-F238E27FC236}">
                <a16:creationId xmlns:a16="http://schemas.microsoft.com/office/drawing/2014/main" id="{502206E1-3143-5751-0C9E-81B79C87D8C8}"/>
              </a:ext>
            </a:extLst>
          </xdr:cNvPr>
          <xdr:cNvCxnSpPr>
            <a:cxnSpLocks/>
            <a:stCxn id="7" idx="3"/>
          </xdr:cNvCxnSpPr>
        </xdr:nvCxnSpPr>
        <xdr:spPr bwMode="auto">
          <a:xfrm rot="16200000" flipH="1">
            <a:off x="1976285" y="2380797"/>
            <a:ext cx="294966" cy="1988250"/>
          </a:xfrm>
          <a:prstGeom prst="bentConnector2">
            <a:avLst/>
          </a:prstGeom>
          <a:ln w="12700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直線コネクタ 11">
            <a:extLst>
              <a:ext uri="{FF2B5EF4-FFF2-40B4-BE49-F238E27FC236}">
                <a16:creationId xmlns:a16="http://schemas.microsoft.com/office/drawing/2014/main" id="{1A9FA82A-B1C2-1BD7-7877-D7A4526528B3}"/>
              </a:ext>
            </a:extLst>
          </xdr:cNvPr>
          <xdr:cNvCxnSpPr>
            <a:cxnSpLocks/>
            <a:stCxn id="8" idx="3"/>
          </xdr:cNvCxnSpPr>
        </xdr:nvCxnSpPr>
        <xdr:spPr bwMode="auto">
          <a:xfrm>
            <a:off x="3117894" y="3227439"/>
            <a:ext cx="0" cy="294966"/>
          </a:xfrm>
          <a:prstGeom prst="line">
            <a:avLst/>
          </a:prstGeom>
          <a:ln w="12700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直線コネクタ 12">
            <a:extLst>
              <a:ext uri="{FF2B5EF4-FFF2-40B4-BE49-F238E27FC236}">
                <a16:creationId xmlns:a16="http://schemas.microsoft.com/office/drawing/2014/main" id="{6179D312-5E2B-4A09-8A11-A2C8ECF4B919}"/>
              </a:ext>
            </a:extLst>
          </xdr:cNvPr>
          <xdr:cNvCxnSpPr>
            <a:cxnSpLocks/>
          </xdr:cNvCxnSpPr>
        </xdr:nvCxnSpPr>
        <xdr:spPr bwMode="auto">
          <a:xfrm>
            <a:off x="2123768" y="3522405"/>
            <a:ext cx="0" cy="314632"/>
          </a:xfrm>
          <a:prstGeom prst="line">
            <a:avLst/>
          </a:prstGeom>
          <a:ln w="12700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コネクタ: カギ線 13">
            <a:extLst>
              <a:ext uri="{FF2B5EF4-FFF2-40B4-BE49-F238E27FC236}">
                <a16:creationId xmlns:a16="http://schemas.microsoft.com/office/drawing/2014/main" id="{D27EEEA0-EAD6-0364-AA07-DC8ACBB11889}"/>
              </a:ext>
            </a:extLst>
          </xdr:cNvPr>
          <xdr:cNvCxnSpPr>
            <a:cxnSpLocks/>
            <a:endCxn id="9" idx="1"/>
          </xdr:cNvCxnSpPr>
        </xdr:nvCxnSpPr>
        <xdr:spPr bwMode="auto">
          <a:xfrm rot="10800000" flipV="1">
            <a:off x="1129644" y="3837037"/>
            <a:ext cx="994127" cy="424822"/>
          </a:xfrm>
          <a:prstGeom prst="bentConnector2">
            <a:avLst/>
          </a:prstGeom>
          <a:ln w="12700">
            <a:solidFill>
              <a:schemeClr val="tx1"/>
            </a:solidFill>
            <a:headEnd type="none" w="med" len="med"/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コネクタ: カギ線 14">
            <a:extLst>
              <a:ext uri="{FF2B5EF4-FFF2-40B4-BE49-F238E27FC236}">
                <a16:creationId xmlns:a16="http://schemas.microsoft.com/office/drawing/2014/main" id="{55B50F35-4C1C-2DE5-9C10-3452FAB427E5}"/>
              </a:ext>
            </a:extLst>
          </xdr:cNvPr>
          <xdr:cNvCxnSpPr>
            <a:cxnSpLocks/>
            <a:endCxn id="10" idx="1"/>
          </xdr:cNvCxnSpPr>
        </xdr:nvCxnSpPr>
        <xdr:spPr bwMode="auto">
          <a:xfrm>
            <a:off x="2123768" y="3837037"/>
            <a:ext cx="994126" cy="424822"/>
          </a:xfrm>
          <a:prstGeom prst="bentConnector2">
            <a:avLst/>
          </a:prstGeom>
          <a:ln w="12700">
            <a:solidFill>
              <a:schemeClr val="tx1"/>
            </a:solidFill>
            <a:headEnd type="none" w="med" len="med"/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6" name="正方形/長方形 15">
            <a:extLst>
              <a:ext uri="{FF2B5EF4-FFF2-40B4-BE49-F238E27FC236}">
                <a16:creationId xmlns:a16="http://schemas.microsoft.com/office/drawing/2014/main" id="{DDDEC0BC-B7FD-9CB8-7866-777CFC562206}"/>
              </a:ext>
            </a:extLst>
          </xdr:cNvPr>
          <xdr:cNvSpPr/>
        </xdr:nvSpPr>
        <xdr:spPr bwMode="auto">
          <a:xfrm>
            <a:off x="2275797" y="5635278"/>
            <a:ext cx="1684193" cy="576001"/>
          </a:xfrm>
          <a:prstGeom prst="rect">
            <a:avLst/>
          </a:prstGeom>
          <a:ln w="12700">
            <a:headEnd type="none" w="med" len="med"/>
            <a:tailEnd type="oval" w="med" len="med"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ot="0" spcFirstLastPara="0" vert="horz" wrap="square" lIns="36000" tIns="36000" rIns="36000" bIns="3600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9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r>
              <a:rPr kumimoji="0" lang="ja-JP" altLang="en-US" sz="1200" b="0" i="0" u="none" strike="noStrike" cap="none" normalizeH="0" baseline="0">
                <a:ln w="12700" cmpd="sng">
                  <a:noFill/>
                </a:ln>
                <a:solidFill>
                  <a:srgbClr val="191919"/>
                </a:solidFill>
                <a:effectLst/>
                <a:latin typeface="Meiryo UI" panose="020B0604030504040204" pitchFamily="34" charset="-128"/>
                <a:ea typeface="Meiryo UI" panose="020B0604030504040204" pitchFamily="34" charset="-128"/>
              </a:rPr>
              <a:t>納入遅延オーダー照会</a:t>
            </a:r>
            <a:endParaRPr kumimoji="0" lang="en-US" altLang="ja-JP" sz="1200" b="0" i="0" u="none" strike="noStrike" cap="none" normalizeH="0" baseline="0">
              <a:ln w="12700" cmpd="sng">
                <a:noFill/>
              </a:ln>
              <a:solidFill>
                <a:srgbClr val="191919"/>
              </a:solidFill>
              <a:effectLst/>
              <a:latin typeface="Meiryo UI" panose="020B0604030504040204" pitchFamily="34" charset="-128"/>
              <a:ea typeface="Meiryo UI" panose="020B0604030504040204" pitchFamily="34" charset="-128"/>
            </a:endParaRPr>
          </a:p>
          <a:p>
            <a:pPr marL="0" marR="0" indent="0" algn="ctr" defTabSz="914400" rtl="0" eaLnBrk="1" fontAlgn="base" latinLnBrk="0" hangingPunct="1">
              <a:lnSpc>
                <a:spcPct val="9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r>
              <a:rPr kumimoji="0" lang="en-US" altLang="ja-JP" sz="1200" b="0" i="0" u="none" strike="noStrike" cap="none" normalizeH="0" baseline="0">
                <a:ln w="12700" cmpd="sng">
                  <a:noFill/>
                </a:ln>
                <a:solidFill>
                  <a:srgbClr val="191919"/>
                </a:solidFill>
                <a:effectLst/>
                <a:latin typeface="Meiryo UI" panose="020B0604030504040204" pitchFamily="34" charset="-128"/>
                <a:ea typeface="Meiryo UI" panose="020B0604030504040204" pitchFamily="34" charset="-128"/>
              </a:rPr>
              <a:t>(ld0pd240)</a:t>
            </a:r>
            <a:endParaRPr kumimoji="0" lang="ja-JP" altLang="en-US" sz="1200" b="0" i="0" u="none" strike="noStrike" cap="none" normalizeH="0" baseline="0">
              <a:ln w="12700" cmpd="sng">
                <a:noFill/>
              </a:ln>
              <a:solidFill>
                <a:srgbClr val="191919"/>
              </a:solidFill>
              <a:effectLst/>
              <a:latin typeface="Meiryo UI" panose="020B0604030504040204" pitchFamily="34" charset="-128"/>
              <a:ea typeface="Meiryo UI" panose="020B0604030504040204" pitchFamily="34" charset="-128"/>
            </a:endParaRPr>
          </a:p>
        </xdr:txBody>
      </xdr:sp>
      <xdr:cxnSp macro="">
        <xdr:nvCxnSpPr>
          <xdr:cNvPr id="17" name="直線矢印コネクタ 16">
            <a:extLst>
              <a:ext uri="{FF2B5EF4-FFF2-40B4-BE49-F238E27FC236}">
                <a16:creationId xmlns:a16="http://schemas.microsoft.com/office/drawing/2014/main" id="{58D3962B-A97F-E0FC-C8D3-2C61FF3B53F9}"/>
              </a:ext>
            </a:extLst>
          </xdr:cNvPr>
          <xdr:cNvCxnSpPr>
            <a:cxnSpLocks/>
            <a:stCxn id="9" idx="3"/>
            <a:endCxn id="6" idx="0"/>
          </xdr:cNvCxnSpPr>
        </xdr:nvCxnSpPr>
        <xdr:spPr bwMode="auto">
          <a:xfrm flipH="1">
            <a:off x="1129642" y="5242821"/>
            <a:ext cx="1" cy="392457"/>
          </a:xfrm>
          <a:prstGeom prst="straightConnector1">
            <a:avLst/>
          </a:prstGeom>
          <a:ln w="12700">
            <a:solidFill>
              <a:schemeClr val="tx1"/>
            </a:solidFill>
            <a:headEnd type="none" w="med" len="med"/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" name="直線矢印コネクタ 17">
            <a:extLst>
              <a:ext uri="{FF2B5EF4-FFF2-40B4-BE49-F238E27FC236}">
                <a16:creationId xmlns:a16="http://schemas.microsoft.com/office/drawing/2014/main" id="{A321A241-9947-186A-5512-CE8C7E95A507}"/>
              </a:ext>
            </a:extLst>
          </xdr:cNvPr>
          <xdr:cNvCxnSpPr>
            <a:cxnSpLocks/>
            <a:stCxn id="10" idx="3"/>
            <a:endCxn id="16" idx="0"/>
          </xdr:cNvCxnSpPr>
        </xdr:nvCxnSpPr>
        <xdr:spPr bwMode="auto">
          <a:xfrm>
            <a:off x="3117894" y="5242821"/>
            <a:ext cx="0" cy="392457"/>
          </a:xfrm>
          <a:prstGeom prst="straightConnector1">
            <a:avLst/>
          </a:prstGeom>
          <a:ln w="12700">
            <a:solidFill>
              <a:schemeClr val="tx1"/>
            </a:solidFill>
            <a:headEnd type="none" w="med" len="med"/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pic>
        <xdr:nvPicPr>
          <xdr:cNvPr id="19" name="Picture 273">
            <a:extLst>
              <a:ext uri="{FF2B5EF4-FFF2-40B4-BE49-F238E27FC236}">
                <a16:creationId xmlns:a16="http://schemas.microsoft.com/office/drawing/2014/main" id="{CF106CDF-79F3-8D0F-3734-BBC90290D4B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16050" y="5813610"/>
            <a:ext cx="639580" cy="63957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20" name="Picture 273">
            <a:extLst>
              <a:ext uri="{FF2B5EF4-FFF2-40B4-BE49-F238E27FC236}">
                <a16:creationId xmlns:a16="http://schemas.microsoft.com/office/drawing/2014/main" id="{516A30B2-9EA7-44F3-DBE7-7524491E924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687586" y="5817868"/>
            <a:ext cx="639580" cy="63957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10</xdr:col>
      <xdr:colOff>641705</xdr:colOff>
      <xdr:row>29</xdr:row>
      <xdr:rowOff>35036</xdr:rowOff>
    </xdr:from>
    <xdr:to>
      <xdr:col>12</xdr:col>
      <xdr:colOff>349509</xdr:colOff>
      <xdr:row>32</xdr:row>
      <xdr:rowOff>36222</xdr:rowOff>
    </xdr:to>
    <xdr:sp macro="" textlink="">
      <xdr:nvSpPr>
        <xdr:cNvPr id="21" name="吹き出し: 線 20">
          <a:extLst>
            <a:ext uri="{FF2B5EF4-FFF2-40B4-BE49-F238E27FC236}">
              <a16:creationId xmlns:a16="http://schemas.microsoft.com/office/drawing/2014/main" id="{CB3F6F59-FAD9-B37A-64EE-ABBBA222E006}"/>
            </a:ext>
          </a:extLst>
        </xdr:cNvPr>
        <xdr:cNvSpPr/>
      </xdr:nvSpPr>
      <xdr:spPr bwMode="auto">
        <a:xfrm>
          <a:off x="1956155" y="10636361"/>
          <a:ext cx="1022254" cy="572686"/>
        </a:xfrm>
        <a:prstGeom prst="borderCallout1">
          <a:avLst>
            <a:gd name="adj1" fmla="val -4625"/>
            <a:gd name="adj2" fmla="val 74320"/>
            <a:gd name="adj3" fmla="val -78583"/>
            <a:gd name="adj4" fmla="val 106369"/>
          </a:avLst>
        </a:prstGeom>
        <a:solidFill>
          <a:schemeClr val="accent6">
            <a:lumMod val="20000"/>
            <a:lumOff val="80000"/>
          </a:schemeClr>
        </a:solidFill>
        <a:ln w="12700">
          <a:headEnd type="none" w="med" len="med"/>
          <a:tailEnd type="oval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36000" tIns="36000" rIns="36000" bIns="3600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sz="22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2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2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2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2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22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22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22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22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r>
            <a:rPr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G-Pro</a:t>
          </a:r>
          <a:r>
            <a:rPr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へ</a:t>
          </a:r>
          <a:r>
            <a:rPr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IF</a:t>
          </a:r>
          <a:endParaRPr kumimoji="0" lang="ja-JP" altLang="en-US" sz="1200" b="0" i="0" u="none" strike="noStrike" cap="none" normalizeH="0" baseline="0">
            <a:ln w="12700" cmpd="sng">
              <a:noFill/>
            </a:ln>
            <a:solidFill>
              <a:srgbClr val="191919"/>
            </a:solidFill>
            <a:effectLst/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8</xdr:col>
      <xdr:colOff>539750</xdr:colOff>
      <xdr:row>11</xdr:row>
      <xdr:rowOff>9525</xdr:rowOff>
    </xdr:from>
    <xdr:to>
      <xdr:col>21</xdr:col>
      <xdr:colOff>564764</xdr:colOff>
      <xdr:row>36</xdr:row>
      <xdr:rowOff>7170</xdr:rowOff>
    </xdr:to>
    <xdr:grpSp>
      <xdr:nvGrpSpPr>
        <xdr:cNvPr id="22" name="グループ化 21">
          <a:extLst>
            <a:ext uri="{FF2B5EF4-FFF2-40B4-BE49-F238E27FC236}">
              <a16:creationId xmlns:a16="http://schemas.microsoft.com/office/drawing/2014/main" id="{9AFF14A7-899A-5378-0449-1FDED68CA342}"/>
            </a:ext>
          </a:extLst>
        </xdr:cNvPr>
        <xdr:cNvGrpSpPr/>
      </xdr:nvGrpSpPr>
      <xdr:grpSpPr>
        <a:xfrm>
          <a:off x="5797550" y="2543175"/>
          <a:ext cx="8568939" cy="4998270"/>
          <a:chOff x="1081454" y="1727819"/>
          <a:chExt cx="8572114" cy="4772845"/>
        </a:xfrm>
      </xdr:grpSpPr>
      <xdr:grpSp>
        <xdr:nvGrpSpPr>
          <xdr:cNvPr id="25" name="グループ化 24">
            <a:extLst>
              <a:ext uri="{FF2B5EF4-FFF2-40B4-BE49-F238E27FC236}">
                <a16:creationId xmlns:a16="http://schemas.microsoft.com/office/drawing/2014/main" id="{C17C2837-CCB7-2A7C-C9D5-807000C3FD08}"/>
              </a:ext>
            </a:extLst>
          </xdr:cNvPr>
          <xdr:cNvGrpSpPr/>
        </xdr:nvGrpSpPr>
        <xdr:grpSpPr>
          <a:xfrm>
            <a:off x="1081454" y="1727819"/>
            <a:ext cx="8572114" cy="4772845"/>
            <a:chOff x="17585" y="1788816"/>
            <a:chExt cx="8572114" cy="4772845"/>
          </a:xfrm>
        </xdr:grpSpPr>
        <xdr:sp macro="" textlink="">
          <xdr:nvSpPr>
            <xdr:cNvPr id="32" name="フローチャート: 磁気ディスク 31">
              <a:extLst>
                <a:ext uri="{FF2B5EF4-FFF2-40B4-BE49-F238E27FC236}">
                  <a16:creationId xmlns:a16="http://schemas.microsoft.com/office/drawing/2014/main" id="{3B3D899C-624C-3500-7EA4-F36C124B467A}"/>
                </a:ext>
              </a:extLst>
            </xdr:cNvPr>
            <xdr:cNvSpPr/>
          </xdr:nvSpPr>
          <xdr:spPr bwMode="auto">
            <a:xfrm>
              <a:off x="861946" y="1788816"/>
              <a:ext cx="965696" cy="980962"/>
            </a:xfrm>
            <a:prstGeom prst="flowChartMagneticDisk">
              <a:avLst/>
            </a:prstGeom>
            <a:ln w="12700">
              <a:headEnd type="none" w="med" len="med"/>
              <a:tailEnd type="none" w="med" len="med"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rot="0" spcFirstLastPara="0" vert="horz" wrap="square" lIns="36000" tIns="36000" rIns="36000" bIns="3600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indent="0" algn="ctr" defTabSz="914400" rtl="0" eaLnBrk="1" fontAlgn="base" latinLnBrk="0" hangingPunct="1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</a:pPr>
              <a:r>
                <a:rPr kumimoji="0" lang="ja-JP" altLang="en-US" sz="1200" b="0" i="0" u="none" strike="noStrike" cap="none" normalizeH="0" baseline="0">
                  <a:ln w="12700" cmpd="sng">
                    <a:noFill/>
                  </a:ln>
                  <a:solidFill>
                    <a:srgbClr val="191919"/>
                  </a:solidFill>
                  <a:effectLst/>
                  <a:latin typeface="Meiryo UI" panose="020B0604030504040204" pitchFamily="34" charset="-128"/>
                  <a:ea typeface="Meiryo UI" panose="020B0604030504040204" pitchFamily="34" charset="-128"/>
                </a:rPr>
                <a:t>臨時納入</a:t>
              </a:r>
              <a:endParaRPr kumimoji="0" lang="en-US" altLang="ja-JP" sz="1200" b="0" i="0" u="none" strike="noStrike" cap="none" normalizeH="0" baseline="0">
                <a:ln w="12700" cmpd="sng">
                  <a:noFill/>
                </a:ln>
                <a:solidFill>
                  <a:srgbClr val="191919"/>
                </a:solidFill>
                <a:effectLst/>
                <a:latin typeface="Meiryo UI" panose="020B0604030504040204" pitchFamily="34" charset="-128"/>
                <a:ea typeface="Meiryo UI" panose="020B0604030504040204" pitchFamily="34" charset="-128"/>
              </a:endParaRPr>
            </a:p>
            <a:p>
              <a:pPr marL="0" marR="0" indent="0" algn="ctr" defTabSz="914400" rtl="0" eaLnBrk="1" fontAlgn="base" latinLnBrk="0" hangingPunct="1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</a:pPr>
              <a:r>
                <a:rPr kumimoji="0" lang="ja-JP" altLang="en-US" sz="1200" b="0" i="0" u="none" strike="noStrike" cap="none" normalizeH="0" baseline="0">
                  <a:ln w="12700" cmpd="sng">
                    <a:noFill/>
                  </a:ln>
                  <a:solidFill>
                    <a:srgbClr val="191919"/>
                  </a:solidFill>
                  <a:effectLst/>
                  <a:latin typeface="Meiryo UI" panose="020B0604030504040204" pitchFamily="34" charset="-128"/>
                  <a:ea typeface="Meiryo UI" panose="020B0604030504040204" pitchFamily="34" charset="-128"/>
                </a:rPr>
                <a:t>カード</a:t>
              </a:r>
              <a:endParaRPr kumimoji="0" lang="en-US" altLang="ja-JP" sz="1200" b="0" i="0" u="none" strike="noStrike" cap="none" normalizeH="0" baseline="0">
                <a:ln w="12700" cmpd="sng">
                  <a:noFill/>
                </a:ln>
                <a:solidFill>
                  <a:srgbClr val="191919"/>
                </a:solidFill>
                <a:effectLst/>
                <a:latin typeface="Meiryo UI" panose="020B0604030504040204" pitchFamily="34" charset="-128"/>
                <a:ea typeface="Meiryo UI" panose="020B0604030504040204" pitchFamily="34" charset="-128"/>
              </a:endParaRPr>
            </a:p>
            <a:p>
              <a:pPr marL="0" marR="0" indent="0" algn="ctr" defTabSz="914400" rtl="0" eaLnBrk="1" fontAlgn="base" latinLnBrk="0" hangingPunct="1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</a:pPr>
              <a:r>
                <a:rPr kumimoji="0" lang="ja-JP" altLang="en-US" sz="1200" b="0" i="0" u="none" strike="noStrike" cap="none" normalizeH="0" baseline="0">
                  <a:ln w="12700" cmpd="sng">
                    <a:noFill/>
                  </a:ln>
                  <a:solidFill>
                    <a:srgbClr val="191919"/>
                  </a:solidFill>
                  <a:effectLst/>
                  <a:latin typeface="Meiryo UI" panose="020B0604030504040204" pitchFamily="34" charset="-128"/>
                  <a:ea typeface="Meiryo UI" panose="020B0604030504040204" pitchFamily="34" charset="-128"/>
                </a:rPr>
                <a:t>（オーダー</a:t>
              </a:r>
              <a:r>
                <a:rPr kumimoji="0" lang="en-US" altLang="ja-JP" sz="1200" b="0" i="0" u="none" strike="noStrike" cap="none" normalizeH="0" baseline="0">
                  <a:ln w="12700" cmpd="sng">
                    <a:noFill/>
                  </a:ln>
                  <a:solidFill>
                    <a:srgbClr val="191919"/>
                  </a:solidFill>
                  <a:effectLst/>
                  <a:latin typeface="Meiryo UI" panose="020B0604030504040204" pitchFamily="34" charset="-128"/>
                  <a:ea typeface="Meiryo UI" panose="020B0604030504040204" pitchFamily="34" charset="-128"/>
                </a:rPr>
                <a:t>)</a:t>
              </a:r>
              <a:endParaRPr kumimoji="0" lang="ja-JP" altLang="en-US" sz="1200" b="0" i="0" u="none" strike="noStrike" cap="none" normalizeH="0" baseline="0">
                <a:ln w="12700" cmpd="sng">
                  <a:noFill/>
                </a:ln>
                <a:solidFill>
                  <a:srgbClr val="191919"/>
                </a:solidFill>
                <a:effectLst/>
                <a:latin typeface="Meiryo UI" panose="020B0604030504040204" pitchFamily="34" charset="-128"/>
                <a:ea typeface="Meiryo UI" panose="020B0604030504040204" pitchFamily="34" charset="-128"/>
              </a:endParaRPr>
            </a:p>
          </xdr:txBody>
        </xdr:sp>
        <xdr:sp macro="" textlink="">
          <xdr:nvSpPr>
            <xdr:cNvPr id="33" name="フローチャート: 磁気ディスク 32">
              <a:extLst>
                <a:ext uri="{FF2B5EF4-FFF2-40B4-BE49-F238E27FC236}">
                  <a16:creationId xmlns:a16="http://schemas.microsoft.com/office/drawing/2014/main" id="{0C293143-64B9-D655-A150-B41EC44DED02}"/>
                </a:ext>
              </a:extLst>
            </xdr:cNvPr>
            <xdr:cNvSpPr/>
          </xdr:nvSpPr>
          <xdr:spPr bwMode="auto">
            <a:xfrm>
              <a:off x="3503369" y="1788816"/>
              <a:ext cx="965696" cy="980962"/>
            </a:xfrm>
            <a:prstGeom prst="flowChartMagneticDisk">
              <a:avLst/>
            </a:prstGeom>
            <a:ln w="12700">
              <a:headEnd type="none" w="med" len="med"/>
              <a:tailEnd type="none" w="med" len="med"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rot="0" spcFirstLastPara="0" vert="horz" wrap="square" lIns="36000" tIns="36000" rIns="36000" bIns="3600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indent="0" algn="ctr" defTabSz="914400" rtl="0" eaLnBrk="1" fontAlgn="base" latinLnBrk="0" hangingPunct="1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</a:pPr>
              <a:r>
                <a:rPr kumimoji="0" lang="ja-JP" altLang="en-US" sz="1200" b="0" i="0" u="none" strike="noStrike" cap="none" normalizeH="0" baseline="0">
                  <a:ln w="12700" cmpd="sng">
                    <a:noFill/>
                  </a:ln>
                  <a:solidFill>
                    <a:srgbClr val="191919"/>
                  </a:solidFill>
                  <a:effectLst/>
                  <a:latin typeface="Meiryo UI" panose="020B0604030504040204" pitchFamily="34" charset="-128"/>
                  <a:ea typeface="Meiryo UI" panose="020B0604030504040204" pitchFamily="34" charset="-128"/>
                </a:rPr>
                <a:t>オーダー明細</a:t>
              </a:r>
            </a:p>
          </xdr:txBody>
        </xdr:sp>
        <xdr:sp macro="" textlink="">
          <xdr:nvSpPr>
            <xdr:cNvPr id="34" name="フローチャート: 磁気ディスク 33">
              <a:extLst>
                <a:ext uri="{FF2B5EF4-FFF2-40B4-BE49-F238E27FC236}">
                  <a16:creationId xmlns:a16="http://schemas.microsoft.com/office/drawing/2014/main" id="{911C4F6E-B6B2-9AD5-A682-4299697B6821}"/>
                </a:ext>
              </a:extLst>
            </xdr:cNvPr>
            <xdr:cNvSpPr/>
          </xdr:nvSpPr>
          <xdr:spPr bwMode="auto">
            <a:xfrm>
              <a:off x="4188226" y="3287094"/>
              <a:ext cx="965696" cy="980962"/>
            </a:xfrm>
            <a:prstGeom prst="flowChartMagneticDisk">
              <a:avLst/>
            </a:prstGeom>
            <a:ln w="12700">
              <a:headEnd type="none" w="med" len="med"/>
              <a:tailEnd type="none" w="med" len="med"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rot="0" spcFirstLastPara="0" vert="horz" wrap="square" lIns="36000" tIns="36000" rIns="36000" bIns="3600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indent="0" algn="ctr" defTabSz="914400" rtl="0" eaLnBrk="1" fontAlgn="base" latinLnBrk="0" hangingPunct="1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</a:pPr>
              <a:r>
                <a:rPr kumimoji="0" lang="ja-JP" altLang="en-US" sz="1200" b="0" i="0" u="none" strike="noStrike" cap="none" normalizeH="0" baseline="0">
                  <a:ln w="12700" cmpd="sng">
                    <a:noFill/>
                  </a:ln>
                  <a:solidFill>
                    <a:srgbClr val="191919"/>
                  </a:solidFill>
                  <a:effectLst/>
                  <a:latin typeface="Meiryo UI" panose="020B0604030504040204" pitchFamily="34" charset="-128"/>
                  <a:ea typeface="Meiryo UI" panose="020B0604030504040204" pitchFamily="34" charset="-128"/>
                </a:rPr>
                <a:t>納入予実績</a:t>
              </a:r>
              <a:endParaRPr kumimoji="0" lang="en-US" altLang="ja-JP" sz="1200" b="0" i="0" u="none" strike="noStrike" cap="none" normalizeH="0" baseline="0">
                <a:ln w="12700" cmpd="sng">
                  <a:noFill/>
                </a:ln>
                <a:solidFill>
                  <a:srgbClr val="191919"/>
                </a:solidFill>
                <a:effectLst/>
                <a:latin typeface="Meiryo UI" panose="020B0604030504040204" pitchFamily="34" charset="-128"/>
                <a:ea typeface="Meiryo UI" panose="020B0604030504040204" pitchFamily="34" charset="-128"/>
              </a:endParaRPr>
            </a:p>
            <a:p>
              <a:pPr marL="0" marR="0" indent="0" algn="ctr" defTabSz="914400" rtl="0" eaLnBrk="1" fontAlgn="base" latinLnBrk="0" hangingPunct="1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</a:pPr>
              <a:r>
                <a:rPr lang="ja-JP" altLang="en-US" sz="1200">
                  <a:ln w="12700" cmpd="sng">
                    <a:noFill/>
                  </a:ln>
                  <a:solidFill>
                    <a:srgbClr val="191919"/>
                  </a:solidFill>
                  <a:latin typeface="Meiryo UI" panose="020B0604030504040204" pitchFamily="34" charset="-128"/>
                  <a:ea typeface="Meiryo UI" panose="020B0604030504040204" pitchFamily="34" charset="-128"/>
                </a:rPr>
                <a:t>（日次）</a:t>
              </a:r>
              <a:endParaRPr kumimoji="0" lang="ja-JP" altLang="en-US" sz="1200" b="0" i="0" u="none" strike="noStrike" cap="none" normalizeH="0" baseline="0">
                <a:ln w="12700" cmpd="sng">
                  <a:noFill/>
                </a:ln>
                <a:solidFill>
                  <a:srgbClr val="191919"/>
                </a:solidFill>
                <a:effectLst/>
                <a:latin typeface="Meiryo UI" panose="020B0604030504040204" pitchFamily="34" charset="-128"/>
                <a:ea typeface="Meiryo UI" panose="020B0604030504040204" pitchFamily="34" charset="-128"/>
              </a:endParaRPr>
            </a:p>
          </xdr:txBody>
        </xdr:sp>
        <xdr:sp macro="" textlink="">
          <xdr:nvSpPr>
            <xdr:cNvPr id="35" name="フローチャート: 磁気ディスク 34">
              <a:extLst>
                <a:ext uri="{FF2B5EF4-FFF2-40B4-BE49-F238E27FC236}">
                  <a16:creationId xmlns:a16="http://schemas.microsoft.com/office/drawing/2014/main" id="{3A8DDBFD-2F1F-65C0-A146-D98728A8348B}"/>
                </a:ext>
              </a:extLst>
            </xdr:cNvPr>
            <xdr:cNvSpPr/>
          </xdr:nvSpPr>
          <xdr:spPr bwMode="auto">
            <a:xfrm>
              <a:off x="5584493" y="3292323"/>
              <a:ext cx="965696" cy="980962"/>
            </a:xfrm>
            <a:prstGeom prst="flowChartMagneticDisk">
              <a:avLst/>
            </a:prstGeom>
            <a:ln w="12700">
              <a:headEnd type="none" w="med" len="med"/>
              <a:tailEnd type="none" w="med" len="med"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rot="0" spcFirstLastPara="0" vert="horz" wrap="square" lIns="36000" tIns="36000" rIns="36000" bIns="3600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indent="0" algn="ctr" defTabSz="914400" rtl="0" eaLnBrk="1" fontAlgn="base" latinLnBrk="0" hangingPunct="1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</a:pPr>
              <a:r>
                <a:rPr kumimoji="0" lang="ja-JP" altLang="en-US" sz="1200" b="0" i="0" u="none" strike="noStrike" cap="none" normalizeH="0" baseline="0">
                  <a:ln w="12700" cmpd="sng">
                    <a:noFill/>
                  </a:ln>
                  <a:solidFill>
                    <a:srgbClr val="191919"/>
                  </a:solidFill>
                  <a:effectLst/>
                  <a:latin typeface="Meiryo UI" panose="020B0604030504040204" pitchFamily="34" charset="-128"/>
                  <a:ea typeface="Meiryo UI" panose="020B0604030504040204" pitchFamily="34" charset="-128"/>
                </a:rPr>
                <a:t>納入予実績</a:t>
              </a:r>
              <a:endParaRPr kumimoji="0" lang="en-US" altLang="ja-JP" sz="1200" b="0" i="0" u="none" strike="noStrike" cap="none" normalizeH="0" baseline="0">
                <a:ln w="12700" cmpd="sng">
                  <a:noFill/>
                </a:ln>
                <a:solidFill>
                  <a:srgbClr val="191919"/>
                </a:solidFill>
                <a:effectLst/>
                <a:latin typeface="Meiryo UI" panose="020B0604030504040204" pitchFamily="34" charset="-128"/>
                <a:ea typeface="Meiryo UI" panose="020B0604030504040204" pitchFamily="34" charset="-128"/>
              </a:endParaRPr>
            </a:p>
            <a:p>
              <a:pPr marL="0" marR="0" indent="0" algn="ctr" defTabSz="914400" rtl="0" eaLnBrk="1" fontAlgn="base" latinLnBrk="0" hangingPunct="1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</a:pPr>
              <a:r>
                <a:rPr lang="ja-JP" altLang="en-US" sz="1200">
                  <a:ln w="12700" cmpd="sng">
                    <a:noFill/>
                  </a:ln>
                  <a:solidFill>
                    <a:srgbClr val="191919"/>
                  </a:solidFill>
                  <a:latin typeface="Meiryo UI" panose="020B0604030504040204" pitchFamily="34" charset="-128"/>
                  <a:ea typeface="Meiryo UI" panose="020B0604030504040204" pitchFamily="34" charset="-128"/>
                </a:rPr>
                <a:t>（月次）</a:t>
              </a:r>
              <a:endParaRPr kumimoji="0" lang="ja-JP" altLang="en-US" sz="1200" b="0" i="0" u="none" strike="noStrike" cap="none" normalizeH="0" baseline="0">
                <a:ln w="12700" cmpd="sng">
                  <a:noFill/>
                </a:ln>
                <a:solidFill>
                  <a:srgbClr val="191919"/>
                </a:solidFill>
                <a:effectLst/>
                <a:latin typeface="Meiryo UI" panose="020B0604030504040204" pitchFamily="34" charset="-128"/>
                <a:ea typeface="Meiryo UI" panose="020B0604030504040204" pitchFamily="34" charset="-128"/>
              </a:endParaRPr>
            </a:p>
          </xdr:txBody>
        </xdr:sp>
        <xdr:cxnSp macro="">
          <xdr:nvCxnSpPr>
            <xdr:cNvPr id="36" name="コネクタ: カギ線 35">
              <a:extLst>
                <a:ext uri="{FF2B5EF4-FFF2-40B4-BE49-F238E27FC236}">
                  <a16:creationId xmlns:a16="http://schemas.microsoft.com/office/drawing/2014/main" id="{87B0C581-0D83-F62E-F9FE-A65BABD9F371}"/>
                </a:ext>
              </a:extLst>
            </xdr:cNvPr>
            <xdr:cNvCxnSpPr>
              <a:cxnSpLocks/>
              <a:stCxn id="32" idx="3"/>
            </xdr:cNvCxnSpPr>
          </xdr:nvCxnSpPr>
          <xdr:spPr bwMode="auto">
            <a:xfrm rot="16200000" flipH="1">
              <a:off x="4605441" y="-490868"/>
              <a:ext cx="229816" cy="6751107"/>
            </a:xfrm>
            <a:prstGeom prst="bentConnector2">
              <a:avLst/>
            </a:prstGeom>
            <a:ln w="12700">
              <a:solidFill>
                <a:schemeClr val="tx1"/>
              </a:solidFill>
              <a:headEnd type="none" w="med" len="med"/>
              <a:tailEnd type="none" w="med" len="me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" name="直線コネクタ 36">
              <a:extLst>
                <a:ext uri="{FF2B5EF4-FFF2-40B4-BE49-F238E27FC236}">
                  <a16:creationId xmlns:a16="http://schemas.microsoft.com/office/drawing/2014/main" id="{32650FF3-8431-F05C-D553-811C2D996B8F}"/>
                </a:ext>
              </a:extLst>
            </xdr:cNvPr>
            <xdr:cNvCxnSpPr>
              <a:cxnSpLocks/>
              <a:stCxn id="33" idx="3"/>
            </xdr:cNvCxnSpPr>
          </xdr:nvCxnSpPr>
          <xdr:spPr bwMode="auto">
            <a:xfrm flipH="1">
              <a:off x="3986217" y="2769778"/>
              <a:ext cx="1" cy="230156"/>
            </a:xfrm>
            <a:prstGeom prst="line">
              <a:avLst/>
            </a:prstGeom>
            <a:ln w="12700">
              <a:solidFill>
                <a:schemeClr val="tx1"/>
              </a:solidFill>
              <a:headEnd type="none" w="med" len="med"/>
              <a:tailEnd type="none" w="med" len="me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8" name="直線矢印コネクタ 37">
              <a:extLst>
                <a:ext uri="{FF2B5EF4-FFF2-40B4-BE49-F238E27FC236}">
                  <a16:creationId xmlns:a16="http://schemas.microsoft.com/office/drawing/2014/main" id="{15D23E9D-5D0E-CC1F-03F7-E7A59580EE5D}"/>
                </a:ext>
              </a:extLst>
            </xdr:cNvPr>
            <xdr:cNvCxnSpPr>
              <a:cxnSpLocks/>
              <a:stCxn id="34" idx="4"/>
              <a:endCxn id="35" idx="2"/>
            </xdr:cNvCxnSpPr>
          </xdr:nvCxnSpPr>
          <xdr:spPr bwMode="auto">
            <a:xfrm>
              <a:off x="5153922" y="3777576"/>
              <a:ext cx="430571" cy="5229"/>
            </a:xfrm>
            <a:prstGeom prst="straightConnector1">
              <a:avLst/>
            </a:prstGeom>
            <a:ln w="12700">
              <a:solidFill>
                <a:schemeClr val="tx1"/>
              </a:solidFill>
              <a:headEnd type="none" w="med" len="med"/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9" name="直線矢印コネクタ 38">
              <a:extLst>
                <a:ext uri="{FF2B5EF4-FFF2-40B4-BE49-F238E27FC236}">
                  <a16:creationId xmlns:a16="http://schemas.microsoft.com/office/drawing/2014/main" id="{C2F23FE5-FCB0-2AB3-FA6B-39810DDE6CA1}"/>
                </a:ext>
              </a:extLst>
            </xdr:cNvPr>
            <xdr:cNvCxnSpPr>
              <a:cxnSpLocks/>
              <a:endCxn id="34" idx="1"/>
            </xdr:cNvCxnSpPr>
          </xdr:nvCxnSpPr>
          <xdr:spPr bwMode="auto">
            <a:xfrm>
              <a:off x="4671074" y="3007608"/>
              <a:ext cx="0" cy="279487"/>
            </a:xfrm>
            <a:prstGeom prst="straightConnector1">
              <a:avLst/>
            </a:prstGeom>
            <a:ln w="12700">
              <a:solidFill>
                <a:schemeClr val="tx1"/>
              </a:solidFill>
              <a:headEnd type="none" w="med" len="med"/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40" name="フローチャート: 記憶データ 39">
              <a:extLst>
                <a:ext uri="{FF2B5EF4-FFF2-40B4-BE49-F238E27FC236}">
                  <a16:creationId xmlns:a16="http://schemas.microsoft.com/office/drawing/2014/main" id="{CE2874F6-1193-5167-4475-B28F7ACFDEBF}"/>
                </a:ext>
              </a:extLst>
            </xdr:cNvPr>
            <xdr:cNvSpPr/>
          </xdr:nvSpPr>
          <xdr:spPr bwMode="auto">
            <a:xfrm>
              <a:off x="3098687" y="6068680"/>
              <a:ext cx="1607610" cy="492981"/>
            </a:xfrm>
            <a:prstGeom prst="flowChartOnlineStorage">
              <a:avLst/>
            </a:prstGeom>
            <a:ln w="12700">
              <a:headEnd type="none" w="med" len="med"/>
              <a:tailEnd type="oval" w="med" len="med"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rot="0" spcFirstLastPara="0" vert="horz" wrap="square" lIns="36000" tIns="36000" rIns="36000" bIns="3600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indent="0" algn="ctr" defTabSz="914400" rtl="0" eaLnBrk="1" fontAlgn="base" latinLnBrk="0" hangingPunct="1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</a:pPr>
              <a:r>
                <a:rPr lang="ja-JP" altLang="en-US" sz="1200">
                  <a:ln w="12700" cmpd="sng">
                    <a:noFill/>
                  </a:ln>
                  <a:solidFill>
                    <a:srgbClr val="191919"/>
                  </a:solidFill>
                  <a:latin typeface="Meiryo UI" panose="020B0604030504040204" pitchFamily="34" charset="-128"/>
                  <a:ea typeface="Meiryo UI" panose="020B0604030504040204" pitchFamily="34" charset="-128"/>
                </a:rPr>
                <a:t>押込／短納期</a:t>
              </a:r>
              <a:endParaRPr lang="en-US" altLang="ja-JP" sz="1200">
                <a:ln w="12700" cmpd="sng">
                  <a:noFill/>
                </a:ln>
                <a:solidFill>
                  <a:srgbClr val="191919"/>
                </a:solidFill>
                <a:latin typeface="Meiryo UI" panose="020B0604030504040204" pitchFamily="34" charset="-128"/>
                <a:ea typeface="Meiryo UI" panose="020B0604030504040204" pitchFamily="34" charset="-128"/>
              </a:endParaRPr>
            </a:p>
            <a:p>
              <a:pPr marL="0" marR="0" indent="0" algn="ctr" defTabSz="914400" rtl="0" eaLnBrk="1" fontAlgn="base" latinLnBrk="0" hangingPunct="1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</a:pPr>
              <a:r>
                <a:rPr lang="ja-JP" altLang="en-US" sz="1200">
                  <a:ln w="12700" cmpd="sng">
                    <a:noFill/>
                  </a:ln>
                  <a:solidFill>
                    <a:srgbClr val="191919"/>
                  </a:solidFill>
                  <a:latin typeface="Meiryo UI" panose="020B0604030504040204" pitchFamily="34" charset="-128"/>
                  <a:ea typeface="Meiryo UI" panose="020B0604030504040204" pitchFamily="34" charset="-128"/>
                </a:rPr>
                <a:t>データ（年次）</a:t>
              </a:r>
              <a:endParaRPr kumimoji="0" lang="ja-JP" altLang="en-US" sz="1200" b="0" i="0" u="none" strike="noStrike" cap="none" normalizeH="0" baseline="0">
                <a:ln w="12700" cmpd="sng">
                  <a:noFill/>
                </a:ln>
                <a:solidFill>
                  <a:srgbClr val="191919"/>
                </a:solidFill>
                <a:effectLst/>
                <a:latin typeface="Meiryo UI" panose="020B0604030504040204" pitchFamily="34" charset="-128"/>
                <a:ea typeface="Meiryo UI" panose="020B0604030504040204" pitchFamily="34" charset="-128"/>
              </a:endParaRPr>
            </a:p>
          </xdr:txBody>
        </xdr:sp>
        <xdr:sp macro="" textlink="">
          <xdr:nvSpPr>
            <xdr:cNvPr id="41" name="フローチャート: 記憶データ 40">
              <a:extLst>
                <a:ext uri="{FF2B5EF4-FFF2-40B4-BE49-F238E27FC236}">
                  <a16:creationId xmlns:a16="http://schemas.microsoft.com/office/drawing/2014/main" id="{F5282A39-5CE9-0949-278E-036AEC43E3A2}"/>
                </a:ext>
              </a:extLst>
            </xdr:cNvPr>
            <xdr:cNvSpPr/>
          </xdr:nvSpPr>
          <xdr:spPr bwMode="auto">
            <a:xfrm>
              <a:off x="17585" y="4264453"/>
              <a:ext cx="1724034" cy="492981"/>
            </a:xfrm>
            <a:prstGeom prst="flowChartOnlineStorage">
              <a:avLst/>
            </a:prstGeom>
            <a:ln w="12700">
              <a:headEnd type="none" w="med" len="med"/>
              <a:tailEnd type="oval" w="med" len="med"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rot="0" spcFirstLastPara="0" vert="horz" wrap="square" lIns="36000" tIns="36000" rIns="36000" bIns="3600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indent="0" algn="ctr" defTabSz="914400" rtl="0" eaLnBrk="1" fontAlgn="base" latinLnBrk="0" hangingPunct="1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</a:pPr>
              <a:r>
                <a:rPr lang="ja-JP" altLang="en-US" sz="1200">
                  <a:ln w="12700" cmpd="sng">
                    <a:noFill/>
                  </a:ln>
                  <a:solidFill>
                    <a:srgbClr val="191919"/>
                  </a:solidFill>
                  <a:latin typeface="Meiryo UI" panose="020B0604030504040204" pitchFamily="34" charset="-128"/>
                  <a:ea typeface="Meiryo UI" panose="020B0604030504040204" pitchFamily="34" charset="-128"/>
                </a:rPr>
                <a:t>押込端数短納期明細データ</a:t>
              </a:r>
              <a:endParaRPr kumimoji="0" lang="ja-JP" altLang="en-US" sz="1200" b="0" i="0" u="none" strike="noStrike" cap="none" normalizeH="0" baseline="0">
                <a:ln w="12700" cmpd="sng">
                  <a:noFill/>
                </a:ln>
                <a:solidFill>
                  <a:srgbClr val="191919"/>
                </a:solidFill>
                <a:effectLst/>
                <a:latin typeface="Meiryo UI" panose="020B0604030504040204" pitchFamily="34" charset="-128"/>
                <a:ea typeface="Meiryo UI" panose="020B0604030504040204" pitchFamily="34" charset="-128"/>
              </a:endParaRPr>
            </a:p>
          </xdr:txBody>
        </xdr:sp>
        <xdr:sp macro="" textlink="">
          <xdr:nvSpPr>
            <xdr:cNvPr id="42" name="フローチャート: 記憶データ 41">
              <a:extLst>
                <a:ext uri="{FF2B5EF4-FFF2-40B4-BE49-F238E27FC236}">
                  <a16:creationId xmlns:a16="http://schemas.microsoft.com/office/drawing/2014/main" id="{046C28B9-14CB-5BC1-10E7-42F32DBF6B40}"/>
                </a:ext>
              </a:extLst>
            </xdr:cNvPr>
            <xdr:cNvSpPr/>
          </xdr:nvSpPr>
          <xdr:spPr bwMode="auto">
            <a:xfrm>
              <a:off x="1631090" y="4264453"/>
              <a:ext cx="1724033" cy="492981"/>
            </a:xfrm>
            <a:prstGeom prst="flowChartOnlineStorage">
              <a:avLst/>
            </a:prstGeom>
            <a:solidFill>
              <a:schemeClr val="accent6">
                <a:lumMod val="20000"/>
                <a:lumOff val="80000"/>
              </a:schemeClr>
            </a:solidFill>
            <a:ln w="12700">
              <a:headEnd type="none" w="med" len="med"/>
              <a:tailEnd type="oval" w="med" len="med"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rot="0" spcFirstLastPara="0" vert="horz" wrap="square" lIns="36000" tIns="36000" rIns="36000" bIns="3600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indent="0" algn="ctr" defTabSz="914400" rtl="0" eaLnBrk="1" fontAlgn="base" latinLnBrk="0" hangingPunct="1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</a:pPr>
              <a:r>
                <a:rPr lang="ja-JP" altLang="en-US" sz="1200">
                  <a:ln w="12700" cmpd="sng">
                    <a:noFill/>
                  </a:ln>
                  <a:solidFill>
                    <a:srgbClr val="191919"/>
                  </a:solidFill>
                  <a:latin typeface="Meiryo UI" panose="020B0604030504040204" pitchFamily="34" charset="-128"/>
                  <a:ea typeface="Meiryo UI" panose="020B0604030504040204" pitchFamily="34" charset="-128"/>
                </a:rPr>
                <a:t>納入遅延</a:t>
              </a:r>
              <a:endParaRPr lang="en-US" altLang="ja-JP" sz="1200">
                <a:ln w="12700" cmpd="sng">
                  <a:noFill/>
                </a:ln>
                <a:solidFill>
                  <a:srgbClr val="191919"/>
                </a:solidFill>
                <a:latin typeface="Meiryo UI" panose="020B0604030504040204" pitchFamily="34" charset="-128"/>
                <a:ea typeface="Meiryo UI" panose="020B0604030504040204" pitchFamily="34" charset="-128"/>
              </a:endParaRPr>
            </a:p>
            <a:p>
              <a:pPr marL="0" marR="0" indent="0" algn="ctr" defTabSz="914400" rtl="0" eaLnBrk="1" fontAlgn="base" latinLnBrk="0" hangingPunct="1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</a:pPr>
              <a:r>
                <a:rPr lang="ja-JP" altLang="en-US" sz="1200">
                  <a:ln w="12700" cmpd="sng">
                    <a:noFill/>
                  </a:ln>
                  <a:solidFill>
                    <a:srgbClr val="191919"/>
                  </a:solidFill>
                  <a:latin typeface="Meiryo UI" panose="020B0604030504040204" pitchFamily="34" charset="-128"/>
                  <a:ea typeface="Meiryo UI" panose="020B0604030504040204" pitchFamily="34" charset="-128"/>
                </a:rPr>
                <a:t>明細データ</a:t>
              </a:r>
              <a:endParaRPr kumimoji="0" lang="ja-JP" altLang="en-US" sz="1200" b="0" i="0" u="none" strike="noStrike" cap="none" normalizeH="0" baseline="0">
                <a:ln w="12700" cmpd="sng">
                  <a:noFill/>
                </a:ln>
                <a:solidFill>
                  <a:srgbClr val="191919"/>
                </a:solidFill>
                <a:effectLst/>
                <a:latin typeface="Meiryo UI" panose="020B0604030504040204" pitchFamily="34" charset="-128"/>
                <a:ea typeface="Meiryo UI" panose="020B0604030504040204" pitchFamily="34" charset="-128"/>
              </a:endParaRPr>
            </a:p>
          </xdr:txBody>
        </xdr:sp>
        <xdr:sp macro="" textlink="">
          <xdr:nvSpPr>
            <xdr:cNvPr id="43" name="フローチャート: 記憶データ 42">
              <a:extLst>
                <a:ext uri="{FF2B5EF4-FFF2-40B4-BE49-F238E27FC236}">
                  <a16:creationId xmlns:a16="http://schemas.microsoft.com/office/drawing/2014/main" id="{529E62E5-DEA5-2BD4-5A98-8A4F74257964}"/>
                </a:ext>
              </a:extLst>
            </xdr:cNvPr>
            <xdr:cNvSpPr/>
          </xdr:nvSpPr>
          <xdr:spPr bwMode="auto">
            <a:xfrm>
              <a:off x="4594274" y="6068680"/>
              <a:ext cx="1607610" cy="492981"/>
            </a:xfrm>
            <a:prstGeom prst="flowChartOnlineStorage">
              <a:avLst/>
            </a:prstGeom>
            <a:solidFill>
              <a:schemeClr val="accent6">
                <a:lumMod val="20000"/>
                <a:lumOff val="80000"/>
              </a:schemeClr>
            </a:solidFill>
            <a:ln w="12700">
              <a:headEnd type="none" w="med" len="med"/>
              <a:tailEnd type="oval" w="med" len="med"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rot="0" spcFirstLastPara="0" vert="horz" wrap="square" lIns="36000" tIns="36000" rIns="36000" bIns="3600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indent="0" algn="ctr" defTabSz="914400" rtl="0" eaLnBrk="1" fontAlgn="base" latinLnBrk="0" hangingPunct="1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</a:pPr>
              <a:r>
                <a:rPr lang="ja-JP" altLang="en-US" sz="1200">
                  <a:ln w="12700" cmpd="sng">
                    <a:noFill/>
                  </a:ln>
                  <a:solidFill>
                    <a:srgbClr val="191919"/>
                  </a:solidFill>
                  <a:latin typeface="Meiryo UI" panose="020B0604030504040204" pitchFamily="34" charset="-128"/>
                  <a:ea typeface="Meiryo UI" panose="020B0604030504040204" pitchFamily="34" charset="-128"/>
                </a:rPr>
                <a:t>納入遵守データ（年次）</a:t>
              </a:r>
              <a:endParaRPr kumimoji="0" lang="ja-JP" altLang="en-US" sz="1200" b="0" i="0" u="none" strike="noStrike" cap="none" normalizeH="0" baseline="0">
                <a:ln w="12700" cmpd="sng">
                  <a:noFill/>
                </a:ln>
                <a:solidFill>
                  <a:srgbClr val="191919"/>
                </a:solidFill>
                <a:effectLst/>
                <a:latin typeface="Meiryo UI" panose="020B0604030504040204" pitchFamily="34" charset="-128"/>
                <a:ea typeface="Meiryo UI" panose="020B0604030504040204" pitchFamily="34" charset="-128"/>
              </a:endParaRPr>
            </a:p>
          </xdr:txBody>
        </xdr:sp>
        <xdr:sp macro="" textlink="">
          <xdr:nvSpPr>
            <xdr:cNvPr id="44" name="フローチャート: 磁気ディスク 43">
              <a:extLst>
                <a:ext uri="{FF2B5EF4-FFF2-40B4-BE49-F238E27FC236}">
                  <a16:creationId xmlns:a16="http://schemas.microsoft.com/office/drawing/2014/main" id="{E5F5077C-3B48-C98B-8497-BEAA22CDB3C0}"/>
                </a:ext>
              </a:extLst>
            </xdr:cNvPr>
            <xdr:cNvSpPr/>
          </xdr:nvSpPr>
          <xdr:spPr bwMode="auto">
            <a:xfrm>
              <a:off x="4876280" y="1788816"/>
              <a:ext cx="965696" cy="980962"/>
            </a:xfrm>
            <a:prstGeom prst="flowChartMagneticDisk">
              <a:avLst/>
            </a:prstGeom>
            <a:ln w="12700">
              <a:headEnd type="none" w="med" len="med"/>
              <a:tailEnd type="none" w="med" len="med"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rot="0" spcFirstLastPara="0" vert="horz" wrap="square" lIns="36000" tIns="36000" rIns="36000" bIns="3600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indent="0" algn="ctr" defTabSz="914400" rtl="0" eaLnBrk="1" fontAlgn="base" latinLnBrk="0" hangingPunct="1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</a:pPr>
              <a:r>
                <a:rPr kumimoji="0" lang="ja-JP" altLang="en-US" sz="1200" b="0" i="0" u="none" strike="noStrike" cap="none" normalizeH="0" baseline="0">
                  <a:ln w="12700" cmpd="sng">
                    <a:noFill/>
                  </a:ln>
                  <a:solidFill>
                    <a:srgbClr val="191919"/>
                  </a:solidFill>
                  <a:effectLst/>
                  <a:latin typeface="Meiryo UI" panose="020B0604030504040204" pitchFamily="34" charset="-128"/>
                  <a:ea typeface="Meiryo UI" panose="020B0604030504040204" pitchFamily="34" charset="-128"/>
                </a:rPr>
                <a:t>独立所要量明細</a:t>
              </a:r>
            </a:p>
          </xdr:txBody>
        </xdr:sp>
        <xdr:sp macro="" textlink="">
          <xdr:nvSpPr>
            <xdr:cNvPr id="45" name="フローチャート: 磁気ディスク 44">
              <a:extLst>
                <a:ext uri="{FF2B5EF4-FFF2-40B4-BE49-F238E27FC236}">
                  <a16:creationId xmlns:a16="http://schemas.microsoft.com/office/drawing/2014/main" id="{688C8D16-088C-5FBD-AD8C-1F40832ED8FB}"/>
                </a:ext>
              </a:extLst>
            </xdr:cNvPr>
            <xdr:cNvSpPr/>
          </xdr:nvSpPr>
          <xdr:spPr bwMode="auto">
            <a:xfrm>
              <a:off x="2186254" y="1788816"/>
              <a:ext cx="965696" cy="980962"/>
            </a:xfrm>
            <a:prstGeom prst="flowChartMagneticDisk">
              <a:avLst/>
            </a:prstGeom>
            <a:ln w="12700">
              <a:headEnd type="none" w="med" len="med"/>
              <a:tailEnd type="none" w="med" len="med"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rot="0" spcFirstLastPara="0" vert="horz" wrap="square" lIns="36000" tIns="36000" rIns="36000" bIns="3600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indent="0" algn="ctr" defTabSz="914400" rtl="0" eaLnBrk="1" fontAlgn="base" latinLnBrk="0" hangingPunct="1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</a:pPr>
              <a:r>
                <a:rPr kumimoji="0" lang="ja-JP" altLang="en-US" sz="1200" b="0" i="0" u="none" strike="noStrike" cap="none" normalizeH="0" baseline="0">
                  <a:ln w="12700" cmpd="sng">
                    <a:noFill/>
                  </a:ln>
                  <a:solidFill>
                    <a:srgbClr val="191919"/>
                  </a:solidFill>
                  <a:effectLst/>
                  <a:latin typeface="Meiryo UI" panose="020B0604030504040204" pitchFamily="34" charset="-128"/>
                  <a:ea typeface="Meiryo UI" panose="020B0604030504040204" pitchFamily="34" charset="-128"/>
                </a:rPr>
                <a:t>臨時納入</a:t>
              </a:r>
              <a:endParaRPr kumimoji="0" lang="en-US" altLang="ja-JP" sz="1200" b="0" i="0" u="none" strike="noStrike" cap="none" normalizeH="0" baseline="0">
                <a:ln w="12700" cmpd="sng">
                  <a:noFill/>
                </a:ln>
                <a:solidFill>
                  <a:srgbClr val="191919"/>
                </a:solidFill>
                <a:effectLst/>
                <a:latin typeface="Meiryo UI" panose="020B0604030504040204" pitchFamily="34" charset="-128"/>
                <a:ea typeface="Meiryo UI" panose="020B0604030504040204" pitchFamily="34" charset="-128"/>
              </a:endParaRPr>
            </a:p>
            <a:p>
              <a:pPr marL="0" marR="0" indent="0" algn="ctr" defTabSz="914400" rtl="0" eaLnBrk="1" fontAlgn="base" latinLnBrk="0" hangingPunct="1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</a:pPr>
              <a:r>
                <a:rPr kumimoji="0" lang="ja-JP" altLang="en-US" sz="1200" b="0" i="0" u="none" strike="noStrike" cap="none" normalizeH="0" baseline="0">
                  <a:ln w="12700" cmpd="sng">
                    <a:noFill/>
                  </a:ln>
                  <a:solidFill>
                    <a:srgbClr val="191919"/>
                  </a:solidFill>
                  <a:effectLst/>
                  <a:latin typeface="Meiryo UI" panose="020B0604030504040204" pitchFamily="34" charset="-128"/>
                  <a:ea typeface="Meiryo UI" panose="020B0604030504040204" pitchFamily="34" charset="-128"/>
                </a:rPr>
                <a:t>カード</a:t>
              </a:r>
              <a:endParaRPr kumimoji="0" lang="en-US" altLang="ja-JP" sz="1200" b="0" i="0" u="none" strike="noStrike" cap="none" normalizeH="0" baseline="0">
                <a:ln w="12700" cmpd="sng">
                  <a:noFill/>
                </a:ln>
                <a:solidFill>
                  <a:srgbClr val="191919"/>
                </a:solidFill>
                <a:effectLst/>
                <a:latin typeface="Meiryo UI" panose="020B0604030504040204" pitchFamily="34" charset="-128"/>
                <a:ea typeface="Meiryo UI" panose="020B0604030504040204" pitchFamily="34" charset="-128"/>
              </a:endParaRPr>
            </a:p>
            <a:p>
              <a:pPr marL="0" marR="0" indent="0" algn="ctr" defTabSz="914400" rtl="0" eaLnBrk="1" fontAlgn="base" latinLnBrk="0" hangingPunct="1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</a:pPr>
              <a:r>
                <a:rPr kumimoji="0" lang="ja-JP" altLang="en-US" sz="1200" b="0" i="0" u="none" strike="noStrike" cap="none" normalizeH="0" baseline="0">
                  <a:ln w="12700" cmpd="sng">
                    <a:noFill/>
                  </a:ln>
                  <a:solidFill>
                    <a:srgbClr val="191919"/>
                  </a:solidFill>
                  <a:effectLst/>
                  <a:latin typeface="Meiryo UI" panose="020B0604030504040204" pitchFamily="34" charset="-128"/>
                  <a:ea typeface="Meiryo UI" panose="020B0604030504040204" pitchFamily="34" charset="-128"/>
                </a:rPr>
                <a:t>（独立</a:t>
              </a:r>
              <a:r>
                <a:rPr kumimoji="0" lang="en-US" altLang="ja-JP" sz="1200" b="0" i="0" u="none" strike="noStrike" cap="none" normalizeH="0" baseline="0">
                  <a:ln w="12700" cmpd="sng">
                    <a:noFill/>
                  </a:ln>
                  <a:solidFill>
                    <a:srgbClr val="191919"/>
                  </a:solidFill>
                  <a:effectLst/>
                  <a:latin typeface="Meiryo UI" panose="020B0604030504040204" pitchFamily="34" charset="-128"/>
                  <a:ea typeface="Meiryo UI" panose="020B0604030504040204" pitchFamily="34" charset="-128"/>
                </a:rPr>
                <a:t>)</a:t>
              </a:r>
              <a:endParaRPr kumimoji="0" lang="ja-JP" altLang="en-US" sz="1200" b="0" i="0" u="none" strike="noStrike" cap="none" normalizeH="0" baseline="0">
                <a:ln w="12700" cmpd="sng">
                  <a:noFill/>
                </a:ln>
                <a:solidFill>
                  <a:srgbClr val="191919"/>
                </a:solidFill>
                <a:effectLst/>
                <a:latin typeface="Meiryo UI" panose="020B0604030504040204" pitchFamily="34" charset="-128"/>
                <a:ea typeface="Meiryo UI" panose="020B0604030504040204" pitchFamily="34" charset="-128"/>
              </a:endParaRPr>
            </a:p>
          </xdr:txBody>
        </xdr:sp>
        <xdr:sp macro="" textlink="">
          <xdr:nvSpPr>
            <xdr:cNvPr id="46" name="フローチャート: 磁気ディスク 45">
              <a:extLst>
                <a:ext uri="{FF2B5EF4-FFF2-40B4-BE49-F238E27FC236}">
                  <a16:creationId xmlns:a16="http://schemas.microsoft.com/office/drawing/2014/main" id="{857A1392-F9A4-95D2-0AFF-7A2AE701EE3D}"/>
                </a:ext>
              </a:extLst>
            </xdr:cNvPr>
            <xdr:cNvSpPr/>
          </xdr:nvSpPr>
          <xdr:spPr bwMode="auto">
            <a:xfrm>
              <a:off x="6197302" y="1788816"/>
              <a:ext cx="965696" cy="980962"/>
            </a:xfrm>
            <a:prstGeom prst="flowChartMagneticDisk">
              <a:avLst/>
            </a:prstGeom>
            <a:ln w="12700">
              <a:headEnd type="none" w="med" len="med"/>
              <a:tailEnd type="none" w="med" len="med"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rot="0" spcFirstLastPara="0" vert="horz" wrap="square" lIns="36000" tIns="36000" rIns="36000" bIns="3600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indent="0" algn="ctr" defTabSz="914400" rtl="0" eaLnBrk="1" fontAlgn="base" latinLnBrk="0" hangingPunct="1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</a:pPr>
              <a:r>
                <a:rPr kumimoji="0" lang="ja-JP" altLang="en-US" sz="1200" b="0" i="0" u="none" strike="noStrike" cap="none" normalizeH="0" baseline="0">
                  <a:ln w="12700" cmpd="sng">
                    <a:noFill/>
                  </a:ln>
                  <a:solidFill>
                    <a:srgbClr val="191919"/>
                  </a:solidFill>
                  <a:effectLst/>
                  <a:latin typeface="Meiryo UI" panose="020B0604030504040204" pitchFamily="34" charset="-128"/>
                  <a:ea typeface="Meiryo UI" panose="020B0604030504040204" pitchFamily="34" charset="-128"/>
                </a:rPr>
                <a:t>在庫取引明細</a:t>
              </a:r>
              <a:r>
                <a:rPr kumimoji="0" lang="en-US" altLang="ja-JP" sz="1200" b="0" i="0" u="none" strike="noStrike" cap="none" normalizeH="0" baseline="0">
                  <a:ln w="12700" cmpd="sng">
                    <a:noFill/>
                  </a:ln>
                  <a:solidFill>
                    <a:srgbClr val="191919"/>
                  </a:solidFill>
                  <a:effectLst/>
                  <a:latin typeface="Meiryo UI" panose="020B0604030504040204" pitchFamily="34" charset="-128"/>
                  <a:ea typeface="Meiryo UI" panose="020B0604030504040204" pitchFamily="34" charset="-128"/>
                </a:rPr>
                <a:t>_</a:t>
              </a:r>
              <a:r>
                <a:rPr kumimoji="0" lang="ja-JP" altLang="en-US" sz="1200" b="0" i="0" u="none" strike="noStrike" cap="none" normalizeH="0" baseline="0">
                  <a:ln w="12700" cmpd="sng">
                    <a:noFill/>
                  </a:ln>
                  <a:solidFill>
                    <a:srgbClr val="191919"/>
                  </a:solidFill>
                  <a:effectLst/>
                  <a:latin typeface="Meiryo UI" panose="020B0604030504040204" pitchFamily="34" charset="-128"/>
                  <a:ea typeface="Meiryo UI" panose="020B0604030504040204" pitchFamily="34" charset="-128"/>
                </a:rPr>
                <a:t>当日分</a:t>
              </a:r>
            </a:p>
          </xdr:txBody>
        </xdr:sp>
        <xdr:sp macro="" textlink="">
          <xdr:nvSpPr>
            <xdr:cNvPr id="47" name="フローチャート: 磁気ディスク 46">
              <a:extLst>
                <a:ext uri="{FF2B5EF4-FFF2-40B4-BE49-F238E27FC236}">
                  <a16:creationId xmlns:a16="http://schemas.microsoft.com/office/drawing/2014/main" id="{22DA6A68-2897-38EA-716E-F0EE1AE260D0}"/>
                </a:ext>
              </a:extLst>
            </xdr:cNvPr>
            <xdr:cNvSpPr/>
          </xdr:nvSpPr>
          <xdr:spPr bwMode="auto">
            <a:xfrm>
              <a:off x="7624003" y="1788816"/>
              <a:ext cx="965696" cy="980962"/>
            </a:xfrm>
            <a:prstGeom prst="flowChartMagneticDisk">
              <a:avLst/>
            </a:prstGeom>
            <a:ln w="12700">
              <a:headEnd type="none" w="med" len="med"/>
              <a:tailEnd type="none" w="med" len="med"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rot="0" spcFirstLastPara="0" vert="horz" wrap="square" lIns="36000" tIns="36000" rIns="36000" bIns="3600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22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indent="0" algn="ctr" defTabSz="914400" rtl="0" eaLnBrk="1" fontAlgn="base" latinLnBrk="0" hangingPunct="1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</a:pPr>
              <a:r>
                <a:rPr kumimoji="0" lang="ja-JP" altLang="en-US" sz="1200" b="0" i="0" u="none" strike="noStrike" cap="none" normalizeH="0" baseline="0">
                  <a:ln w="12700" cmpd="sng">
                    <a:noFill/>
                  </a:ln>
                  <a:solidFill>
                    <a:srgbClr val="191919"/>
                  </a:solidFill>
                  <a:effectLst/>
                  <a:latin typeface="Meiryo UI" panose="020B0604030504040204" pitchFamily="34" charset="-128"/>
                  <a:ea typeface="Meiryo UI" panose="020B0604030504040204" pitchFamily="34" charset="-128"/>
                </a:rPr>
                <a:t>臨時納入</a:t>
              </a:r>
              <a:endParaRPr kumimoji="0" lang="en-US" altLang="ja-JP" sz="1200" b="0" i="0" u="none" strike="noStrike" cap="none" normalizeH="0" baseline="0">
                <a:ln w="12700" cmpd="sng">
                  <a:noFill/>
                </a:ln>
                <a:solidFill>
                  <a:srgbClr val="191919"/>
                </a:solidFill>
                <a:effectLst/>
                <a:latin typeface="Meiryo UI" panose="020B0604030504040204" pitchFamily="34" charset="-128"/>
                <a:ea typeface="Meiryo UI" panose="020B0604030504040204" pitchFamily="34" charset="-128"/>
              </a:endParaRPr>
            </a:p>
            <a:p>
              <a:pPr marL="0" marR="0" indent="0" algn="ctr" defTabSz="914400" rtl="0" eaLnBrk="1" fontAlgn="base" latinLnBrk="0" hangingPunct="1">
                <a:lnSpc>
                  <a:spcPct val="9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</a:pPr>
              <a:r>
                <a:rPr kumimoji="0" lang="ja-JP" altLang="en-US" sz="1200" b="0" i="0" u="none" strike="noStrike" cap="none" normalizeH="0" baseline="0">
                  <a:ln w="12700" cmpd="sng">
                    <a:noFill/>
                  </a:ln>
                  <a:solidFill>
                    <a:srgbClr val="191919"/>
                  </a:solidFill>
                  <a:effectLst/>
                  <a:latin typeface="Meiryo UI" panose="020B0604030504040204" pitchFamily="34" charset="-128"/>
                  <a:ea typeface="Meiryo UI" panose="020B0604030504040204" pitchFamily="34" charset="-128"/>
                </a:rPr>
                <a:t>計画データ</a:t>
              </a:r>
            </a:p>
          </xdr:txBody>
        </xdr:sp>
        <xdr:cxnSp macro="">
          <xdr:nvCxnSpPr>
            <xdr:cNvPr id="48" name="直線コネクタ 47">
              <a:extLst>
                <a:ext uri="{FF2B5EF4-FFF2-40B4-BE49-F238E27FC236}">
                  <a16:creationId xmlns:a16="http://schemas.microsoft.com/office/drawing/2014/main" id="{7A036059-C553-C13C-AA3C-F8120A77573D}"/>
                </a:ext>
              </a:extLst>
            </xdr:cNvPr>
            <xdr:cNvCxnSpPr>
              <a:cxnSpLocks/>
              <a:stCxn id="47" idx="3"/>
            </xdr:cNvCxnSpPr>
          </xdr:nvCxnSpPr>
          <xdr:spPr bwMode="auto">
            <a:xfrm flipH="1">
              <a:off x="8095903" y="2769778"/>
              <a:ext cx="10948" cy="230156"/>
            </a:xfrm>
            <a:prstGeom prst="line">
              <a:avLst/>
            </a:prstGeom>
            <a:ln w="12700">
              <a:solidFill>
                <a:schemeClr val="tx1"/>
              </a:solidFill>
              <a:headEnd type="none" w="med" len="med"/>
              <a:tailEnd type="none" w="med" len="me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9" name="直線コネクタ 48">
              <a:extLst>
                <a:ext uri="{FF2B5EF4-FFF2-40B4-BE49-F238E27FC236}">
                  <a16:creationId xmlns:a16="http://schemas.microsoft.com/office/drawing/2014/main" id="{31AC9F91-4772-E9C0-E80F-798B20E6554D}"/>
                </a:ext>
              </a:extLst>
            </xdr:cNvPr>
            <xdr:cNvCxnSpPr>
              <a:cxnSpLocks/>
              <a:stCxn id="44" idx="3"/>
            </xdr:cNvCxnSpPr>
          </xdr:nvCxnSpPr>
          <xdr:spPr bwMode="auto">
            <a:xfrm flipH="1">
              <a:off x="5359128" y="2769778"/>
              <a:ext cx="1" cy="230154"/>
            </a:xfrm>
            <a:prstGeom prst="line">
              <a:avLst/>
            </a:prstGeom>
            <a:ln w="12700">
              <a:solidFill>
                <a:schemeClr val="tx1"/>
              </a:solidFill>
              <a:headEnd type="none" w="med" len="med"/>
              <a:tailEnd type="none" w="med" len="me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0" name="直線コネクタ 49">
              <a:extLst>
                <a:ext uri="{FF2B5EF4-FFF2-40B4-BE49-F238E27FC236}">
                  <a16:creationId xmlns:a16="http://schemas.microsoft.com/office/drawing/2014/main" id="{E614E70F-2CE2-315B-B6E3-A8033AD6A927}"/>
                </a:ext>
              </a:extLst>
            </xdr:cNvPr>
            <xdr:cNvCxnSpPr>
              <a:cxnSpLocks/>
              <a:stCxn id="45" idx="3"/>
            </xdr:cNvCxnSpPr>
          </xdr:nvCxnSpPr>
          <xdr:spPr bwMode="auto">
            <a:xfrm flipH="1">
              <a:off x="2669102" y="2769778"/>
              <a:ext cx="1" cy="230154"/>
            </a:xfrm>
            <a:prstGeom prst="line">
              <a:avLst/>
            </a:prstGeom>
            <a:ln w="12700">
              <a:solidFill>
                <a:schemeClr val="tx1"/>
              </a:solidFill>
              <a:headEnd type="none" w="med" len="med"/>
              <a:tailEnd type="none" w="med" len="me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1" name="直線コネクタ 50">
              <a:extLst>
                <a:ext uri="{FF2B5EF4-FFF2-40B4-BE49-F238E27FC236}">
                  <a16:creationId xmlns:a16="http://schemas.microsoft.com/office/drawing/2014/main" id="{076C2673-A1F1-E266-F697-5ED40B99DE96}"/>
                </a:ext>
              </a:extLst>
            </xdr:cNvPr>
            <xdr:cNvCxnSpPr>
              <a:cxnSpLocks/>
              <a:stCxn id="46" idx="3"/>
            </xdr:cNvCxnSpPr>
          </xdr:nvCxnSpPr>
          <xdr:spPr bwMode="auto">
            <a:xfrm flipH="1">
              <a:off x="6669246" y="2769778"/>
              <a:ext cx="10904" cy="230154"/>
            </a:xfrm>
            <a:prstGeom prst="line">
              <a:avLst/>
            </a:prstGeom>
            <a:ln w="12700">
              <a:solidFill>
                <a:schemeClr val="tx1"/>
              </a:solidFill>
              <a:headEnd type="none" w="med" len="med"/>
              <a:tailEnd type="none" w="med" len="me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2" name="コネクタ: カギ線 51">
              <a:extLst>
                <a:ext uri="{FF2B5EF4-FFF2-40B4-BE49-F238E27FC236}">
                  <a16:creationId xmlns:a16="http://schemas.microsoft.com/office/drawing/2014/main" id="{A163404A-D08A-0D78-82ED-657F9B44A467}"/>
                </a:ext>
              </a:extLst>
            </xdr:cNvPr>
            <xdr:cNvCxnSpPr>
              <a:cxnSpLocks/>
              <a:stCxn id="26" idx="1"/>
            </xdr:cNvCxnSpPr>
          </xdr:nvCxnSpPr>
          <xdr:spPr bwMode="auto">
            <a:xfrm rot="5400000" flipH="1" flipV="1">
              <a:off x="4543663" y="4046259"/>
              <a:ext cx="238446" cy="1516794"/>
            </a:xfrm>
            <a:prstGeom prst="bentConnector2">
              <a:avLst/>
            </a:prstGeom>
            <a:ln w="12700">
              <a:solidFill>
                <a:schemeClr val="tx1"/>
              </a:solidFill>
              <a:headEnd type="triangle" w="med" len="med"/>
              <a:tailEnd type="none" w="med" len="me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3" name="直線コネクタ 52">
              <a:extLst>
                <a:ext uri="{FF2B5EF4-FFF2-40B4-BE49-F238E27FC236}">
                  <a16:creationId xmlns:a16="http://schemas.microsoft.com/office/drawing/2014/main" id="{8D1930B7-AF2F-DF5F-9F7B-7C6824292AB3}"/>
                </a:ext>
              </a:extLst>
            </xdr:cNvPr>
            <xdr:cNvCxnSpPr>
              <a:cxnSpLocks/>
              <a:endCxn id="42" idx="0"/>
            </xdr:cNvCxnSpPr>
          </xdr:nvCxnSpPr>
          <xdr:spPr bwMode="auto">
            <a:xfrm>
              <a:off x="2475449" y="3771471"/>
              <a:ext cx="17658" cy="492982"/>
            </a:xfrm>
            <a:prstGeom prst="line">
              <a:avLst/>
            </a:prstGeom>
            <a:ln w="12700">
              <a:solidFill>
                <a:schemeClr val="tx1"/>
              </a:solidFill>
              <a:headEnd type="none" w="med" len="med"/>
              <a:tailEnd type="triangle" w="med" len="me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4" name="直線矢印コネクタ 53">
              <a:extLst>
                <a:ext uri="{FF2B5EF4-FFF2-40B4-BE49-F238E27FC236}">
                  <a16:creationId xmlns:a16="http://schemas.microsoft.com/office/drawing/2014/main" id="{99D0AA26-1E46-191C-EFD0-B9E89308D0A7}"/>
                </a:ext>
              </a:extLst>
            </xdr:cNvPr>
            <xdr:cNvCxnSpPr>
              <a:cxnSpLocks/>
              <a:endCxn id="27" idx="1"/>
            </xdr:cNvCxnSpPr>
          </xdr:nvCxnSpPr>
          <xdr:spPr bwMode="auto">
            <a:xfrm>
              <a:off x="5404906" y="4685432"/>
              <a:ext cx="1" cy="238446"/>
            </a:xfrm>
            <a:prstGeom prst="straightConnector1">
              <a:avLst/>
            </a:prstGeom>
            <a:ln w="12700">
              <a:solidFill>
                <a:schemeClr val="tx1"/>
              </a:solidFill>
              <a:headEnd type="none" w="med" len="med"/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sp macro="" textlink="">
        <xdr:nvSpPr>
          <xdr:cNvPr id="26" name="フローチャート: 磁気ディスク 25">
            <a:extLst>
              <a:ext uri="{FF2B5EF4-FFF2-40B4-BE49-F238E27FC236}">
                <a16:creationId xmlns:a16="http://schemas.microsoft.com/office/drawing/2014/main" id="{F6F76B68-B42E-BC29-6DBD-5769CEBB8E5C}"/>
              </a:ext>
            </a:extLst>
          </xdr:cNvPr>
          <xdr:cNvSpPr/>
        </xdr:nvSpPr>
        <xdr:spPr bwMode="auto">
          <a:xfrm>
            <a:off x="4485510" y="4862881"/>
            <a:ext cx="965696" cy="980962"/>
          </a:xfrm>
          <a:prstGeom prst="flowChartMagneticDisk">
            <a:avLst/>
          </a:prstGeom>
          <a:ln w="12700">
            <a:headEnd type="none" w="med" len="med"/>
            <a:tailEnd type="none" w="med" len="med"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ot="0" spcFirstLastPara="0" vert="horz" wrap="square" lIns="36000" tIns="36000" rIns="36000" bIns="3600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9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r>
              <a:rPr kumimoji="0" lang="ja-JP" altLang="en-US" sz="1200" b="0" i="0" u="none" strike="noStrike" cap="none" normalizeH="0" baseline="0">
                <a:ln w="12700" cmpd="sng">
                  <a:noFill/>
                </a:ln>
                <a:solidFill>
                  <a:srgbClr val="191919"/>
                </a:solidFill>
                <a:effectLst/>
                <a:latin typeface="Meiryo UI" panose="020B0604030504040204" pitchFamily="34" charset="-128"/>
                <a:ea typeface="Meiryo UI" panose="020B0604030504040204" pitchFamily="34" charset="-128"/>
              </a:rPr>
              <a:t>押込</a:t>
            </a:r>
            <a:r>
              <a:rPr kumimoji="0" lang="en-US" altLang="ja-JP" sz="1200" b="0" i="0" u="none" strike="noStrike" cap="none" normalizeH="0" baseline="0">
                <a:ln w="12700" cmpd="sng">
                  <a:noFill/>
                </a:ln>
                <a:solidFill>
                  <a:srgbClr val="191919"/>
                </a:solidFill>
                <a:effectLst/>
                <a:latin typeface="Meiryo UI" panose="020B0604030504040204" pitchFamily="34" charset="-128"/>
                <a:ea typeface="Meiryo UI" panose="020B0604030504040204" pitchFamily="34" charset="-128"/>
              </a:rPr>
              <a:t>/</a:t>
            </a:r>
            <a:r>
              <a:rPr kumimoji="0" lang="ja-JP" altLang="en-US" sz="1200" b="0" i="0" u="none" strike="noStrike" cap="none" normalizeH="0" baseline="0">
                <a:ln w="12700" cmpd="sng">
                  <a:noFill/>
                </a:ln>
                <a:solidFill>
                  <a:srgbClr val="191919"/>
                </a:solidFill>
                <a:effectLst/>
                <a:latin typeface="Meiryo UI" panose="020B0604030504040204" pitchFamily="34" charset="-128"/>
                <a:ea typeface="Meiryo UI" panose="020B0604030504040204" pitchFamily="34" charset="-128"/>
              </a:rPr>
              <a:t>短納期</a:t>
            </a:r>
            <a:endParaRPr kumimoji="0" lang="en-US" altLang="ja-JP" sz="1200" b="0" i="0" u="none" strike="noStrike" cap="none" normalizeH="0" baseline="0">
              <a:ln w="12700" cmpd="sng">
                <a:noFill/>
              </a:ln>
              <a:solidFill>
                <a:srgbClr val="191919"/>
              </a:solidFill>
              <a:effectLst/>
              <a:latin typeface="Meiryo UI" panose="020B0604030504040204" pitchFamily="34" charset="-128"/>
              <a:ea typeface="Meiryo UI" panose="020B0604030504040204" pitchFamily="34" charset="-128"/>
            </a:endParaRPr>
          </a:p>
          <a:p>
            <a:pPr marL="0" marR="0" indent="0" algn="ctr" defTabSz="914400" rtl="0" eaLnBrk="1" fontAlgn="base" latinLnBrk="0" hangingPunct="1">
              <a:lnSpc>
                <a:spcPct val="9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r>
              <a:rPr lang="ja-JP" altLang="en-US" sz="1200">
                <a:ln w="12700" cmpd="sng">
                  <a:noFill/>
                </a:ln>
                <a:solidFill>
                  <a:srgbClr val="191919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データ</a:t>
            </a:r>
            <a:r>
              <a:rPr lang="en-US" altLang="ja-JP" sz="1200">
                <a:ln w="12700" cmpd="sng">
                  <a:noFill/>
                </a:ln>
                <a:solidFill>
                  <a:srgbClr val="191919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(</a:t>
            </a:r>
            <a:r>
              <a:rPr lang="ja-JP" altLang="en-US" sz="1200">
                <a:ln w="12700" cmpd="sng">
                  <a:noFill/>
                </a:ln>
                <a:solidFill>
                  <a:srgbClr val="191919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年次</a:t>
            </a:r>
            <a:r>
              <a:rPr lang="en-US" altLang="ja-JP" sz="1200">
                <a:ln w="12700" cmpd="sng">
                  <a:noFill/>
                </a:ln>
                <a:solidFill>
                  <a:srgbClr val="191919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)</a:t>
            </a:r>
            <a:endParaRPr kumimoji="0" lang="ja-JP" altLang="en-US" sz="1200" b="0" i="0" u="none" strike="noStrike" cap="none" normalizeH="0" baseline="0">
              <a:ln w="12700" cmpd="sng">
                <a:noFill/>
              </a:ln>
              <a:solidFill>
                <a:srgbClr val="191919"/>
              </a:solidFill>
              <a:effectLst/>
              <a:latin typeface="Meiryo UI" panose="020B0604030504040204" pitchFamily="34" charset="-128"/>
              <a:ea typeface="Meiryo UI" panose="020B0604030504040204" pitchFamily="34" charset="-128"/>
            </a:endParaRPr>
          </a:p>
        </xdr:txBody>
      </xdr:sp>
      <xdr:sp macro="" textlink="">
        <xdr:nvSpPr>
          <xdr:cNvPr id="27" name="フローチャート: 磁気ディスク 26">
            <a:extLst>
              <a:ext uri="{FF2B5EF4-FFF2-40B4-BE49-F238E27FC236}">
                <a16:creationId xmlns:a16="http://schemas.microsoft.com/office/drawing/2014/main" id="{3239F234-5C75-28A3-2E17-6CD9EBC5CCCC}"/>
              </a:ext>
            </a:extLst>
          </xdr:cNvPr>
          <xdr:cNvSpPr/>
        </xdr:nvSpPr>
        <xdr:spPr bwMode="auto">
          <a:xfrm>
            <a:off x="5985927" y="4862881"/>
            <a:ext cx="965696" cy="980962"/>
          </a:xfrm>
          <a:prstGeom prst="flowChartMagneticDisk">
            <a:avLst/>
          </a:prstGeom>
          <a:ln w="12700">
            <a:headEnd type="none" w="med" len="med"/>
            <a:tailEnd type="none" w="med" len="med"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ot="0" spcFirstLastPara="0" vert="horz" wrap="square" lIns="36000" tIns="36000" rIns="36000" bIns="3600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9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r>
              <a:rPr kumimoji="0" lang="ja-JP" altLang="en-US" sz="1200" b="0" i="0" u="none" strike="noStrike" cap="none" normalizeH="0" baseline="0">
                <a:ln w="12700" cmpd="sng">
                  <a:noFill/>
                </a:ln>
                <a:solidFill>
                  <a:srgbClr val="191919"/>
                </a:solidFill>
                <a:effectLst/>
                <a:latin typeface="Meiryo UI" panose="020B0604030504040204" pitchFamily="34" charset="-128"/>
                <a:ea typeface="Meiryo UI" panose="020B0604030504040204" pitchFamily="34" charset="-128"/>
              </a:rPr>
              <a:t>納入遵守</a:t>
            </a:r>
            <a:endParaRPr kumimoji="0" lang="en-US" altLang="ja-JP" sz="1200" b="0" i="0" u="none" strike="noStrike" cap="none" normalizeH="0" baseline="0">
              <a:ln w="12700" cmpd="sng">
                <a:noFill/>
              </a:ln>
              <a:solidFill>
                <a:srgbClr val="191919"/>
              </a:solidFill>
              <a:effectLst/>
              <a:latin typeface="Meiryo UI" panose="020B0604030504040204" pitchFamily="34" charset="-128"/>
              <a:ea typeface="Meiryo UI" panose="020B0604030504040204" pitchFamily="34" charset="-128"/>
            </a:endParaRPr>
          </a:p>
          <a:p>
            <a:pPr marL="0" marR="0" indent="0" algn="ctr" defTabSz="914400" rtl="0" eaLnBrk="1" fontAlgn="base" latinLnBrk="0" hangingPunct="1">
              <a:lnSpc>
                <a:spcPct val="9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r>
              <a:rPr kumimoji="0" lang="ja-JP" altLang="en-US" sz="1200" b="0" i="0" u="none" strike="noStrike" cap="none" normalizeH="0" baseline="0">
                <a:ln w="12700" cmpd="sng">
                  <a:noFill/>
                </a:ln>
                <a:solidFill>
                  <a:srgbClr val="191919"/>
                </a:solidFill>
                <a:effectLst/>
                <a:latin typeface="Meiryo UI" panose="020B0604030504040204" pitchFamily="34" charset="-128"/>
                <a:ea typeface="Meiryo UI" panose="020B0604030504040204" pitchFamily="34" charset="-128"/>
              </a:rPr>
              <a:t>データ</a:t>
            </a:r>
            <a:r>
              <a:rPr kumimoji="0" lang="en-US" altLang="ja-JP" sz="1200" b="0" i="0" u="none" strike="noStrike" cap="none" normalizeH="0" baseline="0">
                <a:ln w="12700" cmpd="sng">
                  <a:noFill/>
                </a:ln>
                <a:solidFill>
                  <a:srgbClr val="191919"/>
                </a:solidFill>
                <a:effectLst/>
                <a:latin typeface="Meiryo UI" panose="020B0604030504040204" pitchFamily="34" charset="-128"/>
                <a:ea typeface="Meiryo UI" panose="020B0604030504040204" pitchFamily="34" charset="-128"/>
              </a:rPr>
              <a:t>(</a:t>
            </a:r>
            <a:r>
              <a:rPr kumimoji="0" lang="ja-JP" altLang="en-US" sz="1200" b="0" i="0" u="none" strike="noStrike" cap="none" normalizeH="0" baseline="0">
                <a:ln w="12700" cmpd="sng">
                  <a:noFill/>
                </a:ln>
                <a:solidFill>
                  <a:srgbClr val="191919"/>
                </a:solidFill>
                <a:effectLst/>
                <a:latin typeface="Meiryo UI" panose="020B0604030504040204" pitchFamily="34" charset="-128"/>
                <a:ea typeface="Meiryo UI" panose="020B0604030504040204" pitchFamily="34" charset="-128"/>
              </a:rPr>
              <a:t>年次</a:t>
            </a:r>
            <a:r>
              <a:rPr kumimoji="0" lang="en-US" altLang="ja-JP" sz="1200" b="0" i="0" u="none" strike="noStrike" cap="none" normalizeH="0" baseline="0">
                <a:ln w="12700" cmpd="sng">
                  <a:noFill/>
                </a:ln>
                <a:solidFill>
                  <a:srgbClr val="191919"/>
                </a:solidFill>
                <a:effectLst/>
                <a:latin typeface="Meiryo UI" panose="020B0604030504040204" pitchFamily="34" charset="-128"/>
                <a:ea typeface="Meiryo UI" panose="020B0604030504040204" pitchFamily="34" charset="-128"/>
              </a:rPr>
              <a:t>)</a:t>
            </a:r>
            <a:endParaRPr kumimoji="0" lang="ja-JP" altLang="en-US" sz="1200" b="0" i="0" u="none" strike="noStrike" cap="none" normalizeH="0" baseline="0">
              <a:ln w="12700" cmpd="sng">
                <a:noFill/>
              </a:ln>
              <a:solidFill>
                <a:srgbClr val="191919"/>
              </a:solidFill>
              <a:effectLst/>
              <a:latin typeface="Meiryo UI" panose="020B0604030504040204" pitchFamily="34" charset="-128"/>
              <a:ea typeface="Meiryo UI" panose="020B0604030504040204" pitchFamily="34" charset="-128"/>
            </a:endParaRPr>
          </a:p>
        </xdr:txBody>
      </xdr:sp>
      <xdr:cxnSp macro="">
        <xdr:nvCxnSpPr>
          <xdr:cNvPr id="28" name="直線コネクタ 27">
            <a:extLst>
              <a:ext uri="{FF2B5EF4-FFF2-40B4-BE49-F238E27FC236}">
                <a16:creationId xmlns:a16="http://schemas.microsoft.com/office/drawing/2014/main" id="{CD068522-914A-7197-0CAB-9D797A6D46C9}"/>
              </a:ext>
            </a:extLst>
          </xdr:cNvPr>
          <xdr:cNvCxnSpPr>
            <a:cxnSpLocks/>
            <a:stCxn id="34" idx="3"/>
          </xdr:cNvCxnSpPr>
        </xdr:nvCxnSpPr>
        <xdr:spPr bwMode="auto">
          <a:xfrm>
            <a:off x="5734943" y="4207059"/>
            <a:ext cx="0" cy="425666"/>
          </a:xfrm>
          <a:prstGeom prst="line">
            <a:avLst/>
          </a:prstGeom>
          <a:ln w="12700">
            <a:solidFill>
              <a:schemeClr val="tx1"/>
            </a:solidFill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" name="直線矢印コネクタ 28">
            <a:extLst>
              <a:ext uri="{FF2B5EF4-FFF2-40B4-BE49-F238E27FC236}">
                <a16:creationId xmlns:a16="http://schemas.microsoft.com/office/drawing/2014/main" id="{DAC1CF4D-D19E-68AD-1828-0F249ADF83A9}"/>
              </a:ext>
            </a:extLst>
          </xdr:cNvPr>
          <xdr:cNvCxnSpPr>
            <a:cxnSpLocks/>
            <a:stCxn id="26" idx="3"/>
            <a:endCxn id="40" idx="0"/>
          </xdr:cNvCxnSpPr>
        </xdr:nvCxnSpPr>
        <xdr:spPr bwMode="auto">
          <a:xfrm flipH="1">
            <a:off x="4966362" y="5843843"/>
            <a:ext cx="1996" cy="163840"/>
          </a:xfrm>
          <a:prstGeom prst="straightConnector1">
            <a:avLst/>
          </a:prstGeom>
          <a:ln w="12700">
            <a:solidFill>
              <a:schemeClr val="tx1"/>
            </a:solidFill>
            <a:headEnd type="none" w="med" len="med"/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" name="直線矢印コネクタ 29">
            <a:extLst>
              <a:ext uri="{FF2B5EF4-FFF2-40B4-BE49-F238E27FC236}">
                <a16:creationId xmlns:a16="http://schemas.microsoft.com/office/drawing/2014/main" id="{39F4854A-4FE9-7879-D659-1781801DA067}"/>
              </a:ext>
            </a:extLst>
          </xdr:cNvPr>
          <xdr:cNvCxnSpPr>
            <a:cxnSpLocks/>
            <a:stCxn id="27" idx="3"/>
            <a:endCxn id="43" idx="0"/>
          </xdr:cNvCxnSpPr>
        </xdr:nvCxnSpPr>
        <xdr:spPr bwMode="auto">
          <a:xfrm flipH="1">
            <a:off x="6461949" y="5843843"/>
            <a:ext cx="6827" cy="163840"/>
          </a:xfrm>
          <a:prstGeom prst="straightConnector1">
            <a:avLst/>
          </a:prstGeom>
          <a:ln w="12700">
            <a:solidFill>
              <a:schemeClr val="tx1"/>
            </a:solidFill>
            <a:headEnd type="none" w="med" len="med"/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" name="コネクタ: カギ線 30">
            <a:extLst>
              <a:ext uri="{FF2B5EF4-FFF2-40B4-BE49-F238E27FC236}">
                <a16:creationId xmlns:a16="http://schemas.microsoft.com/office/drawing/2014/main" id="{4A35A6D1-49F5-48E3-4BBC-C7451F40ECFB}"/>
              </a:ext>
            </a:extLst>
          </xdr:cNvPr>
          <xdr:cNvCxnSpPr>
            <a:cxnSpLocks/>
            <a:stCxn id="34" idx="2"/>
            <a:endCxn id="41" idx="0"/>
          </xdr:cNvCxnSpPr>
        </xdr:nvCxnSpPr>
        <xdr:spPr bwMode="auto">
          <a:xfrm rot="10800000" flipV="1">
            <a:off x="1943472" y="3716578"/>
            <a:ext cx="3308623" cy="486877"/>
          </a:xfrm>
          <a:prstGeom prst="bentConnector2">
            <a:avLst/>
          </a:prstGeom>
          <a:ln w="12700">
            <a:solidFill>
              <a:schemeClr val="tx1"/>
            </a:solidFill>
            <a:headEnd type="none" w="med" len="med"/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264692</xdr:colOff>
      <xdr:row>28</xdr:row>
      <xdr:rowOff>94463</xdr:rowOff>
    </xdr:from>
    <xdr:to>
      <xdr:col>20</xdr:col>
      <xdr:colOff>388999</xdr:colOff>
      <xdr:row>31</xdr:row>
      <xdr:rowOff>6573</xdr:rowOff>
    </xdr:to>
    <xdr:sp macro="" textlink="">
      <xdr:nvSpPr>
        <xdr:cNvPr id="23" name="吹き出し: 線 22">
          <a:extLst>
            <a:ext uri="{FF2B5EF4-FFF2-40B4-BE49-F238E27FC236}">
              <a16:creationId xmlns:a16="http://schemas.microsoft.com/office/drawing/2014/main" id="{500B7F0D-0B87-B2A2-BD1C-27887FE748AE}"/>
            </a:ext>
          </a:extLst>
        </xdr:cNvPr>
        <xdr:cNvSpPr/>
      </xdr:nvSpPr>
      <xdr:spPr bwMode="auto">
        <a:xfrm>
          <a:off x="6836942" y="10505288"/>
          <a:ext cx="1438757" cy="483610"/>
        </a:xfrm>
        <a:prstGeom prst="borderCallout1">
          <a:avLst>
            <a:gd name="adj1" fmla="val 81753"/>
            <a:gd name="adj2" fmla="val -1978"/>
            <a:gd name="adj3" fmla="val 57490"/>
            <a:gd name="adj4" fmla="val -26839"/>
          </a:avLst>
        </a:prstGeom>
        <a:solidFill>
          <a:schemeClr val="accent5">
            <a:lumMod val="20000"/>
            <a:lumOff val="80000"/>
          </a:schemeClr>
        </a:solidFill>
        <a:ln w="12700">
          <a:headEnd type="none" w="med" len="med"/>
          <a:tailEnd type="oval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36000" tIns="36000" rIns="36000" bIns="3600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sz="22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2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2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2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2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22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22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22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22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r>
            <a:rPr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ic_dir_obey_year</a:t>
          </a:r>
        </a:p>
      </xdr:txBody>
    </xdr:sp>
    <xdr:clientData/>
  </xdr:twoCellAnchor>
  <xdr:twoCellAnchor>
    <xdr:from>
      <xdr:col>19</xdr:col>
      <xdr:colOff>79411</xdr:colOff>
      <xdr:row>32</xdr:row>
      <xdr:rowOff>159338</xdr:rowOff>
    </xdr:from>
    <xdr:to>
      <xdr:col>20</xdr:col>
      <xdr:colOff>444440</xdr:colOff>
      <xdr:row>35</xdr:row>
      <xdr:rowOff>160524</xdr:rowOff>
    </xdr:to>
    <xdr:sp macro="" textlink="">
      <xdr:nvSpPr>
        <xdr:cNvPr id="24" name="吹き出し: 線 23">
          <a:extLst>
            <a:ext uri="{FF2B5EF4-FFF2-40B4-BE49-F238E27FC236}">
              <a16:creationId xmlns:a16="http://schemas.microsoft.com/office/drawing/2014/main" id="{41D5CA91-7F52-D259-CA96-FE1F12C97E81}"/>
            </a:ext>
          </a:extLst>
        </xdr:cNvPr>
        <xdr:cNvSpPr/>
      </xdr:nvSpPr>
      <xdr:spPr bwMode="auto">
        <a:xfrm>
          <a:off x="7308886" y="11332163"/>
          <a:ext cx="1022254" cy="572686"/>
        </a:xfrm>
        <a:prstGeom prst="borderCallout1">
          <a:avLst>
            <a:gd name="adj1" fmla="val 59857"/>
            <a:gd name="adj2" fmla="val -1368"/>
            <a:gd name="adj3" fmla="val 36563"/>
            <a:gd name="adj4" fmla="val -64789"/>
          </a:avLst>
        </a:prstGeom>
        <a:solidFill>
          <a:schemeClr val="accent6">
            <a:lumMod val="20000"/>
            <a:lumOff val="80000"/>
          </a:schemeClr>
        </a:solidFill>
        <a:ln w="12700">
          <a:headEnd type="none" w="med" len="med"/>
          <a:tailEnd type="oval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36000" tIns="36000" rIns="36000" bIns="3600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sz="22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2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2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2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2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22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22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22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22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r>
            <a:rPr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G-Pro</a:t>
          </a:r>
          <a:r>
            <a:rPr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へ</a:t>
          </a:r>
          <a:r>
            <a:rPr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IF</a:t>
          </a:r>
          <a:endParaRPr kumimoji="0" lang="ja-JP" altLang="en-US" sz="1200" b="0" i="0" u="none" strike="noStrike" cap="none" normalizeH="0" baseline="0">
            <a:ln w="12700" cmpd="sng">
              <a:noFill/>
            </a:ln>
            <a:solidFill>
              <a:srgbClr val="191919"/>
            </a:solidFill>
            <a:effectLst/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23</xdr:col>
      <xdr:colOff>444500</xdr:colOff>
      <xdr:row>12</xdr:row>
      <xdr:rowOff>19050</xdr:rowOff>
    </xdr:from>
    <xdr:to>
      <xdr:col>25</xdr:col>
      <xdr:colOff>105271</xdr:colOff>
      <xdr:row>24</xdr:row>
      <xdr:rowOff>64246</xdr:rowOff>
    </xdr:to>
    <xdr:grpSp>
      <xdr:nvGrpSpPr>
        <xdr:cNvPr id="55" name="グループ化 54">
          <a:extLst>
            <a:ext uri="{FF2B5EF4-FFF2-40B4-BE49-F238E27FC236}">
              <a16:creationId xmlns:a16="http://schemas.microsoft.com/office/drawing/2014/main" id="{1CAF64F7-3A3A-617D-010F-E07228040510}"/>
            </a:ext>
          </a:extLst>
        </xdr:cNvPr>
        <xdr:cNvGrpSpPr/>
      </xdr:nvGrpSpPr>
      <xdr:grpSpPr>
        <a:xfrm>
          <a:off x="15560675" y="2752725"/>
          <a:ext cx="975221" cy="2445496"/>
          <a:chOff x="3018848" y="1581935"/>
          <a:chExt cx="965696" cy="2337546"/>
        </a:xfrm>
      </xdr:grpSpPr>
      <xdr:sp macro="" textlink="">
        <xdr:nvSpPr>
          <xdr:cNvPr id="56" name="フローチャート: 磁気ディスク 55">
            <a:extLst>
              <a:ext uri="{FF2B5EF4-FFF2-40B4-BE49-F238E27FC236}">
                <a16:creationId xmlns:a16="http://schemas.microsoft.com/office/drawing/2014/main" id="{E41B5B4B-7051-21AD-C8AA-32F08C9A3C6C}"/>
              </a:ext>
            </a:extLst>
          </xdr:cNvPr>
          <xdr:cNvSpPr/>
        </xdr:nvSpPr>
        <xdr:spPr bwMode="auto">
          <a:xfrm>
            <a:off x="3018848" y="1581935"/>
            <a:ext cx="965696" cy="980962"/>
          </a:xfrm>
          <a:prstGeom prst="flowChartMagneticDisk">
            <a:avLst/>
          </a:prstGeom>
          <a:ln w="12700">
            <a:headEnd type="none" w="med" len="med"/>
            <a:tailEnd type="none" w="med" len="med"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ot="0" spcFirstLastPara="0" vert="horz" wrap="square" lIns="36000" tIns="36000" rIns="36000" bIns="3600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9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r>
              <a:rPr kumimoji="0" lang="ja-JP" altLang="en-US" sz="1200" b="0" i="0" u="none" strike="noStrike" cap="none" normalizeH="0" baseline="0">
                <a:ln w="12700" cmpd="sng">
                  <a:noFill/>
                </a:ln>
                <a:solidFill>
                  <a:srgbClr val="191919"/>
                </a:solidFill>
                <a:effectLst/>
                <a:latin typeface="Meiryo UI" panose="020B0604030504040204" pitchFamily="34" charset="-128"/>
                <a:ea typeface="Meiryo UI" panose="020B0604030504040204" pitchFamily="34" charset="-128"/>
              </a:rPr>
              <a:t>納入予実績</a:t>
            </a:r>
            <a:endParaRPr kumimoji="0" lang="en-US" altLang="ja-JP" sz="1200" b="0" i="0" u="none" strike="noStrike" cap="none" normalizeH="0" baseline="0">
              <a:ln w="12700" cmpd="sng">
                <a:noFill/>
              </a:ln>
              <a:solidFill>
                <a:srgbClr val="191919"/>
              </a:solidFill>
              <a:effectLst/>
              <a:latin typeface="Meiryo UI" panose="020B0604030504040204" pitchFamily="34" charset="-128"/>
              <a:ea typeface="Meiryo UI" panose="020B0604030504040204" pitchFamily="34" charset="-128"/>
            </a:endParaRPr>
          </a:p>
          <a:p>
            <a:pPr marL="0" marR="0" indent="0" algn="ctr" defTabSz="914400" rtl="0" eaLnBrk="1" fontAlgn="base" latinLnBrk="0" hangingPunct="1">
              <a:lnSpc>
                <a:spcPct val="9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r>
              <a:rPr lang="ja-JP" altLang="en-US" sz="1200">
                <a:ln w="12700" cmpd="sng">
                  <a:noFill/>
                </a:ln>
                <a:solidFill>
                  <a:srgbClr val="191919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（日次）</a:t>
            </a:r>
            <a:endParaRPr kumimoji="0" lang="ja-JP" altLang="en-US" sz="1200" b="0" i="0" u="none" strike="noStrike" cap="none" normalizeH="0" baseline="0">
              <a:ln w="12700" cmpd="sng">
                <a:noFill/>
              </a:ln>
              <a:solidFill>
                <a:srgbClr val="191919"/>
              </a:solidFill>
              <a:effectLst/>
              <a:latin typeface="Meiryo UI" panose="020B0604030504040204" pitchFamily="34" charset="-128"/>
              <a:ea typeface="Meiryo UI" panose="020B0604030504040204" pitchFamily="34" charset="-128"/>
            </a:endParaRPr>
          </a:p>
        </xdr:txBody>
      </xdr:sp>
      <xdr:sp macro="" textlink="">
        <xdr:nvSpPr>
          <xdr:cNvPr id="57" name="フローチャート: 磁気ディスク 56">
            <a:extLst>
              <a:ext uri="{FF2B5EF4-FFF2-40B4-BE49-F238E27FC236}">
                <a16:creationId xmlns:a16="http://schemas.microsoft.com/office/drawing/2014/main" id="{F2E8AD7F-E82A-3C70-309A-0CE1184ABDE9}"/>
              </a:ext>
            </a:extLst>
          </xdr:cNvPr>
          <xdr:cNvSpPr/>
        </xdr:nvSpPr>
        <xdr:spPr bwMode="auto">
          <a:xfrm>
            <a:off x="3018848" y="2938519"/>
            <a:ext cx="965696" cy="980962"/>
          </a:xfrm>
          <a:prstGeom prst="flowChartMagneticDisk">
            <a:avLst/>
          </a:prstGeom>
          <a:ln w="12700">
            <a:headEnd type="none" w="med" len="med"/>
            <a:tailEnd type="none" w="med" len="med"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ot="0" spcFirstLastPara="0" vert="horz" wrap="square" lIns="36000" tIns="36000" rIns="36000" bIns="3600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2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9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r>
              <a:rPr kumimoji="0" lang="ja-JP" altLang="en-US" sz="1200" b="0" i="0" u="none" strike="noStrike" cap="none" normalizeH="0" baseline="0">
                <a:ln w="12700" cmpd="sng">
                  <a:noFill/>
                </a:ln>
                <a:solidFill>
                  <a:srgbClr val="191919"/>
                </a:solidFill>
                <a:effectLst/>
                <a:latin typeface="Meiryo UI" panose="020B0604030504040204" pitchFamily="34" charset="-128"/>
                <a:ea typeface="Meiryo UI" panose="020B0604030504040204" pitchFamily="34" charset="-128"/>
              </a:rPr>
              <a:t>納入遵守率</a:t>
            </a:r>
          </a:p>
        </xdr:txBody>
      </xdr:sp>
      <xdr:cxnSp macro="">
        <xdr:nvCxnSpPr>
          <xdr:cNvPr id="58" name="直線矢印コネクタ 57">
            <a:extLst>
              <a:ext uri="{FF2B5EF4-FFF2-40B4-BE49-F238E27FC236}">
                <a16:creationId xmlns:a16="http://schemas.microsoft.com/office/drawing/2014/main" id="{9C19BB85-0207-7AD7-F774-770DBC974B93}"/>
              </a:ext>
            </a:extLst>
          </xdr:cNvPr>
          <xdr:cNvCxnSpPr>
            <a:cxnSpLocks/>
            <a:stCxn id="56" idx="3"/>
            <a:endCxn id="57" idx="1"/>
          </xdr:cNvCxnSpPr>
        </xdr:nvCxnSpPr>
        <xdr:spPr bwMode="auto">
          <a:xfrm>
            <a:off x="3501696" y="2562897"/>
            <a:ext cx="0" cy="375622"/>
          </a:xfrm>
          <a:prstGeom prst="straightConnector1">
            <a:avLst/>
          </a:prstGeom>
          <a:ln w="12700">
            <a:solidFill>
              <a:schemeClr val="tx1"/>
            </a:solidFill>
            <a:headEnd type="none" w="med" len="med"/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168275</xdr:colOff>
      <xdr:row>57</xdr:row>
      <xdr:rowOff>88899</xdr:rowOff>
    </xdr:from>
    <xdr:to>
      <xdr:col>9</xdr:col>
      <xdr:colOff>606425</xdr:colOff>
      <xdr:row>63</xdr:row>
      <xdr:rowOff>76199</xdr:rowOff>
    </xdr:to>
    <xdr:sp macro="" textlink="">
      <xdr:nvSpPr>
        <xdr:cNvPr id="62" name="フローチャート: 磁気ディスク 61">
          <a:extLst>
            <a:ext uri="{FF2B5EF4-FFF2-40B4-BE49-F238E27FC236}">
              <a16:creationId xmlns:a16="http://schemas.microsoft.com/office/drawing/2014/main" id="{5D54847B-466C-6B3E-C2AA-558123262941}"/>
            </a:ext>
          </a:extLst>
        </xdr:cNvPr>
        <xdr:cNvSpPr/>
      </xdr:nvSpPr>
      <xdr:spPr>
        <a:xfrm>
          <a:off x="14627225" y="4441824"/>
          <a:ext cx="1095375" cy="1130300"/>
        </a:xfrm>
        <a:prstGeom prst="flowChartMagneticDisk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納入予実績</a:t>
          </a:r>
        </a:p>
      </xdr:txBody>
    </xdr:sp>
    <xdr:clientData/>
  </xdr:twoCellAnchor>
  <xdr:twoCellAnchor>
    <xdr:from>
      <xdr:col>8</xdr:col>
      <xdr:colOff>168275</xdr:colOff>
      <xdr:row>48</xdr:row>
      <xdr:rowOff>9525</xdr:rowOff>
    </xdr:from>
    <xdr:to>
      <xdr:col>9</xdr:col>
      <xdr:colOff>606425</xdr:colOff>
      <xdr:row>54</xdr:row>
      <xdr:rowOff>63500</xdr:rowOff>
    </xdr:to>
    <xdr:sp macro="" textlink="">
      <xdr:nvSpPr>
        <xdr:cNvPr id="64" name="フローチャート: 磁気ディスク 63">
          <a:extLst>
            <a:ext uri="{FF2B5EF4-FFF2-40B4-BE49-F238E27FC236}">
              <a16:creationId xmlns:a16="http://schemas.microsoft.com/office/drawing/2014/main" id="{BDF59E25-A2F0-46EB-AB15-1790B7960BA3}"/>
            </a:ext>
          </a:extLst>
        </xdr:cNvPr>
        <xdr:cNvSpPr/>
      </xdr:nvSpPr>
      <xdr:spPr>
        <a:xfrm>
          <a:off x="14627225" y="2647950"/>
          <a:ext cx="1095375" cy="1196975"/>
        </a:xfrm>
        <a:prstGeom prst="flowChartMagneticDisk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独立所要量明細</a:t>
          </a:r>
        </a:p>
      </xdr:txBody>
    </xdr:sp>
    <xdr:clientData/>
  </xdr:twoCellAnchor>
  <xdr:twoCellAnchor>
    <xdr:from>
      <xdr:col>5</xdr:col>
      <xdr:colOff>454025</xdr:colOff>
      <xdr:row>48</xdr:row>
      <xdr:rowOff>38100</xdr:rowOff>
    </xdr:from>
    <xdr:to>
      <xdr:col>7</xdr:col>
      <xdr:colOff>241299</xdr:colOff>
      <xdr:row>54</xdr:row>
      <xdr:rowOff>76200</xdr:rowOff>
    </xdr:to>
    <xdr:sp macro="" textlink="">
      <xdr:nvSpPr>
        <xdr:cNvPr id="65" name="フローチャート: 磁気ディスク 64">
          <a:extLst>
            <a:ext uri="{FF2B5EF4-FFF2-40B4-BE49-F238E27FC236}">
              <a16:creationId xmlns:a16="http://schemas.microsoft.com/office/drawing/2014/main" id="{BE186BCF-F7DE-47F7-B134-D633DDB907EC}"/>
            </a:ext>
          </a:extLst>
        </xdr:cNvPr>
        <xdr:cNvSpPr/>
      </xdr:nvSpPr>
      <xdr:spPr>
        <a:xfrm>
          <a:off x="12941300" y="2676525"/>
          <a:ext cx="1101724" cy="1181100"/>
        </a:xfrm>
        <a:prstGeom prst="flowChartMagneticDisk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オーダー明細</a:t>
          </a:r>
        </a:p>
      </xdr:txBody>
    </xdr:sp>
    <xdr:clientData/>
  </xdr:twoCellAnchor>
  <xdr:twoCellAnchor>
    <xdr:from>
      <xdr:col>10</xdr:col>
      <xdr:colOff>536574</xdr:colOff>
      <xdr:row>47</xdr:row>
      <xdr:rowOff>187325</xdr:rowOff>
    </xdr:from>
    <xdr:to>
      <xdr:col>12</xdr:col>
      <xdr:colOff>228600</xdr:colOff>
      <xdr:row>54</xdr:row>
      <xdr:rowOff>63500</xdr:rowOff>
    </xdr:to>
    <xdr:sp macro="" textlink="">
      <xdr:nvSpPr>
        <xdr:cNvPr id="66" name="フローチャート: 磁気ディスク 65">
          <a:extLst>
            <a:ext uri="{FF2B5EF4-FFF2-40B4-BE49-F238E27FC236}">
              <a16:creationId xmlns:a16="http://schemas.microsoft.com/office/drawing/2014/main" id="{EA912A8E-A8D6-46DB-A254-DB2F847D9B4D}"/>
            </a:ext>
          </a:extLst>
        </xdr:cNvPr>
        <xdr:cNvSpPr/>
      </xdr:nvSpPr>
      <xdr:spPr>
        <a:xfrm>
          <a:off x="16309974" y="2635250"/>
          <a:ext cx="1006476" cy="1209675"/>
        </a:xfrm>
        <a:prstGeom prst="flowChartMagneticDisk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在庫取引明細当日分</a:t>
          </a:r>
        </a:p>
      </xdr:txBody>
    </xdr:sp>
    <xdr:clientData/>
  </xdr:twoCellAnchor>
  <xdr:twoCellAnchor>
    <xdr:from>
      <xdr:col>6</xdr:col>
      <xdr:colOff>346075</xdr:colOff>
      <xdr:row>54</xdr:row>
      <xdr:rowOff>76200</xdr:rowOff>
    </xdr:from>
    <xdr:to>
      <xdr:col>9</xdr:col>
      <xdr:colOff>58738</xdr:colOff>
      <xdr:row>57</xdr:row>
      <xdr:rowOff>85724</xdr:rowOff>
    </xdr:to>
    <xdr:cxnSp macro="">
      <xdr:nvCxnSpPr>
        <xdr:cNvPr id="68" name="コネクタ: カギ線 67">
          <a:extLst>
            <a:ext uri="{FF2B5EF4-FFF2-40B4-BE49-F238E27FC236}">
              <a16:creationId xmlns:a16="http://schemas.microsoft.com/office/drawing/2014/main" id="{CFCFAF63-D929-14E6-3CDD-92BF9E8A8C86}"/>
            </a:ext>
          </a:extLst>
        </xdr:cNvPr>
        <xdr:cNvCxnSpPr>
          <a:stCxn id="65" idx="3"/>
          <a:endCxn id="62" idx="1"/>
        </xdr:cNvCxnSpPr>
      </xdr:nvCxnSpPr>
      <xdr:spPr>
        <a:xfrm rot="16200000" flipH="1">
          <a:off x="14042232" y="3305968"/>
          <a:ext cx="581024" cy="1684338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58739</xdr:colOff>
      <xdr:row>54</xdr:row>
      <xdr:rowOff>66675</xdr:rowOff>
    </xdr:from>
    <xdr:to>
      <xdr:col>11</xdr:col>
      <xdr:colOff>382588</xdr:colOff>
      <xdr:row>57</xdr:row>
      <xdr:rowOff>85724</xdr:rowOff>
    </xdr:to>
    <xdr:cxnSp macro="">
      <xdr:nvCxnSpPr>
        <xdr:cNvPr id="71" name="コネクタ: カギ線 70">
          <a:extLst>
            <a:ext uri="{FF2B5EF4-FFF2-40B4-BE49-F238E27FC236}">
              <a16:creationId xmlns:a16="http://schemas.microsoft.com/office/drawing/2014/main" id="{757C3DA0-2A40-48EF-805D-390A0708AAD9}"/>
            </a:ext>
          </a:extLst>
        </xdr:cNvPr>
        <xdr:cNvCxnSpPr>
          <a:stCxn id="66" idx="3"/>
          <a:endCxn id="62" idx="1"/>
        </xdr:cNvCxnSpPr>
      </xdr:nvCxnSpPr>
      <xdr:spPr>
        <a:xfrm rot="5400000">
          <a:off x="15698789" y="3324225"/>
          <a:ext cx="590549" cy="1638299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58738</xdr:colOff>
      <xdr:row>54</xdr:row>
      <xdr:rowOff>66675</xdr:rowOff>
    </xdr:from>
    <xdr:to>
      <xdr:col>9</xdr:col>
      <xdr:colOff>58738</xdr:colOff>
      <xdr:row>57</xdr:row>
      <xdr:rowOff>85724</xdr:rowOff>
    </xdr:to>
    <xdr:cxnSp macro="">
      <xdr:nvCxnSpPr>
        <xdr:cNvPr id="75" name="直線矢印コネクタ 74">
          <a:extLst>
            <a:ext uri="{FF2B5EF4-FFF2-40B4-BE49-F238E27FC236}">
              <a16:creationId xmlns:a16="http://schemas.microsoft.com/office/drawing/2014/main" id="{7CA07932-2D5A-5932-FF7A-D171A6EAB5C7}"/>
            </a:ext>
          </a:extLst>
        </xdr:cNvPr>
        <xdr:cNvCxnSpPr>
          <a:stCxn id="64" idx="3"/>
          <a:endCxn id="62" idx="1"/>
        </xdr:cNvCxnSpPr>
      </xdr:nvCxnSpPr>
      <xdr:spPr>
        <a:xfrm>
          <a:off x="15174913" y="3848100"/>
          <a:ext cx="0" cy="590549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523875</xdr:colOff>
      <xdr:row>67</xdr:row>
      <xdr:rowOff>104774</xdr:rowOff>
    </xdr:from>
    <xdr:to>
      <xdr:col>15</xdr:col>
      <xdr:colOff>339725</xdr:colOff>
      <xdr:row>73</xdr:row>
      <xdr:rowOff>187325</xdr:rowOff>
    </xdr:to>
    <xdr:sp macro="" textlink="">
      <xdr:nvSpPr>
        <xdr:cNvPr id="79" name="フローチャート: 磁気ディスク 78">
          <a:extLst>
            <a:ext uri="{FF2B5EF4-FFF2-40B4-BE49-F238E27FC236}">
              <a16:creationId xmlns:a16="http://schemas.microsoft.com/office/drawing/2014/main" id="{DC3C730A-2A05-4D24-A8BD-D98ABE2F7F4C}"/>
            </a:ext>
          </a:extLst>
        </xdr:cNvPr>
        <xdr:cNvSpPr/>
      </xdr:nvSpPr>
      <xdr:spPr>
        <a:xfrm>
          <a:off x="18268950" y="6362699"/>
          <a:ext cx="1130300" cy="1225551"/>
        </a:xfrm>
        <a:prstGeom prst="flowChartMagneticDisk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納入遵守率</a:t>
          </a:r>
          <a:endParaRPr kumimoji="1" lang="en-US" altLang="ja-JP" sz="12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12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2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データ出力</a:t>
          </a:r>
          <a:r>
            <a:rPr kumimoji="1" lang="en-US" altLang="ja-JP" sz="12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12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130175</xdr:colOff>
      <xdr:row>67</xdr:row>
      <xdr:rowOff>142874</xdr:rowOff>
    </xdr:from>
    <xdr:to>
      <xdr:col>9</xdr:col>
      <xdr:colOff>644525</xdr:colOff>
      <xdr:row>74</xdr:row>
      <xdr:rowOff>47625</xdr:rowOff>
    </xdr:to>
    <xdr:sp macro="" textlink="">
      <xdr:nvSpPr>
        <xdr:cNvPr id="80" name="フローチャート: 磁気ディスク 79">
          <a:extLst>
            <a:ext uri="{FF2B5EF4-FFF2-40B4-BE49-F238E27FC236}">
              <a16:creationId xmlns:a16="http://schemas.microsoft.com/office/drawing/2014/main" id="{004C617C-2CF0-4FB8-A621-D4812B8B109E}"/>
            </a:ext>
          </a:extLst>
        </xdr:cNvPr>
        <xdr:cNvSpPr/>
      </xdr:nvSpPr>
      <xdr:spPr>
        <a:xfrm>
          <a:off x="14589125" y="6400799"/>
          <a:ext cx="1171575" cy="1238251"/>
        </a:xfrm>
        <a:prstGeom prst="flowChartMagneticDisk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納入遅延</a:t>
          </a:r>
          <a:endParaRPr kumimoji="1" lang="en-US" altLang="ja-JP" sz="12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2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明細</a:t>
          </a:r>
        </a:p>
      </xdr:txBody>
    </xdr:sp>
    <xdr:clientData/>
  </xdr:twoCellAnchor>
  <xdr:twoCellAnchor>
    <xdr:from>
      <xdr:col>2</xdr:col>
      <xdr:colOff>571500</xdr:colOff>
      <xdr:row>67</xdr:row>
      <xdr:rowOff>114299</xdr:rowOff>
    </xdr:from>
    <xdr:to>
      <xdr:col>4</xdr:col>
      <xdr:colOff>419100</xdr:colOff>
      <xdr:row>73</xdr:row>
      <xdr:rowOff>168275</xdr:rowOff>
    </xdr:to>
    <xdr:sp macro="" textlink="">
      <xdr:nvSpPr>
        <xdr:cNvPr id="81" name="フローチャート: 磁気ディスク 80">
          <a:extLst>
            <a:ext uri="{FF2B5EF4-FFF2-40B4-BE49-F238E27FC236}">
              <a16:creationId xmlns:a16="http://schemas.microsoft.com/office/drawing/2014/main" id="{30A8198B-DF14-4E07-A76B-E09EDEF42F1F}"/>
            </a:ext>
          </a:extLst>
        </xdr:cNvPr>
        <xdr:cNvSpPr/>
      </xdr:nvSpPr>
      <xdr:spPr>
        <a:xfrm>
          <a:off x="11087100" y="6372224"/>
          <a:ext cx="1162050" cy="1196976"/>
        </a:xfrm>
        <a:prstGeom prst="flowChartMagneticDisk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納入分析</a:t>
          </a:r>
          <a:endParaRPr kumimoji="1" lang="en-US" altLang="ja-JP" sz="12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2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ファイル</a:t>
          </a:r>
        </a:p>
      </xdr:txBody>
    </xdr:sp>
    <xdr:clientData/>
  </xdr:twoCellAnchor>
  <xdr:twoCellAnchor>
    <xdr:from>
      <xdr:col>9</xdr:col>
      <xdr:colOff>58738</xdr:colOff>
      <xdr:row>63</xdr:row>
      <xdr:rowOff>76199</xdr:rowOff>
    </xdr:from>
    <xdr:to>
      <xdr:col>14</xdr:col>
      <xdr:colOff>430213</xdr:colOff>
      <xdr:row>67</xdr:row>
      <xdr:rowOff>107949</xdr:rowOff>
    </xdr:to>
    <xdr:cxnSp macro="">
      <xdr:nvCxnSpPr>
        <xdr:cNvPr id="82" name="コネクタ: カギ線 81">
          <a:extLst>
            <a:ext uri="{FF2B5EF4-FFF2-40B4-BE49-F238E27FC236}">
              <a16:creationId xmlns:a16="http://schemas.microsoft.com/office/drawing/2014/main" id="{5C9D06B7-2CB9-445E-BA74-AC84551A2A9A}"/>
            </a:ext>
          </a:extLst>
        </xdr:cNvPr>
        <xdr:cNvCxnSpPr>
          <a:stCxn id="62" idx="3"/>
          <a:endCxn id="79" idx="1"/>
        </xdr:cNvCxnSpPr>
      </xdr:nvCxnSpPr>
      <xdr:spPr>
        <a:xfrm rot="16200000" flipH="1">
          <a:off x="16606838" y="4140199"/>
          <a:ext cx="793750" cy="3657600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495300</xdr:colOff>
      <xdr:row>63</xdr:row>
      <xdr:rowOff>76199</xdr:rowOff>
    </xdr:from>
    <xdr:to>
      <xdr:col>9</xdr:col>
      <xdr:colOff>58738</xdr:colOff>
      <xdr:row>67</xdr:row>
      <xdr:rowOff>114299</xdr:rowOff>
    </xdr:to>
    <xdr:cxnSp macro="">
      <xdr:nvCxnSpPr>
        <xdr:cNvPr id="85" name="コネクタ: カギ線 84">
          <a:extLst>
            <a:ext uri="{FF2B5EF4-FFF2-40B4-BE49-F238E27FC236}">
              <a16:creationId xmlns:a16="http://schemas.microsoft.com/office/drawing/2014/main" id="{1172C1BB-25E2-47A3-867F-78BB3A9D19AA}"/>
            </a:ext>
          </a:extLst>
        </xdr:cNvPr>
        <xdr:cNvCxnSpPr>
          <a:stCxn id="62" idx="3"/>
          <a:endCxn id="81" idx="1"/>
        </xdr:cNvCxnSpPr>
      </xdr:nvCxnSpPr>
      <xdr:spPr>
        <a:xfrm rot="5400000">
          <a:off x="13021469" y="4218780"/>
          <a:ext cx="800100" cy="3506788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58738</xdr:colOff>
      <xdr:row>63</xdr:row>
      <xdr:rowOff>76199</xdr:rowOff>
    </xdr:from>
    <xdr:to>
      <xdr:col>9</xdr:col>
      <xdr:colOff>58738</xdr:colOff>
      <xdr:row>67</xdr:row>
      <xdr:rowOff>146049</xdr:rowOff>
    </xdr:to>
    <xdr:cxnSp macro="">
      <xdr:nvCxnSpPr>
        <xdr:cNvPr id="89" name="直線矢印コネクタ 88">
          <a:extLst>
            <a:ext uri="{FF2B5EF4-FFF2-40B4-BE49-F238E27FC236}">
              <a16:creationId xmlns:a16="http://schemas.microsoft.com/office/drawing/2014/main" id="{C3AFCDFA-91E8-43B2-BCF3-921D26A31FEE}"/>
            </a:ext>
          </a:extLst>
        </xdr:cNvPr>
        <xdr:cNvCxnSpPr>
          <a:stCxn id="62" idx="3"/>
          <a:endCxn id="80" idx="1"/>
        </xdr:cNvCxnSpPr>
      </xdr:nvCxnSpPr>
      <xdr:spPr>
        <a:xfrm>
          <a:off x="15174913" y="5572124"/>
          <a:ext cx="0" cy="83185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577850</xdr:colOff>
      <xdr:row>76</xdr:row>
      <xdr:rowOff>104775</xdr:rowOff>
    </xdr:from>
    <xdr:to>
      <xdr:col>16</xdr:col>
      <xdr:colOff>285750</xdr:colOff>
      <xdr:row>82</xdr:row>
      <xdr:rowOff>123825</xdr:rowOff>
    </xdr:to>
    <xdr:sp macro="" textlink="">
      <xdr:nvSpPr>
        <xdr:cNvPr id="105" name="四角形: 角を丸くする 104">
          <a:extLst>
            <a:ext uri="{FF2B5EF4-FFF2-40B4-BE49-F238E27FC236}">
              <a16:creationId xmlns:a16="http://schemas.microsoft.com/office/drawing/2014/main" id="{DDF38718-7FEC-D182-A6A1-0561D17170EE}"/>
            </a:ext>
          </a:extLst>
        </xdr:cNvPr>
        <xdr:cNvSpPr/>
      </xdr:nvSpPr>
      <xdr:spPr>
        <a:xfrm>
          <a:off x="17665700" y="8077200"/>
          <a:ext cx="2336800" cy="1162050"/>
        </a:xfrm>
        <a:prstGeom prst="round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データ出力で利用</a:t>
          </a:r>
        </a:p>
      </xdr:txBody>
    </xdr:sp>
    <xdr:clientData/>
  </xdr:twoCellAnchor>
  <xdr:twoCellAnchor>
    <xdr:from>
      <xdr:col>14</xdr:col>
      <xdr:colOff>430213</xdr:colOff>
      <xdr:row>73</xdr:row>
      <xdr:rowOff>187325</xdr:rowOff>
    </xdr:from>
    <xdr:to>
      <xdr:col>14</xdr:col>
      <xdr:colOff>433388</xdr:colOff>
      <xdr:row>76</xdr:row>
      <xdr:rowOff>101600</xdr:rowOff>
    </xdr:to>
    <xdr:cxnSp macro="">
      <xdr:nvCxnSpPr>
        <xdr:cNvPr id="106" name="直線矢印コネクタ 105">
          <a:extLst>
            <a:ext uri="{FF2B5EF4-FFF2-40B4-BE49-F238E27FC236}">
              <a16:creationId xmlns:a16="http://schemas.microsoft.com/office/drawing/2014/main" id="{7910D13F-8CB3-4A84-87BF-B51F45B0702D}"/>
            </a:ext>
          </a:extLst>
        </xdr:cNvPr>
        <xdr:cNvCxnSpPr>
          <a:cxnSpLocks/>
          <a:stCxn id="79" idx="3"/>
          <a:endCxn id="105" idx="0"/>
        </xdr:cNvCxnSpPr>
      </xdr:nvCxnSpPr>
      <xdr:spPr>
        <a:xfrm>
          <a:off x="18832513" y="7588250"/>
          <a:ext cx="3175" cy="485775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78</xdr:row>
      <xdr:rowOff>88899</xdr:rowOff>
    </xdr:from>
    <xdr:to>
      <xdr:col>6</xdr:col>
      <xdr:colOff>311150</xdr:colOff>
      <xdr:row>81</xdr:row>
      <xdr:rowOff>133349</xdr:rowOff>
    </xdr:to>
    <xdr:sp macro="" textlink="">
      <xdr:nvSpPr>
        <xdr:cNvPr id="109" name="正方形/長方形 108">
          <a:extLst>
            <a:ext uri="{FF2B5EF4-FFF2-40B4-BE49-F238E27FC236}">
              <a16:creationId xmlns:a16="http://schemas.microsoft.com/office/drawing/2014/main" id="{8ACBACD7-0CCE-43CF-619F-DA42890F7502}"/>
            </a:ext>
          </a:extLst>
        </xdr:cNvPr>
        <xdr:cNvSpPr/>
      </xdr:nvSpPr>
      <xdr:spPr>
        <a:xfrm>
          <a:off x="11839575" y="8442324"/>
          <a:ext cx="1616075" cy="61595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納入遵守率集計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(LDB11)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473075</xdr:colOff>
      <xdr:row>78</xdr:row>
      <xdr:rowOff>85725</xdr:rowOff>
    </xdr:from>
    <xdr:to>
      <xdr:col>9</xdr:col>
      <xdr:colOff>149225</xdr:colOff>
      <xdr:row>81</xdr:row>
      <xdr:rowOff>142875</xdr:rowOff>
    </xdr:to>
    <xdr:sp macro="" textlink="">
      <xdr:nvSpPr>
        <xdr:cNvPr id="111" name="正方形/長方形 110">
          <a:extLst>
            <a:ext uri="{FF2B5EF4-FFF2-40B4-BE49-F238E27FC236}">
              <a16:creationId xmlns:a16="http://schemas.microsoft.com/office/drawing/2014/main" id="{FE9F4B82-9C6E-45BC-AEC8-82D5697F6B87}"/>
            </a:ext>
          </a:extLst>
        </xdr:cNvPr>
        <xdr:cNvSpPr/>
      </xdr:nvSpPr>
      <xdr:spPr>
        <a:xfrm>
          <a:off x="13617575" y="8439150"/>
          <a:ext cx="1647825" cy="62865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納入遅延オーダー検索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(LDB12)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495301</xdr:colOff>
      <xdr:row>73</xdr:row>
      <xdr:rowOff>168274</xdr:rowOff>
    </xdr:from>
    <xdr:to>
      <xdr:col>5</xdr:col>
      <xdr:colOff>160339</xdr:colOff>
      <xdr:row>78</xdr:row>
      <xdr:rowOff>85723</xdr:rowOff>
    </xdr:to>
    <xdr:cxnSp macro="">
      <xdr:nvCxnSpPr>
        <xdr:cNvPr id="112" name="コネクタ: カギ線 111">
          <a:extLst>
            <a:ext uri="{FF2B5EF4-FFF2-40B4-BE49-F238E27FC236}">
              <a16:creationId xmlns:a16="http://schemas.microsoft.com/office/drawing/2014/main" id="{21C20F1F-0742-4AE8-82BB-54224FEED75C}"/>
            </a:ext>
          </a:extLst>
        </xdr:cNvPr>
        <xdr:cNvCxnSpPr>
          <a:stCxn id="81" idx="3"/>
          <a:endCxn id="109" idx="0"/>
        </xdr:cNvCxnSpPr>
      </xdr:nvCxnSpPr>
      <xdr:spPr>
        <a:xfrm rot="16200000" flipH="1">
          <a:off x="11722895" y="7514430"/>
          <a:ext cx="869949" cy="979488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639763</xdr:colOff>
      <xdr:row>74</xdr:row>
      <xdr:rowOff>44451</xdr:rowOff>
    </xdr:from>
    <xdr:to>
      <xdr:col>9</xdr:col>
      <xdr:colOff>58738</xdr:colOff>
      <xdr:row>78</xdr:row>
      <xdr:rowOff>82551</xdr:rowOff>
    </xdr:to>
    <xdr:cxnSp macro="">
      <xdr:nvCxnSpPr>
        <xdr:cNvPr id="113" name="コネクタ: カギ線 112">
          <a:extLst>
            <a:ext uri="{FF2B5EF4-FFF2-40B4-BE49-F238E27FC236}">
              <a16:creationId xmlns:a16="http://schemas.microsoft.com/office/drawing/2014/main" id="{C36ACC30-3AD1-4923-B104-2923FDAABAF6}"/>
            </a:ext>
          </a:extLst>
        </xdr:cNvPr>
        <xdr:cNvCxnSpPr>
          <a:stCxn id="80" idx="3"/>
          <a:endCxn id="111" idx="0"/>
        </xdr:cNvCxnSpPr>
      </xdr:nvCxnSpPr>
      <xdr:spPr>
        <a:xfrm rot="5400000">
          <a:off x="14408151" y="7669213"/>
          <a:ext cx="800100" cy="733425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254000</xdr:colOff>
      <xdr:row>78</xdr:row>
      <xdr:rowOff>95250</xdr:rowOff>
    </xdr:from>
    <xdr:to>
      <xdr:col>12</xdr:col>
      <xdr:colOff>10792</xdr:colOff>
      <xdr:row>81</xdr:row>
      <xdr:rowOff>16075</xdr:rowOff>
    </xdr:to>
    <xdr:sp macro="" textlink="">
      <xdr:nvSpPr>
        <xdr:cNvPr id="121" name="フローチャート: 記憶データ 120">
          <a:extLst>
            <a:ext uri="{FF2B5EF4-FFF2-40B4-BE49-F238E27FC236}">
              <a16:creationId xmlns:a16="http://schemas.microsoft.com/office/drawing/2014/main" id="{89B9E50A-A220-4FBC-BFC0-8AB0F0B60B6B}"/>
            </a:ext>
          </a:extLst>
        </xdr:cNvPr>
        <xdr:cNvSpPr/>
      </xdr:nvSpPr>
      <xdr:spPr bwMode="auto">
        <a:xfrm>
          <a:off x="15370175" y="8448675"/>
          <a:ext cx="1728467" cy="492325"/>
        </a:xfrm>
        <a:prstGeom prst="flowChartOnlineStorage">
          <a:avLst/>
        </a:prstGeom>
        <a:solidFill>
          <a:schemeClr val="bg1"/>
        </a:solidFill>
        <a:ln w="12700">
          <a:headEnd type="none" w="med" len="med"/>
          <a:tailEnd type="oval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36000" tIns="36000" rIns="36000" bIns="3600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sz="22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2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2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2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2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22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22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22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22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ctr" defTabSz="914400" rtl="0" eaLnBrk="1" fontAlgn="base" latinLnBrk="0" hangingPunct="1">
            <a:lnSpc>
              <a:spcPct val="9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r>
            <a:rPr lang="ja-JP" altLang="en-US" sz="1200">
              <a:ln w="12700" cmpd="sng">
                <a:noFill/>
              </a:ln>
              <a:solidFill>
                <a:srgbClr val="191919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納入遅延</a:t>
          </a:r>
          <a:endParaRPr lang="en-US" altLang="ja-JP" sz="1200">
            <a:ln w="12700" cmpd="sng">
              <a:noFill/>
            </a:ln>
            <a:solidFill>
              <a:srgbClr val="191919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marL="0" marR="0" indent="0" algn="ctr" defTabSz="914400" rtl="0" eaLnBrk="1" fontAlgn="base" latinLnBrk="0" hangingPunct="1">
            <a:lnSpc>
              <a:spcPct val="9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r>
            <a:rPr lang="ja-JP" altLang="en-US" sz="1200">
              <a:ln w="12700" cmpd="sng">
                <a:noFill/>
              </a:ln>
              <a:solidFill>
                <a:srgbClr val="191919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明細データ</a:t>
          </a:r>
          <a:endParaRPr kumimoji="0" lang="ja-JP" altLang="en-US" sz="1200" b="0" i="0" u="none" strike="noStrike" cap="none" normalizeH="0" baseline="0">
            <a:ln w="12700" cmpd="sng">
              <a:noFill/>
            </a:ln>
            <a:solidFill>
              <a:srgbClr val="191919"/>
            </a:solidFill>
            <a:effectLst/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63500</xdr:colOff>
      <xdr:row>78</xdr:row>
      <xdr:rowOff>73025</xdr:rowOff>
    </xdr:from>
    <xdr:to>
      <xdr:col>3</xdr:col>
      <xdr:colOff>477517</xdr:colOff>
      <xdr:row>81</xdr:row>
      <xdr:rowOff>200</xdr:rowOff>
    </xdr:to>
    <xdr:sp macro="" textlink="">
      <xdr:nvSpPr>
        <xdr:cNvPr id="122" name="フローチャート: 記憶データ 121">
          <a:extLst>
            <a:ext uri="{FF2B5EF4-FFF2-40B4-BE49-F238E27FC236}">
              <a16:creationId xmlns:a16="http://schemas.microsoft.com/office/drawing/2014/main" id="{4A946DB0-FF48-4B92-9FBC-5136635F0D14}"/>
            </a:ext>
          </a:extLst>
        </xdr:cNvPr>
        <xdr:cNvSpPr/>
      </xdr:nvSpPr>
      <xdr:spPr bwMode="auto">
        <a:xfrm>
          <a:off x="9921875" y="8426450"/>
          <a:ext cx="1728467" cy="498675"/>
        </a:xfrm>
        <a:prstGeom prst="flowChartOnlineStorage">
          <a:avLst/>
        </a:prstGeom>
        <a:solidFill>
          <a:schemeClr val="bg1"/>
        </a:solidFill>
        <a:ln w="12700">
          <a:headEnd type="none" w="med" len="med"/>
          <a:tailEnd type="oval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36000" tIns="36000" rIns="36000" bIns="3600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sz="22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2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2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2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2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22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22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22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22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ctr" defTabSz="914400" rtl="0" eaLnBrk="1" fontAlgn="base" latinLnBrk="0" hangingPunct="1">
            <a:lnSpc>
              <a:spcPct val="9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r>
            <a:rPr lang="ja-JP" altLang="en-US" sz="1200">
              <a:ln w="12700" cmpd="sng">
                <a:noFill/>
              </a:ln>
              <a:solidFill>
                <a:srgbClr val="191919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納入遵守データ</a:t>
          </a:r>
          <a:endParaRPr kumimoji="0" lang="ja-JP" altLang="en-US" sz="1200" b="0" i="0" u="none" strike="noStrike" cap="none" normalizeH="0" baseline="0">
            <a:ln w="12700" cmpd="sng">
              <a:noFill/>
            </a:ln>
            <a:solidFill>
              <a:srgbClr val="191919"/>
            </a:solidFill>
            <a:effectLst/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272096</xdr:colOff>
      <xdr:row>73</xdr:row>
      <xdr:rowOff>168276</xdr:rowOff>
    </xdr:from>
    <xdr:to>
      <xdr:col>3</xdr:col>
      <xdr:colOff>495300</xdr:colOff>
      <xdr:row>78</xdr:row>
      <xdr:rowOff>73026</xdr:rowOff>
    </xdr:to>
    <xdr:cxnSp macro="">
      <xdr:nvCxnSpPr>
        <xdr:cNvPr id="123" name="コネクタ: カギ線 122">
          <a:extLst>
            <a:ext uri="{FF2B5EF4-FFF2-40B4-BE49-F238E27FC236}">
              <a16:creationId xmlns:a16="http://schemas.microsoft.com/office/drawing/2014/main" id="{1EAE7CBD-1559-4DD6-9D0C-D2AEF58DFC5D}"/>
            </a:ext>
          </a:extLst>
        </xdr:cNvPr>
        <xdr:cNvCxnSpPr>
          <a:stCxn id="81" idx="3"/>
          <a:endCxn id="122" idx="0"/>
        </xdr:cNvCxnSpPr>
      </xdr:nvCxnSpPr>
      <xdr:spPr>
        <a:xfrm rot="5400000">
          <a:off x="10799286" y="7557611"/>
          <a:ext cx="857250" cy="880429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58738</xdr:colOff>
      <xdr:row>74</xdr:row>
      <xdr:rowOff>44450</xdr:rowOff>
    </xdr:from>
    <xdr:to>
      <xdr:col>10</xdr:col>
      <xdr:colOff>461009</xdr:colOff>
      <xdr:row>78</xdr:row>
      <xdr:rowOff>95250</xdr:rowOff>
    </xdr:to>
    <xdr:cxnSp macro="">
      <xdr:nvCxnSpPr>
        <xdr:cNvPr id="124" name="コネクタ: カギ線 123">
          <a:extLst>
            <a:ext uri="{FF2B5EF4-FFF2-40B4-BE49-F238E27FC236}">
              <a16:creationId xmlns:a16="http://schemas.microsoft.com/office/drawing/2014/main" id="{0A3D4539-2E78-4EFA-B523-788A05E26E85}"/>
            </a:ext>
          </a:extLst>
        </xdr:cNvPr>
        <xdr:cNvCxnSpPr>
          <a:stCxn id="80" idx="3"/>
          <a:endCxn id="121" idx="0"/>
        </xdr:cNvCxnSpPr>
      </xdr:nvCxnSpPr>
      <xdr:spPr>
        <a:xfrm rot="16200000" flipH="1">
          <a:off x="15298261" y="7512527"/>
          <a:ext cx="812800" cy="1059496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82905</xdr:colOff>
      <xdr:row>82</xdr:row>
      <xdr:rowOff>187436</xdr:rowOff>
    </xdr:from>
    <xdr:to>
      <xdr:col>3</xdr:col>
      <xdr:colOff>457459</xdr:colOff>
      <xdr:row>85</xdr:row>
      <xdr:rowOff>188622</xdr:rowOff>
    </xdr:to>
    <xdr:sp macro="" textlink="">
      <xdr:nvSpPr>
        <xdr:cNvPr id="129" name="吹き出し: 線 128">
          <a:extLst>
            <a:ext uri="{FF2B5EF4-FFF2-40B4-BE49-F238E27FC236}">
              <a16:creationId xmlns:a16="http://schemas.microsoft.com/office/drawing/2014/main" id="{CCB30CE0-257A-4844-9052-8D0D556B1C33}"/>
            </a:ext>
          </a:extLst>
        </xdr:cNvPr>
        <xdr:cNvSpPr/>
      </xdr:nvSpPr>
      <xdr:spPr bwMode="auto">
        <a:xfrm>
          <a:off x="10598505" y="9302861"/>
          <a:ext cx="1031779" cy="572686"/>
        </a:xfrm>
        <a:prstGeom prst="borderCallout1">
          <a:avLst>
            <a:gd name="adj1" fmla="val -4625"/>
            <a:gd name="adj2" fmla="val 74320"/>
            <a:gd name="adj3" fmla="val -80246"/>
            <a:gd name="adj4" fmla="val 57441"/>
          </a:avLst>
        </a:prstGeom>
        <a:solidFill>
          <a:schemeClr val="accent6">
            <a:lumMod val="20000"/>
            <a:lumOff val="80000"/>
          </a:schemeClr>
        </a:solidFill>
        <a:ln w="12700">
          <a:headEnd type="none" w="med" len="med"/>
          <a:tailEnd type="oval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36000" tIns="36000" rIns="36000" bIns="3600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sz="22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2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2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2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2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22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22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22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22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r>
            <a:rPr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G-Pro</a:t>
          </a:r>
          <a:r>
            <a:rPr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へ</a:t>
          </a:r>
          <a:r>
            <a:rPr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IF</a:t>
          </a:r>
          <a:endParaRPr kumimoji="0" lang="ja-JP" altLang="en-US" sz="1200" b="0" i="0" u="none" strike="noStrike" cap="none" normalizeH="0" baseline="0">
            <a:ln w="12700" cmpd="sng">
              <a:noFill/>
            </a:ln>
            <a:solidFill>
              <a:srgbClr val="191919"/>
            </a:solidFill>
            <a:effectLst/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10</xdr:col>
      <xdr:colOff>467080</xdr:colOff>
      <xdr:row>82</xdr:row>
      <xdr:rowOff>171561</xdr:rowOff>
    </xdr:from>
    <xdr:to>
      <xdr:col>12</xdr:col>
      <xdr:colOff>178059</xdr:colOff>
      <xdr:row>85</xdr:row>
      <xdr:rowOff>172747</xdr:rowOff>
    </xdr:to>
    <xdr:sp macro="" textlink="">
      <xdr:nvSpPr>
        <xdr:cNvPr id="130" name="吹き出し: 線 129">
          <a:extLst>
            <a:ext uri="{FF2B5EF4-FFF2-40B4-BE49-F238E27FC236}">
              <a16:creationId xmlns:a16="http://schemas.microsoft.com/office/drawing/2014/main" id="{30AD35DB-6747-4577-8FF0-E837AEB15C92}"/>
            </a:ext>
          </a:extLst>
        </xdr:cNvPr>
        <xdr:cNvSpPr/>
      </xdr:nvSpPr>
      <xdr:spPr bwMode="auto">
        <a:xfrm>
          <a:off x="16240480" y="9286986"/>
          <a:ext cx="1025429" cy="572686"/>
        </a:xfrm>
        <a:prstGeom prst="borderCallout1">
          <a:avLst>
            <a:gd name="adj1" fmla="val -4625"/>
            <a:gd name="adj2" fmla="val 74320"/>
            <a:gd name="adj3" fmla="val -76920"/>
            <a:gd name="adj4" fmla="val 41547"/>
          </a:avLst>
        </a:prstGeom>
        <a:solidFill>
          <a:schemeClr val="accent6">
            <a:lumMod val="20000"/>
            <a:lumOff val="80000"/>
          </a:schemeClr>
        </a:solidFill>
        <a:ln w="12700">
          <a:headEnd type="none" w="med" len="med"/>
          <a:tailEnd type="oval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36000" tIns="36000" rIns="36000" bIns="3600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sz="22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2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2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2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2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22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22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22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22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r>
            <a:rPr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G-Pro</a:t>
          </a:r>
          <a:r>
            <a:rPr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へ</a:t>
          </a:r>
          <a:r>
            <a:rPr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IF</a:t>
          </a:r>
          <a:endParaRPr kumimoji="0" lang="ja-JP" altLang="en-US" sz="1200" b="0" i="0" u="none" strike="noStrike" cap="none" normalizeH="0" baseline="0">
            <a:ln w="12700" cmpd="sng">
              <a:noFill/>
            </a:ln>
            <a:solidFill>
              <a:srgbClr val="191919"/>
            </a:solidFill>
            <a:effectLst/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../../../../../../../../../:f:/r/sites/YMSL_Teams_Sumafu_ERPgai/Shared%20Documents/32%EF%BC%8E%E3%82%82%E3%81%AE%E3%83%81%E3%83%BC%E3%83%A0/%E8%A9%B3%E7%B4%B0%E8%A8%AD%E8%A8%88/%E3%83%90%E3%83%83%E3%83%81%E8%A9%B3%E7%B4%B0%E8%A8%AD%E8%A8%88%E6%9B%B8(MD)/IC?csf=1&amp;web=1&amp;e=Abr9l3" TargetMode="External"/><Relationship Id="rId7" Type="http://schemas.openxmlformats.org/officeDocument/2006/relationships/hyperlink" Target="../../../../../../../../../:f:/r/sites/YMSL_Teams_Sumafu_ERPgai/Shared%20Documents/00%EF%BC%8E%E7%94%9F%E7%94%A3%E8%AA%BF%E9%81%94%E3%82%B7%E3%82%B9%E3%83%86%E3%83%A0%E9%83%A8%E5%85%B1%E9%80%9A/10_YNS%E7%94%9F%E7%94%A3%E8%AA%BF%E9%81%94%E6%94%B9%E9%9D%A9PJ/98_%E3%82%AD%E3%83%BC%E3%83%9E%E3%83%B3%E9%80%B1%E6%AC%A1%E9%80%B2%E6%8D%97/11_%E6%88%90%E6%9E%9C%E7%89%A9%EF%BC%88%E5%9F%BA%E6%9C%AC%E8%A8%AD%E8%A8%88%EF%BC%89/01_%E7%94%BB%E9%9D%A2%E6%A9%9F%E8%83%BD%E4%BB%95%E6%A7%98%E6%9B%B8/IC?csf=1&amp;web=1&amp;e=6pYyxr" TargetMode="External"/><Relationship Id="rId2" Type="http://schemas.openxmlformats.org/officeDocument/2006/relationships/hyperlink" Target="../../../../../../../../../:f:/r/sites/YMSL_Teams_Sumafu_ERPgai/Shared%20Documents/32%EF%BC%8E%E3%82%82%E3%81%AE%E3%83%81%E3%83%BC%E3%83%A0/%E8%A9%B3%E7%B4%B0%E8%A8%AD%E8%A8%88/%E7%94%BB%E9%9D%A2%E8%A9%B3%E7%B4%B0%E8%A8%AD%E8%A8%88%E6%9B%B8(MD)/IC?csf=1&amp;web=1&amp;e=WhoEqp" TargetMode="External"/><Relationship Id="rId1" Type="http://schemas.openxmlformats.org/officeDocument/2006/relationships/hyperlink" Target="../../../../../../../../../:f:/r/sites/YMSL_Teams_Sumafu_ERPgai/Shared%20Documents/32%EF%BC%8E%E3%82%82%E3%81%AE%E3%83%81%E3%83%BC%E3%83%A0/%E8%A9%B3%E7%B4%B0%E8%A8%AD%E8%A8%88/SP%E8%A9%B3%E7%B4%B0%E8%A8%AD%E8%A8%88%E6%9B%B8(MD)/IC/LDY%20%E5%85%B1%E9%80%9A%E9%83%A8%E5%93%81?csf=1&amp;web=1&amp;e=4GgWPT" TargetMode="External"/><Relationship Id="rId6" Type="http://schemas.openxmlformats.org/officeDocument/2006/relationships/hyperlink" Target="../../../../../../../../../:f:/r/sites/YMSL_Teams_Sumafu_ERPgai/Shared%20Documents/00%EF%BC%8E%E7%94%9F%E7%94%A3%E8%AA%BF%E9%81%94%E3%82%B7%E3%82%B9%E3%83%86%E3%83%A0%E9%83%A8%E5%85%B1%E9%80%9A/10_YNS%E7%94%9F%E7%94%A3%E8%AA%BF%E9%81%94%E6%94%B9%E9%9D%A9PJ/98_%E3%82%AD%E3%83%BC%E3%83%9E%E3%83%B3%E9%80%B1%E6%AC%A1%E9%80%B2%E6%8D%97/11_%E6%88%90%E6%9E%9C%E7%89%A9%EF%BC%88%E5%9F%BA%E6%9C%AC%E8%A8%AD%E8%A8%88%EF%BC%89/05_%E3%83%90%E3%83%83%E3%83%81%E3%83%BBSP%E6%A9%9F%E8%83%BD%E4%BB%95%E6%A7%98%E6%9B%B8(Java%E3%80%81SP)/IC/%E3%83%90%E3%83%83%E3%83%81?csf=1&amp;web=1&amp;e=4EXuGi" TargetMode="External"/><Relationship Id="rId5" Type="http://schemas.openxmlformats.org/officeDocument/2006/relationships/hyperlink" Target="../../../../../../../../../:f:/r/sites/YMSL_Teams_Sumafu_ERPgai/Shared%20Documents/00%EF%BC%8E%E7%94%9F%E7%94%A3%E8%AA%BF%E9%81%94%E3%82%B7%E3%82%B9%E3%83%86%E3%83%A0%E9%83%A8%E5%85%B1%E9%80%9A/10_YNS%E7%94%9F%E7%94%A3%E8%AA%BF%E9%81%94%E6%94%B9%E9%9D%A9PJ/98_%E3%82%AD%E3%83%BC%E3%83%9E%E3%83%B3%E9%80%B1%E6%AC%A1%E9%80%B2%E6%8D%97/11_%E6%88%90%E6%9E%9C%E7%89%A9%EF%BC%88%E5%9F%BA%E6%9C%AC%E8%A8%AD%E8%A8%88%EF%BC%89/05_%E3%83%90%E3%83%83%E3%83%81%E3%83%BBSP%E6%A9%9F%E8%83%BD%E4%BB%95%E6%A7%98%E6%9B%B8(Java%E3%80%81SP)/IC/SP?csf=1&amp;web=1&amp;e=OPSOEY" TargetMode="External"/><Relationship Id="rId4" Type="http://schemas.openxmlformats.org/officeDocument/2006/relationships/hyperlink" Target="../../../../../../../../../:f:/r/sites/YMSL_Teams_Sumafu_ERPgai/Shared%20Documents/32%EF%BC%8E%E3%82%82%E3%81%AE%E3%83%81%E3%83%BC%E3%83%A0/%E8%A9%B3%E7%B4%B0%E8%A8%AD%E8%A8%88/SP%E8%A9%B3%E7%B4%B0%E8%A8%AD%E8%A8%88%E6%9B%B8(MD)/IC/_work/%E5%8E%A6%E9%96%80_%E8%A9%B3%E7%B4%B0%E8%A8%AD%E8%A8%88%E6%9B%B8%E4%BD%9C%E6%88%90%E4%BE%9D%E9%A0%BC?csf=1&amp;web=1&amp;e=2rdxJj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workbookViewId="0">
      <selection activeCell="U19" sqref="U19"/>
    </sheetView>
  </sheetViews>
  <sheetFormatPr defaultRowHeight="14.25"/>
  <cols>
    <col min="1" max="1" width="3.125" customWidth="1"/>
    <col min="2" max="2" width="11" customWidth="1"/>
  </cols>
  <sheetData>
    <row r="1" spans="1:3" ht="30">
      <c r="A1" s="71" t="s">
        <v>126</v>
      </c>
    </row>
    <row r="2" spans="1:3">
      <c r="A2" t="s">
        <v>133</v>
      </c>
    </row>
    <row r="3" spans="1:3">
      <c r="A3" t="s">
        <v>127</v>
      </c>
      <c r="B3" t="s">
        <v>128</v>
      </c>
    </row>
    <row r="4" spans="1:3">
      <c r="B4" t="s">
        <v>134</v>
      </c>
    </row>
    <row r="5" spans="1:3">
      <c r="B5" t="s">
        <v>129</v>
      </c>
    </row>
    <row r="6" spans="1:3">
      <c r="B6" t="s">
        <v>130</v>
      </c>
      <c r="C6" s="69" t="s">
        <v>143</v>
      </c>
    </row>
    <row r="7" spans="1:3">
      <c r="B7" t="s">
        <v>131</v>
      </c>
      <c r="C7" t="s">
        <v>132</v>
      </c>
    </row>
    <row r="9" spans="1:3">
      <c r="B9" t="s">
        <v>179</v>
      </c>
    </row>
    <row r="10" spans="1:3">
      <c r="B10" t="s">
        <v>136</v>
      </c>
      <c r="C10" s="69" t="s">
        <v>180</v>
      </c>
    </row>
    <row r="11" spans="1:3">
      <c r="B11" t="s">
        <v>137</v>
      </c>
      <c r="C11" s="69" t="s">
        <v>182</v>
      </c>
    </row>
    <row r="12" spans="1:3">
      <c r="B12" t="s">
        <v>138</v>
      </c>
      <c r="C12" s="69" t="s">
        <v>181</v>
      </c>
    </row>
    <row r="14" spans="1:3" ht="18">
      <c r="B14" s="70" t="s">
        <v>142</v>
      </c>
    </row>
    <row r="15" spans="1:3" ht="18">
      <c r="B15" s="70" t="s">
        <v>135</v>
      </c>
    </row>
    <row r="16" spans="1:3">
      <c r="B16" t="s">
        <v>136</v>
      </c>
      <c r="C16" s="69" t="s">
        <v>139</v>
      </c>
    </row>
    <row r="17" spans="2:5">
      <c r="B17" t="s">
        <v>137</v>
      </c>
      <c r="C17" s="69" t="s">
        <v>140</v>
      </c>
      <c r="E17" t="s">
        <v>141</v>
      </c>
    </row>
    <row r="18" spans="2:5">
      <c r="B18" t="s">
        <v>138</v>
      </c>
      <c r="C18" s="69" t="s">
        <v>140</v>
      </c>
      <c r="E18" t="s">
        <v>141</v>
      </c>
    </row>
  </sheetData>
  <phoneticPr fontId="3"/>
  <hyperlinks>
    <hyperlink ref="C16" r:id="rId1" display="https://globalymc.sharepoint.com/:f:/r/sites/YMSL_Teams_Sumafu_ERPgai/Shared Documents/32%EF%BC%8E%E3%82%82%E3%81%AE%E3%83%81%E3%83%BC%E3%83%A0/%E8%A9%B3%E7%B4%B0%E8%A8%AD%E8%A8%88/SP%E8%A9%B3%E7%B4%B0%E8%A8%AD%E8%A8%88%E6%9B%B8(MD)/IC/LDY %E5%85%B1%E9%80%9A%E9%83%A8%E5%93%81?csf=1&amp;web=1&amp;e=4GgWPT" xr:uid="{32C9928A-A20F-44B9-8C1B-1AF59508FE84}"/>
    <hyperlink ref="C17" r:id="rId2" display="https://globalymc.sharepoint.com/:f:/r/sites/YMSL_Teams_Sumafu_ERPgai/Shared Documents/32%EF%BC%8E%E3%82%82%E3%81%AE%E3%83%81%E3%83%BC%E3%83%A0/%E8%A9%B3%E7%B4%B0%E8%A8%AD%E8%A8%88/%E7%94%BB%E9%9D%A2%E8%A9%B3%E7%B4%B0%E8%A8%AD%E8%A8%88%E6%9B%B8(MD)/IC?csf=1&amp;web=1&amp;e=WhoEqp" xr:uid="{CE032C77-E94C-4233-AB05-5338C8CBCDF7}"/>
    <hyperlink ref="C18" r:id="rId3" display="https://globalymc.sharepoint.com/:f:/r/sites/YMSL_Teams_Sumafu_ERPgai/Shared Documents/32%EF%BC%8E%E3%82%82%E3%81%AE%E3%83%81%E3%83%BC%E3%83%A0/%E8%A9%B3%E7%B4%B0%E8%A8%AD%E8%A8%88/%E3%83%90%E3%83%83%E3%83%81%E8%A9%B3%E7%B4%B0%E8%A8%AD%E8%A8%88%E6%9B%B8(MD)/IC?csf=1&amp;web=1&amp;e=Abr9l3" xr:uid="{5F771614-7120-4B5D-A083-4AA90A85E421}"/>
    <hyperlink ref="C6" r:id="rId4" display="../../../../../../../../../:f:/r/sites/YMSL_Teams_Sumafu_ERPgai/Shared Documents/32%EF%BC%8E%E3%82%82%E3%81%AE%E3%83%81%E3%83%BC%E3%83%A0/%E8%A9%B3%E7%B4%B0%E8%A8%AD%E8%A8%88/SP%E8%A9%B3%E7%B4%B0%E8%A8%AD%E8%A8%88%E6%9B%B8(MD)/IC/_work/%E5%8E%A6%E9%96%80_%E8%A9%B3%E7%B4%B0%E8%A8%AD%E8%A8%88%E6%9B%B8%E4%BD%9C%E6%88%90%E4%BE%9D%E9%A0%BC?csf=1&amp;web=1&amp;e=2rdxJj" xr:uid="{537B94A9-BFAC-4D52-9C30-625BD5DD2EAD}"/>
    <hyperlink ref="C10" r:id="rId5" display="../../../../../../../../../:f:/r/sites/YMSL_Teams_Sumafu_ERPgai/Shared Documents/00%EF%BC%8E%E7%94%9F%E7%94%A3%E8%AA%BF%E9%81%94%E3%82%B7%E3%82%B9%E3%83%86%E3%83%A0%E9%83%A8%E5%85%B1%E9%80%9A/10_YNS%E7%94%9F%E7%94%A3%E8%AA%BF%E9%81%94%E6%94%B9%E9%9D%A9PJ/98_%E3%82%AD%E3%83%BC%E3%83%9E%E3%83%B3%E9%80%B1%E6%AC%A1%E9%80%B2%E6%8D%97/11_%E6%88%90%E6%9E%9C%E7%89%A9%EF%BC%88%E5%9F%BA%E6%9C%AC%E8%A8%AD%E8%A8%88%EF%BC%89/05_%E3%83%90%E3%83%83%E3%83%81%E3%83%BBSP%E6%A9%9F%E8%83%BD%E4%BB%95%E6%A7%98%E6%9B%B8(Java%E3%80%81SP)/IC/SP?csf=1&amp;web=1&amp;e=OPSOEY" xr:uid="{6A14062A-4D14-4F35-A0D4-C1DEDD5A794A}"/>
    <hyperlink ref="C12" r:id="rId6" display="../../../../../../../../../:f:/r/sites/YMSL_Teams_Sumafu_ERPgai/Shared Documents/00%EF%BC%8E%E7%94%9F%E7%94%A3%E8%AA%BF%E9%81%94%E3%82%B7%E3%82%B9%E3%83%86%E3%83%A0%E9%83%A8%E5%85%B1%E9%80%9A/10_YNS%E7%94%9F%E7%94%A3%E8%AA%BF%E9%81%94%E6%94%B9%E9%9D%A9PJ/98_%E3%82%AD%E3%83%BC%E3%83%9E%E3%83%B3%E9%80%B1%E6%AC%A1%E9%80%B2%E6%8D%97/11_%E6%88%90%E6%9E%9C%E7%89%A9%EF%BC%88%E5%9F%BA%E6%9C%AC%E8%A8%AD%E8%A8%88%EF%BC%89/05_%E3%83%90%E3%83%83%E3%83%81%E3%83%BBSP%E6%A9%9F%E8%83%BD%E4%BB%95%E6%A7%98%E6%9B%B8(Java%E3%80%81SP)/IC/%E3%83%90%E3%83%83%E3%83%81?csf=1&amp;web=1&amp;e=4EXuGi" xr:uid="{1F980E29-7DE7-4627-97A1-171B6A949796}"/>
    <hyperlink ref="C11" r:id="rId7" xr:uid="{FCB1B3C8-D675-45D4-89F9-E2908691736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9FBEC-0C9C-44A6-9D54-D2DB300F86B0}">
  <dimension ref="A2:V42"/>
  <sheetViews>
    <sheetView tabSelected="1" topLeftCell="D1" zoomScaleNormal="100" workbookViewId="0">
      <selection activeCell="D1" sqref="D1"/>
    </sheetView>
  </sheetViews>
  <sheetFormatPr defaultColWidth="9" defaultRowHeight="14.25"/>
  <cols>
    <col min="1" max="1" width="4.125" style="89" customWidth="1"/>
    <col min="2" max="2" width="9.75" style="89" bestFit="1" customWidth="1"/>
    <col min="3" max="4" width="9.875" style="89" customWidth="1"/>
    <col min="5" max="5" width="29.375" style="89" bestFit="1" customWidth="1"/>
    <col min="6" max="6" width="6.375" style="89" bestFit="1" customWidth="1"/>
    <col min="7" max="7" width="14.25" style="89" customWidth="1"/>
    <col min="8" max="8" width="8.375" style="89" customWidth="1"/>
    <col min="9" max="9" width="8.75" style="89" bestFit="1" customWidth="1"/>
    <col min="10" max="10" width="11.25" style="89" bestFit="1" customWidth="1"/>
    <col min="11" max="11" width="9" style="89"/>
    <col min="12" max="12" width="10" style="89" bestFit="1" customWidth="1"/>
    <col min="13" max="13" width="11" style="89" bestFit="1" customWidth="1"/>
    <col min="14" max="14" width="6.375" style="89" bestFit="1" customWidth="1"/>
    <col min="15" max="15" width="8.75" style="89" bestFit="1" customWidth="1"/>
    <col min="16" max="16" width="9.75" style="89" bestFit="1" customWidth="1"/>
    <col min="17" max="17" width="9.125" style="89" bestFit="1" customWidth="1"/>
    <col min="18" max="18" width="10" style="89" bestFit="1" customWidth="1"/>
    <col min="19" max="19" width="11" style="89" bestFit="1" customWidth="1"/>
    <col min="20" max="20" width="52" style="89" customWidth="1"/>
    <col min="21" max="21" width="26.875" style="89" customWidth="1"/>
    <col min="22" max="22" width="56.25" style="89" customWidth="1"/>
    <col min="23" max="16384" width="9" style="89"/>
  </cols>
  <sheetData>
    <row r="2" spans="1:22" ht="28.5">
      <c r="A2" s="88" t="s">
        <v>0</v>
      </c>
    </row>
    <row r="4" spans="1:22" ht="15" thickBot="1"/>
    <row r="5" spans="1:22" ht="13.5" customHeight="1" thickBot="1">
      <c r="A5" s="90" t="s">
        <v>1</v>
      </c>
      <c r="B5" s="91" t="s">
        <v>144</v>
      </c>
      <c r="C5" s="92" t="s">
        <v>145</v>
      </c>
      <c r="D5" s="92" t="s">
        <v>146</v>
      </c>
      <c r="E5" s="93" t="s">
        <v>3</v>
      </c>
      <c r="F5" s="93" t="s">
        <v>4</v>
      </c>
      <c r="G5" s="94" t="s">
        <v>5</v>
      </c>
      <c r="H5" s="95" t="s">
        <v>6</v>
      </c>
      <c r="I5" s="96"/>
      <c r="J5" s="96"/>
      <c r="K5" s="96"/>
      <c r="L5" s="96"/>
      <c r="M5" s="97"/>
      <c r="N5" s="98" t="s">
        <v>7</v>
      </c>
      <c r="O5" s="99"/>
      <c r="P5" s="99"/>
      <c r="Q5" s="99"/>
      <c r="R5" s="99"/>
      <c r="S5" s="100"/>
      <c r="T5" s="101" t="s">
        <v>8</v>
      </c>
      <c r="U5" s="102"/>
      <c r="V5" s="103" t="s">
        <v>9</v>
      </c>
    </row>
    <row r="6" spans="1:22" ht="13.5" customHeight="1" thickBot="1">
      <c r="A6" s="104"/>
      <c r="B6" s="105"/>
      <c r="C6" s="106"/>
      <c r="D6" s="106"/>
      <c r="E6" s="105"/>
      <c r="F6" s="105"/>
      <c r="G6" s="107"/>
      <c r="H6" s="108" t="s">
        <v>10</v>
      </c>
      <c r="I6" s="109" t="s">
        <v>11</v>
      </c>
      <c r="J6" s="109" t="s">
        <v>12</v>
      </c>
      <c r="K6" s="110" t="s">
        <v>13</v>
      </c>
      <c r="L6" s="110" t="s">
        <v>14</v>
      </c>
      <c r="M6" s="111" t="s">
        <v>15</v>
      </c>
      <c r="N6" s="108" t="s">
        <v>10</v>
      </c>
      <c r="O6" s="109" t="s">
        <v>11</v>
      </c>
      <c r="P6" s="109" t="s">
        <v>12</v>
      </c>
      <c r="Q6" s="110" t="s">
        <v>13</v>
      </c>
      <c r="R6" s="110" t="s">
        <v>14</v>
      </c>
      <c r="S6" s="112" t="s">
        <v>15</v>
      </c>
      <c r="T6" s="113" t="s">
        <v>16</v>
      </c>
      <c r="U6" s="114" t="s">
        <v>17</v>
      </c>
      <c r="V6" s="115"/>
    </row>
    <row r="7" spans="1:22" ht="28.5">
      <c r="A7" s="116">
        <v>0</v>
      </c>
      <c r="B7" s="117" t="s">
        <v>18</v>
      </c>
      <c r="C7" s="117" t="s">
        <v>147</v>
      </c>
      <c r="D7" s="117" t="s">
        <v>150</v>
      </c>
      <c r="E7" s="117" t="s">
        <v>19</v>
      </c>
      <c r="F7" s="117" t="s">
        <v>19</v>
      </c>
      <c r="G7" s="118" t="s">
        <v>20</v>
      </c>
      <c r="H7" s="119" t="s">
        <v>21</v>
      </c>
      <c r="I7" s="120" t="s">
        <v>22</v>
      </c>
      <c r="J7" s="121">
        <v>45942</v>
      </c>
      <c r="K7" s="117" t="s">
        <v>23</v>
      </c>
      <c r="L7" s="117"/>
      <c r="M7" s="122"/>
      <c r="N7" s="119"/>
      <c r="O7" s="117"/>
      <c r="P7" s="117"/>
      <c r="Q7" s="117" t="s">
        <v>23</v>
      </c>
      <c r="R7" s="117"/>
      <c r="S7" s="123"/>
      <c r="T7" s="124" t="s">
        <v>24</v>
      </c>
      <c r="U7" s="125" t="s">
        <v>25</v>
      </c>
      <c r="V7" s="126"/>
    </row>
    <row r="8" spans="1:22" ht="42.75">
      <c r="A8" s="127">
        <f>ROW()-ROW($A$7)</f>
        <v>1</v>
      </c>
      <c r="B8" s="128" t="s">
        <v>268</v>
      </c>
      <c r="C8" s="128" t="s">
        <v>183</v>
      </c>
      <c r="D8" s="128" t="s">
        <v>203</v>
      </c>
      <c r="E8" s="128" t="s">
        <v>26</v>
      </c>
      <c r="F8" s="128" t="s">
        <v>23</v>
      </c>
      <c r="G8" s="129" t="s">
        <v>27</v>
      </c>
      <c r="H8" s="130"/>
      <c r="I8" s="131"/>
      <c r="J8" s="131"/>
      <c r="K8" s="131" t="s">
        <v>28</v>
      </c>
      <c r="L8" s="131"/>
      <c r="M8" s="132"/>
      <c r="N8" s="130"/>
      <c r="O8" s="131"/>
      <c r="P8" s="131"/>
      <c r="Q8" s="131" t="s">
        <v>29</v>
      </c>
      <c r="R8" s="131"/>
      <c r="S8" s="133"/>
      <c r="T8" s="134" t="s">
        <v>271</v>
      </c>
      <c r="U8" s="135" t="s">
        <v>270</v>
      </c>
      <c r="V8" s="134" t="s">
        <v>269</v>
      </c>
    </row>
    <row r="9" spans="1:22" ht="71.25">
      <c r="A9" s="136">
        <f>ROW()-ROW($A$7)</f>
        <v>2</v>
      </c>
      <c r="B9" s="137" t="s">
        <v>212</v>
      </c>
      <c r="C9" s="137" t="s">
        <v>148</v>
      </c>
      <c r="D9" s="137" t="s">
        <v>204</v>
      </c>
      <c r="E9" s="137" t="s">
        <v>213</v>
      </c>
      <c r="F9" s="137" t="s">
        <v>23</v>
      </c>
      <c r="G9" s="138" t="s">
        <v>20</v>
      </c>
      <c r="H9" s="139"/>
      <c r="I9" s="140"/>
      <c r="J9" s="140"/>
      <c r="K9" s="140" t="s">
        <v>23</v>
      </c>
      <c r="L9" s="140"/>
      <c r="M9" s="141"/>
      <c r="N9" s="139"/>
      <c r="O9" s="140"/>
      <c r="P9" s="140"/>
      <c r="Q9" s="140" t="s">
        <v>23</v>
      </c>
      <c r="R9" s="140"/>
      <c r="S9" s="142"/>
      <c r="T9" s="134" t="s">
        <v>243</v>
      </c>
      <c r="U9" s="143" t="s">
        <v>272</v>
      </c>
      <c r="V9" s="134" t="s">
        <v>258</v>
      </c>
    </row>
    <row r="10" spans="1:22">
      <c r="A10" s="136">
        <f t="shared" ref="A10:A42" si="0">ROW()-ROW($A$7)</f>
        <v>3</v>
      </c>
      <c r="B10" s="137" t="s">
        <v>214</v>
      </c>
      <c r="C10" s="137" t="s">
        <v>151</v>
      </c>
      <c r="D10" s="137" t="s">
        <v>205</v>
      </c>
      <c r="E10" s="137" t="s">
        <v>215</v>
      </c>
      <c r="F10" s="137" t="s">
        <v>23</v>
      </c>
      <c r="G10" s="138" t="s">
        <v>20</v>
      </c>
      <c r="H10" s="139"/>
      <c r="I10" s="140"/>
      <c r="J10" s="140"/>
      <c r="K10" s="140" t="s">
        <v>23</v>
      </c>
      <c r="L10" s="140"/>
      <c r="M10" s="141"/>
      <c r="N10" s="139"/>
      <c r="O10" s="140"/>
      <c r="P10" s="140"/>
      <c r="Q10" s="140" t="s">
        <v>23</v>
      </c>
      <c r="R10" s="140"/>
      <c r="S10" s="142"/>
      <c r="T10" s="134" t="s">
        <v>243</v>
      </c>
      <c r="U10" s="144"/>
      <c r="V10" s="134" t="s">
        <v>259</v>
      </c>
    </row>
    <row r="11" spans="1:22" ht="42.75">
      <c r="A11" s="136">
        <f>ROW()-ROW($A$7)</f>
        <v>4</v>
      </c>
      <c r="B11" s="137" t="s">
        <v>216</v>
      </c>
      <c r="C11" s="137" t="s">
        <v>152</v>
      </c>
      <c r="D11" s="137" t="s">
        <v>206</v>
      </c>
      <c r="E11" s="137" t="s">
        <v>217</v>
      </c>
      <c r="F11" s="137" t="s">
        <v>23</v>
      </c>
      <c r="G11" s="138" t="s">
        <v>20</v>
      </c>
      <c r="H11" s="139"/>
      <c r="I11" s="140"/>
      <c r="J11" s="140"/>
      <c r="K11" s="140" t="s">
        <v>23</v>
      </c>
      <c r="L11" s="140"/>
      <c r="M11" s="141"/>
      <c r="N11" s="139"/>
      <c r="O11" s="140"/>
      <c r="P11" s="140"/>
      <c r="Q11" s="140" t="s">
        <v>23</v>
      </c>
      <c r="R11" s="140"/>
      <c r="S11" s="142"/>
      <c r="T11" s="134" t="s">
        <v>244</v>
      </c>
      <c r="U11" s="143" t="s">
        <v>241</v>
      </c>
      <c r="V11" s="134" t="s">
        <v>260</v>
      </c>
    </row>
    <row r="12" spans="1:22" ht="171">
      <c r="A12" s="136">
        <f t="shared" si="0"/>
        <v>5</v>
      </c>
      <c r="B12" s="137" t="s">
        <v>184</v>
      </c>
      <c r="C12" s="137" t="s">
        <v>153</v>
      </c>
      <c r="D12" s="137" t="s">
        <v>207</v>
      </c>
      <c r="E12" s="137" t="s">
        <v>185</v>
      </c>
      <c r="F12" s="137" t="s">
        <v>23</v>
      </c>
      <c r="G12" s="138" t="s">
        <v>20</v>
      </c>
      <c r="H12" s="139"/>
      <c r="I12" s="140"/>
      <c r="J12" s="140"/>
      <c r="K12" s="140" t="s">
        <v>23</v>
      </c>
      <c r="L12" s="140"/>
      <c r="M12" s="141"/>
      <c r="N12" s="139"/>
      <c r="O12" s="140"/>
      <c r="P12" s="140"/>
      <c r="Q12" s="140" t="s">
        <v>23</v>
      </c>
      <c r="R12" s="140"/>
      <c r="S12" s="142"/>
      <c r="T12" s="134" t="s">
        <v>247</v>
      </c>
      <c r="U12" s="143" t="s">
        <v>238</v>
      </c>
      <c r="V12" s="134" t="s">
        <v>261</v>
      </c>
    </row>
    <row r="13" spans="1:22" ht="85.5">
      <c r="A13" s="136">
        <f t="shared" si="0"/>
        <v>6</v>
      </c>
      <c r="B13" s="137" t="s">
        <v>218</v>
      </c>
      <c r="C13" s="137" t="s">
        <v>154</v>
      </c>
      <c r="D13" s="137" t="s">
        <v>208</v>
      </c>
      <c r="E13" s="137" t="s">
        <v>219</v>
      </c>
      <c r="F13" s="137" t="s">
        <v>23</v>
      </c>
      <c r="G13" s="138" t="s">
        <v>20</v>
      </c>
      <c r="H13" s="139"/>
      <c r="I13" s="140"/>
      <c r="J13" s="140"/>
      <c r="K13" s="140" t="s">
        <v>23</v>
      </c>
      <c r="L13" s="140"/>
      <c r="M13" s="141"/>
      <c r="N13" s="139"/>
      <c r="O13" s="140"/>
      <c r="P13" s="140"/>
      <c r="Q13" s="140" t="s">
        <v>23</v>
      </c>
      <c r="R13" s="140"/>
      <c r="S13" s="142"/>
      <c r="T13" s="134" t="s">
        <v>247</v>
      </c>
      <c r="U13" s="143" t="s">
        <v>239</v>
      </c>
      <c r="V13" s="134" t="s">
        <v>262</v>
      </c>
    </row>
    <row r="14" spans="1:22">
      <c r="A14" s="136">
        <f t="shared" si="0"/>
        <v>7</v>
      </c>
      <c r="B14" s="137" t="s">
        <v>220</v>
      </c>
      <c r="C14" s="137" t="s">
        <v>155</v>
      </c>
      <c r="D14" s="137" t="s">
        <v>156</v>
      </c>
      <c r="E14" s="137" t="s">
        <v>221</v>
      </c>
      <c r="F14" s="137" t="s">
        <v>23</v>
      </c>
      <c r="G14" s="138" t="s">
        <v>20</v>
      </c>
      <c r="H14" s="139"/>
      <c r="I14" s="140"/>
      <c r="J14" s="140"/>
      <c r="K14" s="140" t="s">
        <v>23</v>
      </c>
      <c r="L14" s="140"/>
      <c r="M14" s="141"/>
      <c r="N14" s="139"/>
      <c r="O14" s="140"/>
      <c r="P14" s="140"/>
      <c r="Q14" s="140" t="s">
        <v>23</v>
      </c>
      <c r="R14" s="140"/>
      <c r="S14" s="142"/>
      <c r="T14" s="134"/>
      <c r="U14" s="144"/>
      <c r="V14" s="134" t="s">
        <v>262</v>
      </c>
    </row>
    <row r="15" spans="1:22">
      <c r="A15" s="136">
        <f t="shared" si="0"/>
        <v>8</v>
      </c>
      <c r="B15" s="137" t="s">
        <v>222</v>
      </c>
      <c r="C15" s="137" t="s">
        <v>193</v>
      </c>
      <c r="D15" s="137" t="s">
        <v>209</v>
      </c>
      <c r="E15" s="137" t="s">
        <v>223</v>
      </c>
      <c r="F15" s="137" t="s">
        <v>23</v>
      </c>
      <c r="G15" s="138" t="s">
        <v>20</v>
      </c>
      <c r="H15" s="139"/>
      <c r="I15" s="140"/>
      <c r="J15" s="140"/>
      <c r="K15" s="140" t="s">
        <v>23</v>
      </c>
      <c r="L15" s="140"/>
      <c r="M15" s="141"/>
      <c r="N15" s="139"/>
      <c r="O15" s="140"/>
      <c r="P15" s="140"/>
      <c r="Q15" s="140" t="s">
        <v>23</v>
      </c>
      <c r="R15" s="140"/>
      <c r="S15" s="142"/>
      <c r="T15" s="134" t="s">
        <v>245</v>
      </c>
      <c r="U15" s="144"/>
      <c r="V15" s="134" t="s">
        <v>267</v>
      </c>
    </row>
    <row r="16" spans="1:22">
      <c r="A16" s="136">
        <f t="shared" si="0"/>
        <v>9</v>
      </c>
      <c r="B16" s="137" t="s">
        <v>224</v>
      </c>
      <c r="C16" s="137" t="s">
        <v>194</v>
      </c>
      <c r="D16" s="137" t="s">
        <v>210</v>
      </c>
      <c r="E16" s="137" t="s">
        <v>225</v>
      </c>
      <c r="F16" s="137" t="s">
        <v>23</v>
      </c>
      <c r="G16" s="138" t="s">
        <v>20</v>
      </c>
      <c r="H16" s="139"/>
      <c r="I16" s="140"/>
      <c r="J16" s="140"/>
      <c r="K16" s="140" t="s">
        <v>23</v>
      </c>
      <c r="L16" s="140"/>
      <c r="M16" s="141"/>
      <c r="N16" s="139"/>
      <c r="O16" s="140"/>
      <c r="P16" s="140"/>
      <c r="Q16" s="140" t="s">
        <v>23</v>
      </c>
      <c r="R16" s="140"/>
      <c r="S16" s="142"/>
      <c r="T16" s="134" t="s">
        <v>245</v>
      </c>
      <c r="U16" s="144"/>
      <c r="V16" s="134" t="s">
        <v>263</v>
      </c>
    </row>
    <row r="17" spans="1:22">
      <c r="A17" s="136">
        <f t="shared" si="0"/>
        <v>10</v>
      </c>
      <c r="B17" s="137" t="s">
        <v>226</v>
      </c>
      <c r="C17" s="137" t="s">
        <v>195</v>
      </c>
      <c r="D17" s="137" t="s">
        <v>196</v>
      </c>
      <c r="E17" s="137" t="s">
        <v>227</v>
      </c>
      <c r="F17" s="137" t="s">
        <v>30</v>
      </c>
      <c r="G17" s="138" t="s">
        <v>20</v>
      </c>
      <c r="H17" s="139"/>
      <c r="I17" s="140"/>
      <c r="J17" s="140"/>
      <c r="K17" s="140" t="s">
        <v>30</v>
      </c>
      <c r="L17" s="140"/>
      <c r="M17" s="141"/>
      <c r="N17" s="139"/>
      <c r="O17" s="140"/>
      <c r="P17" s="140"/>
      <c r="Q17" s="140" t="s">
        <v>30</v>
      </c>
      <c r="R17" s="140"/>
      <c r="S17" s="142"/>
      <c r="T17" s="134"/>
      <c r="U17" s="144"/>
      <c r="V17" s="134"/>
    </row>
    <row r="18" spans="1:22" ht="28.5">
      <c r="A18" s="136">
        <f t="shared" si="0"/>
        <v>11</v>
      </c>
      <c r="B18" s="137" t="s">
        <v>228</v>
      </c>
      <c r="C18" s="137" t="s">
        <v>191</v>
      </c>
      <c r="D18" s="137" t="s">
        <v>202</v>
      </c>
      <c r="E18" s="137" t="s">
        <v>229</v>
      </c>
      <c r="F18" s="137" t="s">
        <v>30</v>
      </c>
      <c r="G18" s="138" t="s">
        <v>197</v>
      </c>
      <c r="H18" s="139"/>
      <c r="I18" s="140"/>
      <c r="J18" s="140"/>
      <c r="K18" s="140" t="s">
        <v>30</v>
      </c>
      <c r="L18" s="140"/>
      <c r="M18" s="141"/>
      <c r="N18" s="139"/>
      <c r="O18" s="140"/>
      <c r="P18" s="140"/>
      <c r="Q18" s="140" t="s">
        <v>30</v>
      </c>
      <c r="R18" s="140"/>
      <c r="S18" s="142"/>
      <c r="T18" s="134"/>
      <c r="U18" s="143" t="s">
        <v>240</v>
      </c>
      <c r="V18" s="134" t="s">
        <v>264</v>
      </c>
    </row>
    <row r="19" spans="1:22" ht="42.75">
      <c r="A19" s="136">
        <f t="shared" si="0"/>
        <v>12</v>
      </c>
      <c r="B19" s="137" t="s">
        <v>230</v>
      </c>
      <c r="C19" s="137" t="s">
        <v>188</v>
      </c>
      <c r="D19" s="137" t="s">
        <v>199</v>
      </c>
      <c r="E19" s="137" t="s">
        <v>231</v>
      </c>
      <c r="F19" s="137" t="s">
        <v>30</v>
      </c>
      <c r="G19" s="138" t="s">
        <v>197</v>
      </c>
      <c r="H19" s="139"/>
      <c r="I19" s="140"/>
      <c r="J19" s="140"/>
      <c r="K19" s="140" t="s">
        <v>30</v>
      </c>
      <c r="L19" s="140"/>
      <c r="M19" s="141"/>
      <c r="N19" s="139"/>
      <c r="O19" s="140"/>
      <c r="P19" s="140"/>
      <c r="Q19" s="140" t="s">
        <v>30</v>
      </c>
      <c r="R19" s="140"/>
      <c r="S19" s="142"/>
      <c r="T19" s="134" t="s">
        <v>246</v>
      </c>
      <c r="U19" s="143" t="s">
        <v>242</v>
      </c>
      <c r="V19" s="134" t="s">
        <v>264</v>
      </c>
    </row>
    <row r="20" spans="1:22">
      <c r="A20" s="136">
        <f t="shared" si="0"/>
        <v>13</v>
      </c>
      <c r="B20" s="137" t="s">
        <v>192</v>
      </c>
      <c r="C20" s="137" t="s">
        <v>157</v>
      </c>
      <c r="D20" s="137" t="s">
        <v>189</v>
      </c>
      <c r="E20" s="137" t="s">
        <v>232</v>
      </c>
      <c r="F20" s="137" t="s">
        <v>30</v>
      </c>
      <c r="G20" s="138" t="s">
        <v>197</v>
      </c>
      <c r="H20" s="139"/>
      <c r="I20" s="140"/>
      <c r="J20" s="140"/>
      <c r="K20" s="140" t="s">
        <v>30</v>
      </c>
      <c r="L20" s="140"/>
      <c r="M20" s="141"/>
      <c r="N20" s="139"/>
      <c r="O20" s="140"/>
      <c r="P20" s="140"/>
      <c r="Q20" s="140" t="s">
        <v>30</v>
      </c>
      <c r="R20" s="140"/>
      <c r="S20" s="142"/>
      <c r="T20" s="134"/>
      <c r="U20" s="144"/>
      <c r="V20" s="134" t="s">
        <v>264</v>
      </c>
    </row>
    <row r="21" spans="1:22" ht="42.75">
      <c r="A21" s="136">
        <f t="shared" si="0"/>
        <v>14</v>
      </c>
      <c r="B21" s="137" t="s">
        <v>233</v>
      </c>
      <c r="C21" s="137" t="s">
        <v>200</v>
      </c>
      <c r="D21" s="137" t="s">
        <v>201</v>
      </c>
      <c r="E21" s="137" t="s">
        <v>234</v>
      </c>
      <c r="F21" s="137" t="s">
        <v>30</v>
      </c>
      <c r="G21" s="138" t="s">
        <v>197</v>
      </c>
      <c r="H21" s="139"/>
      <c r="I21" s="140"/>
      <c r="J21" s="140"/>
      <c r="K21" s="140" t="s">
        <v>30</v>
      </c>
      <c r="L21" s="140"/>
      <c r="M21" s="141"/>
      <c r="N21" s="139"/>
      <c r="O21" s="140"/>
      <c r="P21" s="140"/>
      <c r="Q21" s="140" t="s">
        <v>30</v>
      </c>
      <c r="R21" s="140"/>
      <c r="S21" s="142"/>
      <c r="T21" s="134"/>
      <c r="U21" s="143" t="s">
        <v>242</v>
      </c>
      <c r="V21" s="134" t="s">
        <v>264</v>
      </c>
    </row>
    <row r="22" spans="1:22">
      <c r="A22" s="136">
        <f t="shared" si="0"/>
        <v>15</v>
      </c>
      <c r="B22" s="137" t="s">
        <v>32</v>
      </c>
      <c r="C22" s="137" t="s">
        <v>158</v>
      </c>
      <c r="D22" s="137" t="s">
        <v>159</v>
      </c>
      <c r="E22" s="137" t="s">
        <v>33</v>
      </c>
      <c r="F22" s="137" t="s">
        <v>30</v>
      </c>
      <c r="G22" s="138" t="s">
        <v>20</v>
      </c>
      <c r="H22" s="139"/>
      <c r="I22" s="140"/>
      <c r="J22" s="140"/>
      <c r="K22" s="140" t="s">
        <v>30</v>
      </c>
      <c r="L22" s="140"/>
      <c r="M22" s="141"/>
      <c r="N22" s="139"/>
      <c r="O22" s="140"/>
      <c r="P22" s="140"/>
      <c r="Q22" s="140" t="s">
        <v>30</v>
      </c>
      <c r="R22" s="140"/>
      <c r="S22" s="142"/>
      <c r="T22" s="134"/>
      <c r="U22" s="144"/>
      <c r="V22" s="145"/>
    </row>
    <row r="23" spans="1:22">
      <c r="A23" s="136">
        <f t="shared" si="0"/>
        <v>16</v>
      </c>
      <c r="B23" s="137" t="s">
        <v>34</v>
      </c>
      <c r="C23" s="137" t="s">
        <v>157</v>
      </c>
      <c r="D23" s="137" t="s">
        <v>160</v>
      </c>
      <c r="E23" s="137" t="s">
        <v>35</v>
      </c>
      <c r="F23" s="137" t="s">
        <v>30</v>
      </c>
      <c r="G23" s="138" t="s">
        <v>31</v>
      </c>
      <c r="H23" s="139"/>
      <c r="I23" s="140"/>
      <c r="J23" s="140"/>
      <c r="K23" s="140" t="s">
        <v>30</v>
      </c>
      <c r="L23" s="140"/>
      <c r="M23" s="141"/>
      <c r="N23" s="139"/>
      <c r="O23" s="140"/>
      <c r="P23" s="140"/>
      <c r="Q23" s="140" t="s">
        <v>30</v>
      </c>
      <c r="R23" s="140"/>
      <c r="S23" s="142"/>
      <c r="T23" s="134"/>
      <c r="U23" s="144"/>
      <c r="V23" s="145"/>
    </row>
    <row r="24" spans="1:22">
      <c r="A24" s="136">
        <f t="shared" si="0"/>
        <v>17</v>
      </c>
      <c r="B24" s="137" t="s">
        <v>36</v>
      </c>
      <c r="C24" s="137" t="s">
        <v>161</v>
      </c>
      <c r="D24" s="137" t="s">
        <v>162</v>
      </c>
      <c r="E24" s="137" t="s">
        <v>37</v>
      </c>
      <c r="F24" s="137" t="s">
        <v>30</v>
      </c>
      <c r="G24" s="138" t="s">
        <v>20</v>
      </c>
      <c r="H24" s="139"/>
      <c r="I24" s="140"/>
      <c r="J24" s="140"/>
      <c r="K24" s="140" t="s">
        <v>30</v>
      </c>
      <c r="L24" s="140"/>
      <c r="M24" s="141"/>
      <c r="N24" s="139"/>
      <c r="O24" s="140"/>
      <c r="P24" s="140"/>
      <c r="Q24" s="140" t="s">
        <v>30</v>
      </c>
      <c r="R24" s="140"/>
      <c r="S24" s="142"/>
      <c r="T24" s="134"/>
      <c r="U24" s="144"/>
      <c r="V24" s="145"/>
    </row>
    <row r="25" spans="1:22">
      <c r="A25" s="136">
        <f t="shared" si="0"/>
        <v>18</v>
      </c>
      <c r="B25" s="137" t="s">
        <v>38</v>
      </c>
      <c r="C25" s="137" t="s">
        <v>163</v>
      </c>
      <c r="D25" s="137" t="s">
        <v>164</v>
      </c>
      <c r="E25" s="137" t="s">
        <v>39</v>
      </c>
      <c r="F25" s="137" t="s">
        <v>30</v>
      </c>
      <c r="G25" s="138" t="s">
        <v>20</v>
      </c>
      <c r="H25" s="139"/>
      <c r="I25" s="140"/>
      <c r="J25" s="140"/>
      <c r="K25" s="140" t="s">
        <v>30</v>
      </c>
      <c r="L25" s="140"/>
      <c r="M25" s="141"/>
      <c r="N25" s="139"/>
      <c r="O25" s="140"/>
      <c r="P25" s="140"/>
      <c r="Q25" s="140" t="s">
        <v>30</v>
      </c>
      <c r="R25" s="140"/>
      <c r="S25" s="142"/>
      <c r="T25" s="134"/>
      <c r="U25" s="144"/>
      <c r="V25" s="145"/>
    </row>
    <row r="26" spans="1:22">
      <c r="A26" s="136">
        <f t="shared" si="0"/>
        <v>19</v>
      </c>
      <c r="B26" s="137" t="s">
        <v>40</v>
      </c>
      <c r="C26" s="137" t="s">
        <v>165</v>
      </c>
      <c r="D26" s="137" t="s">
        <v>166</v>
      </c>
      <c r="E26" s="137" t="s">
        <v>190</v>
      </c>
      <c r="F26" s="137" t="s">
        <v>30</v>
      </c>
      <c r="G26" s="138" t="s">
        <v>31</v>
      </c>
      <c r="H26" s="139"/>
      <c r="I26" s="140"/>
      <c r="J26" s="140"/>
      <c r="K26" s="140" t="s">
        <v>30</v>
      </c>
      <c r="L26" s="140"/>
      <c r="M26" s="141"/>
      <c r="N26" s="139"/>
      <c r="O26" s="140"/>
      <c r="P26" s="140"/>
      <c r="Q26" s="140" t="s">
        <v>30</v>
      </c>
      <c r="R26" s="140"/>
      <c r="S26" s="142"/>
      <c r="T26" s="134"/>
      <c r="U26" s="144"/>
      <c r="V26" s="145"/>
    </row>
    <row r="27" spans="1:22">
      <c r="A27" s="136">
        <f t="shared" si="0"/>
        <v>20</v>
      </c>
      <c r="B27" s="137" t="s">
        <v>235</v>
      </c>
      <c r="C27" s="137" t="s">
        <v>198</v>
      </c>
      <c r="D27" s="137" t="s">
        <v>211</v>
      </c>
      <c r="E27" s="137" t="s">
        <v>236</v>
      </c>
      <c r="F27" s="137" t="s">
        <v>30</v>
      </c>
      <c r="G27" s="138" t="s">
        <v>20</v>
      </c>
      <c r="H27" s="139"/>
      <c r="I27" s="140"/>
      <c r="J27" s="140"/>
      <c r="K27" s="140" t="s">
        <v>30</v>
      </c>
      <c r="L27" s="140"/>
      <c r="M27" s="141"/>
      <c r="N27" s="139"/>
      <c r="O27" s="140"/>
      <c r="P27" s="140"/>
      <c r="Q27" s="140" t="s">
        <v>30</v>
      </c>
      <c r="R27" s="140"/>
      <c r="S27" s="142"/>
      <c r="T27" s="134"/>
      <c r="U27" s="144"/>
      <c r="V27" s="145" t="s">
        <v>265</v>
      </c>
    </row>
    <row r="28" spans="1:22" ht="28.5">
      <c r="A28" s="136">
        <f t="shared" si="0"/>
        <v>21</v>
      </c>
      <c r="B28" s="137" t="s">
        <v>237</v>
      </c>
      <c r="C28" s="137"/>
      <c r="D28" s="137" t="s">
        <v>187</v>
      </c>
      <c r="E28" s="137" t="s">
        <v>186</v>
      </c>
      <c r="F28" s="137" t="s">
        <v>30</v>
      </c>
      <c r="G28" s="138" t="s">
        <v>31</v>
      </c>
      <c r="H28" s="139"/>
      <c r="I28" s="140"/>
      <c r="J28" s="140"/>
      <c r="K28" s="140" t="s">
        <v>30</v>
      </c>
      <c r="L28" s="140"/>
      <c r="M28" s="141"/>
      <c r="N28" s="139"/>
      <c r="O28" s="140"/>
      <c r="P28" s="140"/>
      <c r="Q28" s="140" t="s">
        <v>30</v>
      </c>
      <c r="R28" s="140"/>
      <c r="S28" s="142"/>
      <c r="T28" s="134"/>
      <c r="U28" s="144"/>
      <c r="V28" s="146" t="s">
        <v>266</v>
      </c>
    </row>
    <row r="29" spans="1:22" ht="42.75">
      <c r="A29" s="136">
        <f t="shared" si="0"/>
        <v>22</v>
      </c>
      <c r="B29" s="137" t="s">
        <v>41</v>
      </c>
      <c r="C29" s="137" t="s">
        <v>167</v>
      </c>
      <c r="D29" s="137" t="s">
        <v>149</v>
      </c>
      <c r="E29" s="137" t="s">
        <v>42</v>
      </c>
      <c r="F29" s="137" t="s">
        <v>23</v>
      </c>
      <c r="G29" s="138" t="s">
        <v>20</v>
      </c>
      <c r="H29" s="139"/>
      <c r="I29" s="140"/>
      <c r="J29" s="140"/>
      <c r="K29" s="140" t="s">
        <v>23</v>
      </c>
      <c r="L29" s="140"/>
      <c r="M29" s="141"/>
      <c r="N29" s="139"/>
      <c r="O29" s="140"/>
      <c r="P29" s="140"/>
      <c r="Q29" s="140" t="s">
        <v>23</v>
      </c>
      <c r="R29" s="140"/>
      <c r="S29" s="142"/>
      <c r="T29" s="134" t="s">
        <v>273</v>
      </c>
      <c r="U29" s="143" t="s">
        <v>274</v>
      </c>
      <c r="V29" s="147" t="s">
        <v>253</v>
      </c>
    </row>
    <row r="30" spans="1:22">
      <c r="A30" s="136">
        <f t="shared" si="0"/>
        <v>23</v>
      </c>
      <c r="B30" s="137" t="s">
        <v>43</v>
      </c>
      <c r="C30" s="137" t="s">
        <v>55</v>
      </c>
      <c r="D30" s="137" t="s">
        <v>168</v>
      </c>
      <c r="E30" s="137" t="s">
        <v>44</v>
      </c>
      <c r="F30" s="137" t="s">
        <v>23</v>
      </c>
      <c r="G30" s="138" t="s">
        <v>20</v>
      </c>
      <c r="H30" s="139"/>
      <c r="I30" s="140"/>
      <c r="J30" s="140"/>
      <c r="K30" s="140" t="s">
        <v>23</v>
      </c>
      <c r="L30" s="140"/>
      <c r="M30" s="141"/>
      <c r="N30" s="139"/>
      <c r="O30" s="140"/>
      <c r="P30" s="140"/>
      <c r="Q30" s="140" t="s">
        <v>23</v>
      </c>
      <c r="R30" s="140"/>
      <c r="S30" s="142"/>
      <c r="T30" s="134"/>
      <c r="U30" s="144"/>
      <c r="V30" s="145"/>
    </row>
    <row r="31" spans="1:22">
      <c r="A31" s="136">
        <f t="shared" si="0"/>
        <v>24</v>
      </c>
      <c r="B31" s="137" t="s">
        <v>45</v>
      </c>
      <c r="C31" s="137" t="s">
        <v>248</v>
      </c>
      <c r="D31" s="137" t="s">
        <v>169</v>
      </c>
      <c r="E31" s="137" t="s">
        <v>46</v>
      </c>
      <c r="F31" s="137" t="s">
        <v>23</v>
      </c>
      <c r="G31" s="138" t="s">
        <v>20</v>
      </c>
      <c r="H31" s="139"/>
      <c r="I31" s="140"/>
      <c r="J31" s="140"/>
      <c r="K31" s="140" t="s">
        <v>23</v>
      </c>
      <c r="L31" s="140"/>
      <c r="M31" s="141"/>
      <c r="N31" s="139"/>
      <c r="O31" s="140"/>
      <c r="P31" s="140"/>
      <c r="Q31" s="140" t="s">
        <v>23</v>
      </c>
      <c r="R31" s="140"/>
      <c r="S31" s="142"/>
      <c r="T31" s="134" t="s">
        <v>254</v>
      </c>
      <c r="U31" s="144"/>
      <c r="V31" s="145" t="s">
        <v>255</v>
      </c>
    </row>
    <row r="32" spans="1:22">
      <c r="A32" s="136">
        <f t="shared" si="0"/>
        <v>25</v>
      </c>
      <c r="B32" s="137" t="s">
        <v>47</v>
      </c>
      <c r="C32" s="137" t="s">
        <v>170</v>
      </c>
      <c r="D32" s="137" t="s">
        <v>171</v>
      </c>
      <c r="E32" s="137" t="s">
        <v>48</v>
      </c>
      <c r="F32" s="137" t="s">
        <v>23</v>
      </c>
      <c r="G32" s="138" t="s">
        <v>20</v>
      </c>
      <c r="H32" s="139"/>
      <c r="I32" s="140"/>
      <c r="J32" s="140"/>
      <c r="K32" s="140" t="s">
        <v>23</v>
      </c>
      <c r="L32" s="140"/>
      <c r="M32" s="141"/>
      <c r="N32" s="139"/>
      <c r="O32" s="140"/>
      <c r="P32" s="140"/>
      <c r="Q32" s="140" t="s">
        <v>23</v>
      </c>
      <c r="R32" s="140"/>
      <c r="S32" s="142"/>
      <c r="T32" s="134"/>
      <c r="U32" s="144"/>
      <c r="V32" s="145"/>
    </row>
    <row r="33" spans="1:22">
      <c r="A33" s="136">
        <f t="shared" si="0"/>
        <v>26</v>
      </c>
      <c r="B33" s="137" t="s">
        <v>49</v>
      </c>
      <c r="C33" s="137" t="s">
        <v>53</v>
      </c>
      <c r="D33" s="137"/>
      <c r="E33" s="137" t="s">
        <v>50</v>
      </c>
      <c r="F33" s="137" t="s">
        <v>23</v>
      </c>
      <c r="G33" s="138" t="s">
        <v>20</v>
      </c>
      <c r="H33" s="139"/>
      <c r="I33" s="140"/>
      <c r="J33" s="140"/>
      <c r="K33" s="140" t="s">
        <v>23</v>
      </c>
      <c r="L33" s="140"/>
      <c r="M33" s="141"/>
      <c r="N33" s="139"/>
      <c r="O33" s="140"/>
      <c r="P33" s="140"/>
      <c r="Q33" s="140" t="s">
        <v>23</v>
      </c>
      <c r="R33" s="140"/>
      <c r="S33" s="142"/>
      <c r="T33" s="134"/>
      <c r="U33" s="144"/>
      <c r="V33" s="145"/>
    </row>
    <row r="34" spans="1:22">
      <c r="A34" s="136">
        <f t="shared" si="0"/>
        <v>27</v>
      </c>
      <c r="B34" s="148" t="s">
        <v>51</v>
      </c>
      <c r="C34" s="148" t="s">
        <v>157</v>
      </c>
      <c r="D34" s="148" t="s">
        <v>249</v>
      </c>
      <c r="E34" s="148" t="s">
        <v>52</v>
      </c>
      <c r="F34" s="148" t="s">
        <v>23</v>
      </c>
      <c r="G34" s="149" t="s">
        <v>31</v>
      </c>
      <c r="H34" s="139"/>
      <c r="I34" s="140"/>
      <c r="J34" s="140"/>
      <c r="K34" s="140" t="s">
        <v>23</v>
      </c>
      <c r="L34" s="140"/>
      <c r="M34" s="141"/>
      <c r="N34" s="139"/>
      <c r="O34" s="140"/>
      <c r="P34" s="140"/>
      <c r="Q34" s="140" t="s">
        <v>23</v>
      </c>
      <c r="R34" s="140"/>
      <c r="S34" s="142"/>
      <c r="T34" s="134"/>
      <c r="U34" s="144"/>
      <c r="V34" s="145"/>
    </row>
    <row r="35" spans="1:22">
      <c r="A35" s="136">
        <f t="shared" si="0"/>
        <v>28</v>
      </c>
      <c r="B35" s="148" t="s">
        <v>53</v>
      </c>
      <c r="C35" s="148" t="s">
        <v>250</v>
      </c>
      <c r="D35" s="148" t="s">
        <v>172</v>
      </c>
      <c r="E35" s="148" t="s">
        <v>54</v>
      </c>
      <c r="F35" s="148" t="s">
        <v>23</v>
      </c>
      <c r="G35" s="149" t="s">
        <v>20</v>
      </c>
      <c r="H35" s="139"/>
      <c r="I35" s="140"/>
      <c r="J35" s="140"/>
      <c r="K35" s="140" t="s">
        <v>23</v>
      </c>
      <c r="L35" s="140"/>
      <c r="M35" s="141"/>
      <c r="N35" s="139"/>
      <c r="O35" s="140"/>
      <c r="P35" s="140"/>
      <c r="Q35" s="140" t="s">
        <v>23</v>
      </c>
      <c r="R35" s="140"/>
      <c r="S35" s="142"/>
      <c r="T35" s="134"/>
      <c r="U35" s="144"/>
      <c r="V35" s="145"/>
    </row>
    <row r="36" spans="1:22" ht="71.25">
      <c r="A36" s="136">
        <f t="shared" si="0"/>
        <v>29</v>
      </c>
      <c r="B36" s="148" t="s">
        <v>55</v>
      </c>
      <c r="C36" s="148" t="s">
        <v>173</v>
      </c>
      <c r="D36" s="148" t="s">
        <v>174</v>
      </c>
      <c r="E36" s="148" t="s">
        <v>56</v>
      </c>
      <c r="F36" s="148" t="s">
        <v>23</v>
      </c>
      <c r="G36" s="149" t="s">
        <v>20</v>
      </c>
      <c r="H36" s="139"/>
      <c r="I36" s="140"/>
      <c r="J36" s="140"/>
      <c r="K36" s="140" t="s">
        <v>23</v>
      </c>
      <c r="L36" s="140"/>
      <c r="M36" s="141"/>
      <c r="N36" s="139"/>
      <c r="O36" s="140"/>
      <c r="P36" s="140"/>
      <c r="Q36" s="140" t="s">
        <v>23</v>
      </c>
      <c r="R36" s="140"/>
      <c r="S36" s="142"/>
      <c r="T36" s="134"/>
      <c r="U36" s="144"/>
      <c r="V36" s="146" t="s">
        <v>256</v>
      </c>
    </row>
    <row r="37" spans="1:22">
      <c r="A37" s="136">
        <f t="shared" si="0"/>
        <v>30</v>
      </c>
      <c r="B37" s="148" t="s">
        <v>57</v>
      </c>
      <c r="C37" s="148" t="s">
        <v>251</v>
      </c>
      <c r="D37" s="148" t="s">
        <v>175</v>
      </c>
      <c r="E37" s="148" t="s">
        <v>58</v>
      </c>
      <c r="F37" s="148" t="s">
        <v>23</v>
      </c>
      <c r="G37" s="149" t="s">
        <v>20</v>
      </c>
      <c r="H37" s="139"/>
      <c r="I37" s="140"/>
      <c r="J37" s="140"/>
      <c r="K37" s="140" t="s">
        <v>23</v>
      </c>
      <c r="L37" s="140"/>
      <c r="M37" s="141"/>
      <c r="N37" s="139"/>
      <c r="O37" s="140"/>
      <c r="P37" s="140"/>
      <c r="Q37" s="140" t="s">
        <v>23</v>
      </c>
      <c r="R37" s="140"/>
      <c r="S37" s="142"/>
      <c r="T37" s="150"/>
      <c r="U37" s="144"/>
      <c r="V37" s="146" t="s">
        <v>257</v>
      </c>
    </row>
    <row r="38" spans="1:22">
      <c r="A38" s="136">
        <f t="shared" si="0"/>
        <v>31</v>
      </c>
      <c r="B38" s="148" t="s">
        <v>59</v>
      </c>
      <c r="C38" s="148"/>
      <c r="D38" s="148" t="s">
        <v>176</v>
      </c>
      <c r="E38" s="148" t="s">
        <v>60</v>
      </c>
      <c r="F38" s="148" t="s">
        <v>23</v>
      </c>
      <c r="G38" s="149" t="s">
        <v>31</v>
      </c>
      <c r="H38" s="139"/>
      <c r="I38" s="140"/>
      <c r="J38" s="140"/>
      <c r="K38" s="140" t="s">
        <v>23</v>
      </c>
      <c r="L38" s="140"/>
      <c r="M38" s="141"/>
      <c r="N38" s="139"/>
      <c r="O38" s="140"/>
      <c r="P38" s="140"/>
      <c r="Q38" s="140" t="s">
        <v>23</v>
      </c>
      <c r="R38" s="140"/>
      <c r="S38" s="142"/>
      <c r="T38" s="150"/>
      <c r="U38" s="144"/>
      <c r="V38" s="145"/>
    </row>
    <row r="39" spans="1:22">
      <c r="A39" s="136">
        <f t="shared" si="0"/>
        <v>32</v>
      </c>
      <c r="B39" s="148" t="s">
        <v>61</v>
      </c>
      <c r="C39" s="148" t="s">
        <v>157</v>
      </c>
      <c r="D39" s="148" t="s">
        <v>252</v>
      </c>
      <c r="E39" s="148" t="s">
        <v>62</v>
      </c>
      <c r="F39" s="148" t="s">
        <v>23</v>
      </c>
      <c r="G39" s="149" t="s">
        <v>31</v>
      </c>
      <c r="H39" s="139"/>
      <c r="I39" s="140"/>
      <c r="J39" s="140"/>
      <c r="K39" s="140" t="s">
        <v>23</v>
      </c>
      <c r="L39" s="140"/>
      <c r="M39" s="141"/>
      <c r="N39" s="139"/>
      <c r="O39" s="140"/>
      <c r="P39" s="140"/>
      <c r="Q39" s="140" t="s">
        <v>23</v>
      </c>
      <c r="R39" s="140"/>
      <c r="S39" s="142"/>
      <c r="T39" s="150"/>
      <c r="U39" s="144"/>
      <c r="V39" s="145"/>
    </row>
    <row r="40" spans="1:22" ht="71.25">
      <c r="A40" s="136">
        <f t="shared" si="0"/>
        <v>33</v>
      </c>
      <c r="B40" s="148" t="s">
        <v>63</v>
      </c>
      <c r="C40" s="148"/>
      <c r="D40" s="148" t="s">
        <v>178</v>
      </c>
      <c r="E40" s="148" t="s">
        <v>64</v>
      </c>
      <c r="F40" s="148" t="s">
        <v>23</v>
      </c>
      <c r="G40" s="149" t="s">
        <v>31</v>
      </c>
      <c r="H40" s="139"/>
      <c r="I40" s="140"/>
      <c r="J40" s="140"/>
      <c r="K40" s="140" t="s">
        <v>23</v>
      </c>
      <c r="L40" s="140"/>
      <c r="M40" s="141"/>
      <c r="N40" s="139"/>
      <c r="O40" s="140"/>
      <c r="P40" s="140"/>
      <c r="Q40" s="140" t="s">
        <v>23</v>
      </c>
      <c r="R40" s="140"/>
      <c r="S40" s="142"/>
      <c r="T40" s="150"/>
      <c r="U40" s="144"/>
      <c r="V40" s="146" t="s">
        <v>256</v>
      </c>
    </row>
    <row r="41" spans="1:22">
      <c r="A41" s="136">
        <f t="shared" si="0"/>
        <v>34</v>
      </c>
      <c r="B41" s="148" t="s">
        <v>65</v>
      </c>
      <c r="C41" s="148" t="s">
        <v>49</v>
      </c>
      <c r="D41" s="148"/>
      <c r="E41" s="148" t="s">
        <v>66</v>
      </c>
      <c r="F41" s="148" t="s">
        <v>23</v>
      </c>
      <c r="G41" s="149" t="s">
        <v>31</v>
      </c>
      <c r="H41" s="139"/>
      <c r="I41" s="140"/>
      <c r="J41" s="140"/>
      <c r="K41" s="140" t="s">
        <v>23</v>
      </c>
      <c r="L41" s="140"/>
      <c r="M41" s="141"/>
      <c r="N41" s="139"/>
      <c r="O41" s="140"/>
      <c r="P41" s="140"/>
      <c r="Q41" s="140" t="s">
        <v>23</v>
      </c>
      <c r="R41" s="140"/>
      <c r="S41" s="142"/>
      <c r="T41" s="150"/>
      <c r="U41" s="144"/>
      <c r="V41" s="145"/>
    </row>
    <row r="42" spans="1:22" ht="57.75" thickBot="1">
      <c r="A42" s="151">
        <f t="shared" si="0"/>
        <v>35</v>
      </c>
      <c r="B42" s="152" t="s">
        <v>67</v>
      </c>
      <c r="C42" s="152"/>
      <c r="D42" s="152"/>
      <c r="E42" s="152" t="s">
        <v>68</v>
      </c>
      <c r="F42" s="152" t="s">
        <v>23</v>
      </c>
      <c r="G42" s="153" t="s">
        <v>31</v>
      </c>
      <c r="H42" s="154"/>
      <c r="I42" s="155"/>
      <c r="J42" s="155"/>
      <c r="K42" s="155" t="s">
        <v>23</v>
      </c>
      <c r="L42" s="155"/>
      <c r="M42" s="156"/>
      <c r="N42" s="154"/>
      <c r="O42" s="155"/>
      <c r="P42" s="155"/>
      <c r="Q42" s="155" t="s">
        <v>23</v>
      </c>
      <c r="R42" s="155"/>
      <c r="S42" s="157"/>
      <c r="T42" s="158"/>
      <c r="U42" s="159"/>
      <c r="V42" s="160" t="s">
        <v>177</v>
      </c>
    </row>
  </sheetData>
  <mergeCells count="11">
    <mergeCell ref="N5:S5"/>
    <mergeCell ref="T5:U5"/>
    <mergeCell ref="V5:V6"/>
    <mergeCell ref="A5:A6"/>
    <mergeCell ref="B5:B6"/>
    <mergeCell ref="E5:E6"/>
    <mergeCell ref="F5:F6"/>
    <mergeCell ref="G5:G6"/>
    <mergeCell ref="H5:M5"/>
    <mergeCell ref="D5:D6"/>
    <mergeCell ref="C5:C6"/>
  </mergeCells>
  <phoneticPr fontId="3"/>
  <dataValidations count="1">
    <dataValidation type="list" allowBlank="1" showInputMessage="1" showErrorMessage="1" sqref="I7:I42 L8:L42 O8:O42 R8:R42" xr:uid="{611729A7-3905-4F21-AA4E-D8A2BC348291}">
      <formula1>"未,完"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1F38F-3FB0-4AB3-B774-38ECA58FD3C8}">
  <dimension ref="A2:T17"/>
  <sheetViews>
    <sheetView showGridLines="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D9" sqref="D9"/>
    </sheetView>
  </sheetViews>
  <sheetFormatPr defaultColWidth="9" defaultRowHeight="14.25"/>
  <cols>
    <col min="1" max="1" width="4.125" style="2" customWidth="1"/>
    <col min="2" max="2" width="9.875" style="2" bestFit="1" customWidth="1"/>
    <col min="3" max="3" width="29.375" style="2" bestFit="1" customWidth="1"/>
    <col min="4" max="4" width="6.375" style="2" bestFit="1" customWidth="1"/>
    <col min="5" max="5" width="14.25" style="2" customWidth="1"/>
    <col min="6" max="6" width="8.375" style="2" customWidth="1"/>
    <col min="7" max="7" width="8.75" style="2" bestFit="1" customWidth="1"/>
    <col min="8" max="8" width="11.25" style="2" bestFit="1" customWidth="1"/>
    <col min="9" max="9" width="9" style="2"/>
    <col min="10" max="10" width="10" style="2" bestFit="1" customWidth="1"/>
    <col min="11" max="11" width="11" style="2" bestFit="1" customWidth="1"/>
    <col min="12" max="12" width="6.375" style="2" bestFit="1" customWidth="1"/>
    <col min="13" max="13" width="8.75" style="2" bestFit="1" customWidth="1"/>
    <col min="14" max="14" width="9.75" style="2" bestFit="1" customWidth="1"/>
    <col min="15" max="15" width="9.125" style="2" bestFit="1" customWidth="1"/>
    <col min="16" max="16" width="10" style="2" bestFit="1" customWidth="1"/>
    <col min="17" max="17" width="11" style="2" bestFit="1" customWidth="1"/>
    <col min="18" max="18" width="52" style="2" customWidth="1"/>
    <col min="19" max="19" width="26.875" style="2" customWidth="1"/>
    <col min="20" max="20" width="49" style="2" customWidth="1"/>
    <col min="21" max="16384" width="9" style="2"/>
  </cols>
  <sheetData>
    <row r="2" spans="1:20" ht="28.5">
      <c r="A2" s="1" t="s">
        <v>69</v>
      </c>
    </row>
    <row r="4" spans="1:20" ht="15" thickBot="1"/>
    <row r="5" spans="1:20" ht="13.5" customHeight="1" thickBot="1">
      <c r="A5" s="79" t="s">
        <v>1</v>
      </c>
      <c r="B5" s="82" t="s">
        <v>2</v>
      </c>
      <c r="C5" s="82" t="s">
        <v>3</v>
      </c>
      <c r="D5" s="82" t="s">
        <v>4</v>
      </c>
      <c r="E5" s="83" t="s">
        <v>5</v>
      </c>
      <c r="F5" s="85" t="s">
        <v>6</v>
      </c>
      <c r="G5" s="86"/>
      <c r="H5" s="86"/>
      <c r="I5" s="86"/>
      <c r="J5" s="86"/>
      <c r="K5" s="87"/>
      <c r="L5" s="72" t="s">
        <v>7</v>
      </c>
      <c r="M5" s="73"/>
      <c r="N5" s="73"/>
      <c r="O5" s="73"/>
      <c r="P5" s="73"/>
      <c r="Q5" s="74"/>
      <c r="R5" s="75" t="s">
        <v>8</v>
      </c>
      <c r="S5" s="76"/>
      <c r="T5" s="77" t="s">
        <v>9</v>
      </c>
    </row>
    <row r="6" spans="1:20" ht="13.5" customHeight="1" thickBot="1">
      <c r="A6" s="80"/>
      <c r="B6" s="81"/>
      <c r="C6" s="81"/>
      <c r="D6" s="81"/>
      <c r="E6" s="84"/>
      <c r="F6" s="29" t="s">
        <v>10</v>
      </c>
      <c r="G6" s="30" t="s">
        <v>11</v>
      </c>
      <c r="H6" s="30" t="s">
        <v>12</v>
      </c>
      <c r="I6" s="3" t="s">
        <v>13</v>
      </c>
      <c r="J6" s="3" t="s">
        <v>14</v>
      </c>
      <c r="K6" s="4" t="s">
        <v>15</v>
      </c>
      <c r="L6" s="29" t="s">
        <v>10</v>
      </c>
      <c r="M6" s="30" t="s">
        <v>11</v>
      </c>
      <c r="N6" s="30" t="s">
        <v>12</v>
      </c>
      <c r="O6" s="3" t="s">
        <v>13</v>
      </c>
      <c r="P6" s="3" t="s">
        <v>14</v>
      </c>
      <c r="Q6" s="5" t="s">
        <v>15</v>
      </c>
      <c r="R6" s="6" t="s">
        <v>16</v>
      </c>
      <c r="S6" s="7" t="s">
        <v>17</v>
      </c>
      <c r="T6" s="78"/>
    </row>
    <row r="7" spans="1:20" ht="39" customHeight="1" thickBot="1">
      <c r="A7" s="52">
        <v>0</v>
      </c>
      <c r="B7" s="53" t="s">
        <v>18</v>
      </c>
      <c r="C7" s="53" t="s">
        <v>19</v>
      </c>
      <c r="D7" s="53" t="s">
        <v>19</v>
      </c>
      <c r="E7" s="54" t="s">
        <v>20</v>
      </c>
      <c r="F7" s="55" t="s">
        <v>21</v>
      </c>
      <c r="G7" s="53" t="s">
        <v>22</v>
      </c>
      <c r="H7" s="56">
        <v>45942</v>
      </c>
      <c r="I7" s="53" t="s">
        <v>23</v>
      </c>
      <c r="J7" s="53"/>
      <c r="K7" s="57"/>
      <c r="L7" s="55"/>
      <c r="M7" s="53"/>
      <c r="N7" s="53"/>
      <c r="O7" s="53" t="s">
        <v>23</v>
      </c>
      <c r="P7" s="53"/>
      <c r="Q7" s="58"/>
      <c r="R7" s="59" t="s">
        <v>24</v>
      </c>
      <c r="S7" s="60" t="s">
        <v>25</v>
      </c>
      <c r="T7" s="61"/>
    </row>
    <row r="8" spans="1:20" ht="15" thickBot="1">
      <c r="A8" s="46" t="s">
        <v>70</v>
      </c>
      <c r="B8" s="48"/>
      <c r="C8" s="48"/>
      <c r="D8" s="48"/>
      <c r="E8" s="48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50"/>
      <c r="S8" s="50"/>
      <c r="T8" s="51"/>
    </row>
    <row r="9" spans="1:20">
      <c r="A9" s="34">
        <v>1</v>
      </c>
      <c r="B9" s="35" t="s">
        <v>74</v>
      </c>
      <c r="C9" s="36" t="s">
        <v>81</v>
      </c>
      <c r="D9" s="37" t="s">
        <v>72</v>
      </c>
      <c r="E9" s="38" t="s">
        <v>91</v>
      </c>
      <c r="F9" s="39"/>
      <c r="G9" s="37"/>
      <c r="H9" s="37"/>
      <c r="I9" s="37" t="s">
        <v>72</v>
      </c>
      <c r="J9" s="37"/>
      <c r="K9" s="40"/>
      <c r="L9" s="39"/>
      <c r="M9" s="37"/>
      <c r="N9" s="37"/>
      <c r="O9" s="37" t="s">
        <v>72</v>
      </c>
      <c r="P9" s="37"/>
      <c r="Q9" s="41"/>
      <c r="R9" s="42"/>
      <c r="S9" s="43"/>
      <c r="T9" s="44"/>
    </row>
    <row r="10" spans="1:20" ht="15" thickBot="1">
      <c r="A10" s="19">
        <v>2</v>
      </c>
      <c r="B10" s="32" t="s">
        <v>75</v>
      </c>
      <c r="C10" s="20" t="s">
        <v>82</v>
      </c>
      <c r="D10" s="45" t="s">
        <v>72</v>
      </c>
      <c r="E10" s="33" t="s">
        <v>91</v>
      </c>
      <c r="F10" s="22"/>
      <c r="G10" s="23"/>
      <c r="H10" s="23"/>
      <c r="I10" s="45" t="s">
        <v>72</v>
      </c>
      <c r="J10" s="23"/>
      <c r="K10" s="24"/>
      <c r="L10" s="22"/>
      <c r="M10" s="23"/>
      <c r="N10" s="23"/>
      <c r="O10" s="45" t="s">
        <v>72</v>
      </c>
      <c r="P10" s="23"/>
      <c r="Q10" s="25"/>
      <c r="R10" s="26"/>
      <c r="S10" s="27"/>
      <c r="T10" s="28"/>
    </row>
    <row r="11" spans="1:20" ht="15" thickBot="1">
      <c r="A11" s="46" t="s">
        <v>71</v>
      </c>
      <c r="B11" s="47"/>
      <c r="C11" s="48"/>
      <c r="D11" s="49"/>
      <c r="E11" s="48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50"/>
      <c r="S11" s="50"/>
      <c r="T11" s="51"/>
    </row>
    <row r="12" spans="1:20">
      <c r="A12" s="34">
        <v>3</v>
      </c>
      <c r="B12" s="35" t="s">
        <v>76</v>
      </c>
      <c r="C12" s="36" t="s">
        <v>83</v>
      </c>
      <c r="D12" s="37" t="s">
        <v>72</v>
      </c>
      <c r="E12" s="38" t="s">
        <v>90</v>
      </c>
      <c r="F12" s="39"/>
      <c r="G12" s="37"/>
      <c r="H12" s="37"/>
      <c r="I12" s="37" t="s">
        <v>72</v>
      </c>
      <c r="J12" s="37"/>
      <c r="K12" s="40"/>
      <c r="L12" s="39"/>
      <c r="M12" s="37"/>
      <c r="N12" s="37"/>
      <c r="O12" s="37" t="s">
        <v>72</v>
      </c>
      <c r="P12" s="37"/>
      <c r="Q12" s="41"/>
      <c r="R12" s="42"/>
      <c r="S12" s="43"/>
      <c r="T12" s="44"/>
    </row>
    <row r="13" spans="1:20">
      <c r="A13" s="10">
        <v>4</v>
      </c>
      <c r="B13" s="31" t="s">
        <v>77</v>
      </c>
      <c r="C13" s="11" t="s">
        <v>84</v>
      </c>
      <c r="D13" s="9" t="s">
        <v>72</v>
      </c>
      <c r="E13" s="8" t="s">
        <v>90</v>
      </c>
      <c r="F13" s="12"/>
      <c r="G13" s="13"/>
      <c r="H13" s="13"/>
      <c r="I13" s="9" t="s">
        <v>72</v>
      </c>
      <c r="J13" s="13"/>
      <c r="K13" s="14"/>
      <c r="L13" s="12"/>
      <c r="M13" s="13"/>
      <c r="N13" s="13"/>
      <c r="O13" s="9" t="s">
        <v>72</v>
      </c>
      <c r="P13" s="13"/>
      <c r="Q13" s="15"/>
      <c r="R13" s="16"/>
      <c r="S13" s="17"/>
      <c r="T13" s="18"/>
    </row>
    <row r="14" spans="1:20">
      <c r="A14" s="10">
        <v>5</v>
      </c>
      <c r="B14" s="31" t="s">
        <v>78</v>
      </c>
      <c r="C14" s="11" t="s">
        <v>85</v>
      </c>
      <c r="D14" s="9" t="s">
        <v>72</v>
      </c>
      <c r="E14" s="8" t="s">
        <v>90</v>
      </c>
      <c r="F14" s="12"/>
      <c r="G14" s="13"/>
      <c r="H14" s="13"/>
      <c r="I14" s="9" t="s">
        <v>72</v>
      </c>
      <c r="J14" s="13"/>
      <c r="K14" s="14"/>
      <c r="L14" s="12"/>
      <c r="M14" s="13"/>
      <c r="N14" s="13"/>
      <c r="O14" s="9" t="s">
        <v>72</v>
      </c>
      <c r="P14" s="13"/>
      <c r="Q14" s="15"/>
      <c r="R14" s="16"/>
      <c r="S14" s="17"/>
      <c r="T14" s="18"/>
    </row>
    <row r="15" spans="1:20">
      <c r="A15" s="10">
        <v>6</v>
      </c>
      <c r="B15" s="31" t="s">
        <v>79</v>
      </c>
      <c r="C15" s="11" t="s">
        <v>86</v>
      </c>
      <c r="D15" s="9" t="s">
        <v>72</v>
      </c>
      <c r="E15" s="8" t="s">
        <v>90</v>
      </c>
      <c r="F15" s="12"/>
      <c r="G15" s="13"/>
      <c r="H15" s="13"/>
      <c r="I15" s="9" t="s">
        <v>72</v>
      </c>
      <c r="J15" s="13"/>
      <c r="K15" s="14"/>
      <c r="L15" s="12"/>
      <c r="M15" s="13"/>
      <c r="N15" s="13"/>
      <c r="O15" s="9" t="s">
        <v>72</v>
      </c>
      <c r="P15" s="13"/>
      <c r="Q15" s="15"/>
      <c r="R15" s="16"/>
      <c r="S15" s="17"/>
      <c r="T15" s="18"/>
    </row>
    <row r="16" spans="1:20">
      <c r="A16" s="10">
        <v>7</v>
      </c>
      <c r="B16" s="31" t="s">
        <v>80</v>
      </c>
      <c r="C16" s="11" t="s">
        <v>87</v>
      </c>
      <c r="D16" s="9" t="s">
        <v>72</v>
      </c>
      <c r="E16" s="8" t="s">
        <v>90</v>
      </c>
      <c r="F16" s="12"/>
      <c r="G16" s="13"/>
      <c r="H16" s="13"/>
      <c r="I16" s="9" t="s">
        <v>72</v>
      </c>
      <c r="J16" s="13"/>
      <c r="K16" s="14"/>
      <c r="L16" s="12"/>
      <c r="M16" s="13"/>
      <c r="N16" s="13"/>
      <c r="O16" s="9" t="s">
        <v>72</v>
      </c>
      <c r="P16" s="13"/>
      <c r="Q16" s="15"/>
      <c r="R16" s="16"/>
      <c r="S16" s="17"/>
      <c r="T16" s="18"/>
    </row>
    <row r="17" spans="1:20" ht="15" thickBot="1">
      <c r="A17" s="19">
        <v>8</v>
      </c>
      <c r="B17" s="32" t="s">
        <v>88</v>
      </c>
      <c r="C17" s="20" t="s">
        <v>89</v>
      </c>
      <c r="D17" s="23" t="s">
        <v>73</v>
      </c>
      <c r="E17" s="21" t="s">
        <v>90</v>
      </c>
      <c r="F17" s="22"/>
      <c r="G17" s="23"/>
      <c r="H17" s="23"/>
      <c r="I17" s="23" t="s">
        <v>73</v>
      </c>
      <c r="J17" s="23"/>
      <c r="K17" s="24"/>
      <c r="L17" s="22"/>
      <c r="M17" s="23"/>
      <c r="N17" s="23"/>
      <c r="O17" s="23" t="s">
        <v>73</v>
      </c>
      <c r="P17" s="23"/>
      <c r="Q17" s="25"/>
      <c r="R17" s="26"/>
      <c r="S17" s="27"/>
      <c r="T17" s="28"/>
    </row>
  </sheetData>
  <mergeCells count="9">
    <mergeCell ref="L5:Q5"/>
    <mergeCell ref="R5:S5"/>
    <mergeCell ref="T5:T6"/>
    <mergeCell ref="A5:A6"/>
    <mergeCell ref="B5:B6"/>
    <mergeCell ref="C5:C6"/>
    <mergeCell ref="D5:D6"/>
    <mergeCell ref="E5:E6"/>
    <mergeCell ref="F5:K5"/>
  </mergeCells>
  <phoneticPr fontId="3"/>
  <dataValidations count="1">
    <dataValidation type="list" allowBlank="1" showInputMessage="1" showErrorMessage="1" sqref="P8:P17 J8:J17 M8:M17 G7:G17" xr:uid="{41CD7F7C-02B4-49F4-9FE4-B27CCCCB5ABC}">
      <formula1>"未,完"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15C91-F6E9-48DB-AF6D-2AB13AED791F}">
  <dimension ref="B2:X119"/>
  <sheetViews>
    <sheetView showGridLines="0" topLeftCell="B69" workbookViewId="0">
      <selection activeCell="B1" sqref="B1"/>
    </sheetView>
  </sheetViews>
  <sheetFormatPr defaultColWidth="8.625" defaultRowHeight="15.75"/>
  <cols>
    <col min="1" max="16384" width="8.625" style="62"/>
  </cols>
  <sheetData>
    <row r="2" spans="2:24" ht="33">
      <c r="B2" s="67" t="s">
        <v>92</v>
      </c>
    </row>
    <row r="4" spans="2:24" ht="24">
      <c r="B4" s="68" t="s">
        <v>102</v>
      </c>
      <c r="F4" s="63"/>
    </row>
    <row r="5" spans="2:24">
      <c r="C5" s="62" t="s">
        <v>93</v>
      </c>
    </row>
    <row r="6" spans="2:24">
      <c r="C6" s="62" t="s">
        <v>95</v>
      </c>
    </row>
    <row r="7" spans="2:24">
      <c r="C7" s="62" t="s">
        <v>94</v>
      </c>
    </row>
    <row r="9" spans="2:24" ht="16.5">
      <c r="B9" s="65" t="s">
        <v>99</v>
      </c>
    </row>
    <row r="10" spans="2:24">
      <c r="B10" s="64" t="s">
        <v>93</v>
      </c>
      <c r="J10" s="64" t="s">
        <v>95</v>
      </c>
      <c r="X10" s="64" t="s">
        <v>94</v>
      </c>
    </row>
    <row r="40" spans="2:3" ht="32.450000000000003" customHeight="1">
      <c r="B40" s="68" t="s">
        <v>103</v>
      </c>
    </row>
    <row r="41" spans="2:3">
      <c r="C41" s="62" t="s">
        <v>96</v>
      </c>
    </row>
    <row r="42" spans="2:3">
      <c r="C42" s="62" t="s">
        <v>97</v>
      </c>
    </row>
    <row r="43" spans="2:3">
      <c r="C43" s="62" t="s">
        <v>98</v>
      </c>
    </row>
    <row r="45" spans="2:3" ht="16.5">
      <c r="B45" s="65" t="s">
        <v>100</v>
      </c>
    </row>
    <row r="46" spans="2:3">
      <c r="B46" s="64" t="s">
        <v>101</v>
      </c>
    </row>
    <row r="92" spans="2:3" ht="19.5">
      <c r="B92" s="66" t="s">
        <v>108</v>
      </c>
    </row>
    <row r="93" spans="2:3">
      <c r="B93" s="64" t="s">
        <v>104</v>
      </c>
    </row>
    <row r="94" spans="2:3">
      <c r="C94" s="62" t="s">
        <v>119</v>
      </c>
    </row>
    <row r="95" spans="2:3">
      <c r="C95" s="62" t="s">
        <v>105</v>
      </c>
    </row>
    <row r="96" spans="2:3">
      <c r="C96" s="62" t="s">
        <v>106</v>
      </c>
    </row>
    <row r="97" spans="2:3">
      <c r="C97" s="62" t="s">
        <v>107</v>
      </c>
    </row>
    <row r="99" spans="2:3">
      <c r="B99" s="64" t="s">
        <v>109</v>
      </c>
    </row>
    <row r="100" spans="2:3">
      <c r="C100" s="62" t="s">
        <v>110</v>
      </c>
    </row>
    <row r="101" spans="2:3">
      <c r="C101" s="62" t="s">
        <v>111</v>
      </c>
    </row>
    <row r="102" spans="2:3">
      <c r="C102" s="62" t="s">
        <v>112</v>
      </c>
    </row>
    <row r="104" spans="2:3">
      <c r="B104" s="64" t="s">
        <v>113</v>
      </c>
    </row>
    <row r="105" spans="2:3">
      <c r="C105" s="62" t="s">
        <v>114</v>
      </c>
    </row>
    <row r="106" spans="2:3">
      <c r="C106" s="62" t="s">
        <v>117</v>
      </c>
    </row>
    <row r="108" spans="2:3">
      <c r="B108" s="64" t="s">
        <v>115</v>
      </c>
    </row>
    <row r="109" spans="2:3">
      <c r="C109" s="62" t="s">
        <v>116</v>
      </c>
    </row>
    <row r="110" spans="2:3">
      <c r="C110" s="62" t="s">
        <v>117</v>
      </c>
    </row>
    <row r="112" spans="2:3">
      <c r="B112" s="64" t="s">
        <v>118</v>
      </c>
    </row>
    <row r="113" spans="2:3">
      <c r="C113" s="62" t="s">
        <v>120</v>
      </c>
    </row>
    <row r="114" spans="2:3">
      <c r="C114" s="62" t="s">
        <v>121</v>
      </c>
    </row>
    <row r="116" spans="2:3">
      <c r="B116" s="64" t="s">
        <v>122</v>
      </c>
    </row>
    <row r="117" spans="2:3">
      <c r="C117" s="62" t="s">
        <v>123</v>
      </c>
    </row>
    <row r="118" spans="2:3">
      <c r="C118" s="62" t="s">
        <v>124</v>
      </c>
    </row>
    <row r="119" spans="2:3">
      <c r="B119" s="64"/>
      <c r="C119" s="62" t="s">
        <v>125</v>
      </c>
    </row>
  </sheetData>
  <phoneticPr fontId="3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E4925CEB4767D4088405B3A37F02A88" ma:contentTypeVersion="17" ma:contentTypeDescription="新しいドキュメントを作成します。" ma:contentTypeScope="" ma:versionID="074d3528a928c679d67d1ad12dfa4912">
  <xsd:schema xmlns:xsd="http://www.w3.org/2001/XMLSchema" xmlns:xs="http://www.w3.org/2001/XMLSchema" xmlns:p="http://schemas.microsoft.com/office/2006/metadata/properties" xmlns:ns2="4d5f495e-8872-4613-b41e-44adb53a887e" xmlns:ns3="e47b21de-6aa2-4397-bc9c-dfadd9f0c5dc" targetNamespace="http://schemas.microsoft.com/office/2006/metadata/properties" ma:root="true" ma:fieldsID="1deb7a9c2e5ecc746ac0194f551b1971" ns2:_="" ns3:_="">
    <xsd:import namespace="4d5f495e-8872-4613-b41e-44adb53a887e"/>
    <xsd:import namespace="e47b21de-6aa2-4397-bc9c-dfadd9f0c5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_x72b6__x614b__x7ba1__x7406_" minOccurs="0"/>
                <xsd:element ref="ns2:_Flow_SignoffStatus" minOccurs="0"/>
                <xsd:element ref="ns2:_x7d0d__x671f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5f495e-8872-4613-b41e-44adb53a88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5d8d8cb3-13e6-4a9b-b8ca-c05e8e4559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x72b6__x614b__x7ba1__x7406_" ma:index="22" nillable="true" ma:displayName="状態管理" ma:description="作成状況の見える化" ma:format="Dropdown" ma:internalName="_x72b6__x614b__x7ba1__x7406_">
      <xsd:simpleType>
        <xsd:restriction base="dms:Choice">
          <xsd:enumeration value="編集中"/>
          <xsd:enumeration value="レイアウト待ち"/>
          <xsd:enumeration value="レイアウト完成"/>
          <xsd:enumeration value="生管レビュー中"/>
          <xsd:enumeration value="レイアウト承認済"/>
          <xsd:enumeration value="仕様書完成"/>
          <xsd:enumeration value="仕様書承認済"/>
        </xsd:restriction>
      </xsd:simpleType>
    </xsd:element>
    <xsd:element name="_Flow_SignoffStatus" ma:index="23" nillable="true" ma:displayName="承認の状態" ma:internalName="_x0024_Resources_x003a_core_x002c_Signoff_Status">
      <xsd:simpleType>
        <xsd:restriction base="dms:Text"/>
      </xsd:simpleType>
    </xsd:element>
    <xsd:element name="_x7d0d__x671f_" ma:index="24" nillable="true" ma:displayName="納期" ma:format="DateOnly" ma:internalName="_x7d0d__x671f_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7b21de-6aa2-4397-bc9c-dfadd9f0c5d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47c6d6af-6b20-4698-97a9-af3e7ec4475a}" ma:internalName="TaxCatchAll" ma:showField="CatchAllData" ma:web="e47b21de-6aa2-4397-bc9c-dfadd9f0c5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47b21de-6aa2-4397-bc9c-dfadd9f0c5dc" xsi:nil="true"/>
    <_x72b6__x614b__x7ba1__x7406_ xmlns="4d5f495e-8872-4613-b41e-44adb53a887e" xsi:nil="true"/>
    <_x7d0d__x671f_ xmlns="4d5f495e-8872-4613-b41e-44adb53a887e" xsi:nil="true"/>
    <lcf76f155ced4ddcb4097134ff3c332f xmlns="4d5f495e-8872-4613-b41e-44adb53a887e">
      <Terms xmlns="http://schemas.microsoft.com/office/infopath/2007/PartnerControls"/>
    </lcf76f155ced4ddcb4097134ff3c332f>
    <_Flow_SignoffStatus xmlns="4d5f495e-8872-4613-b41e-44adb53a887e" xsi:nil="true"/>
  </documentManagement>
</p:properties>
</file>

<file path=customXml/itemProps1.xml><?xml version="1.0" encoding="utf-8"?>
<ds:datastoreItem xmlns:ds="http://schemas.openxmlformats.org/officeDocument/2006/customXml" ds:itemID="{3AA18B99-662D-4131-8B53-B6862651DB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5f495e-8872-4613-b41e-44adb53a887e"/>
    <ds:schemaRef ds:uri="e47b21de-6aa2-4397-bc9c-dfadd9f0c5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57C86C5-AA83-4578-A94F-2CEA182F44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338FC11-BBCB-47C9-AC88-1394922B1D70}">
  <ds:schemaRefs>
    <ds:schemaRef ds:uri="http://purl.org/dc/terms/"/>
    <ds:schemaRef ds:uri="http://schemas.microsoft.com/office/2006/documentManagement/types"/>
    <ds:schemaRef ds:uri="e47b21de-6aa2-4397-bc9c-dfadd9f0c5dc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4d5f495e-8872-4613-b41e-44adb53a887e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依頼内容</vt:lpstr>
      <vt:lpstr>厦門依頼(SP)</vt:lpstr>
      <vt:lpstr>厦門依頼 (画面・バッチ)</vt:lpstr>
      <vt:lpstr>納入遵守変化点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Suzuki Yusuke</dc:creator>
  <cp:lastModifiedBy>Yu Xiaodong</cp:lastModifiedBy>
  <dcterms:created xsi:type="dcterms:W3CDTF">2015-06-05T18:17:20Z</dcterms:created>
  <dcterms:modified xsi:type="dcterms:W3CDTF">2025-10-10T03:01:41Z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0x010100CE4925CEB4767D4088405B3A37F02A88</vt:lpwstr>
  </property>
  <property fmtid="{D5CDD505-2E9C-101B-9397-08002B2CF9AE}" pid="3" name="MediaServiceImageTags">
    <vt:lpwstr/>
  </property>
</Properties>
</file>